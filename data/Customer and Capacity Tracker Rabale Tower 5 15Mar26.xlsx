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2"/>
  <workbookPr/>
  <xr:revisionPtr revIDLastSave="0" documentId="8_{EB71BF7E-36C1-41E9-8D81-CA19831851DA}" xr6:coauthVersionLast="47" xr6:coauthVersionMax="47" xr10:uidLastSave="{00000000-0000-0000-0000-000000000000}"/>
  <bookViews>
    <workbookView xWindow="0" yWindow="0" windowWidth="22188" windowHeight="9000" xr2:uid="{00000000-000D-0000-FFFF-FFFF00000000}"/>
  </bookViews>
  <sheets>
    <sheet name="T5 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1" l="1"/>
  <c r="K48" i="1" s="1"/>
  <c r="G42" i="1"/>
  <c r="J39" i="1"/>
  <c r="K39" i="1" s="1"/>
  <c r="J22" i="1"/>
  <c r="K22" i="1" s="1"/>
  <c r="K21" i="1"/>
  <c r="K20" i="1"/>
  <c r="K19" i="1"/>
  <c r="K18" i="1"/>
  <c r="K17" i="1"/>
  <c r="K16" i="1"/>
  <c r="K15" i="1"/>
  <c r="K14" i="1"/>
  <c r="K13" i="1"/>
  <c r="J2" i="1"/>
  <c r="K2" i="1" s="1"/>
</calcChain>
</file>

<file path=xl/sharedStrings.xml><?xml version="1.0" encoding="utf-8"?>
<sst xmlns="http://schemas.openxmlformats.org/spreadsheetml/2006/main" count="192" uniqueCount="72">
  <si>
    <t>FLOOR</t>
  </si>
  <si>
    <t>MMR</t>
  </si>
  <si>
    <t>CUSTOMER</t>
  </si>
  <si>
    <t>Subscription Mode</t>
  </si>
  <si>
    <t>UoM</t>
  </si>
  <si>
    <t>Occupied in Sqft</t>
  </si>
  <si>
    <t>Total Capacity - Server Hall</t>
  </si>
  <si>
    <t>Sold</t>
  </si>
  <si>
    <t>Available</t>
  </si>
  <si>
    <t>Remarks</t>
  </si>
  <si>
    <t>Floor L0</t>
  </si>
  <si>
    <t>Starlink</t>
  </si>
  <si>
    <t>Rack</t>
  </si>
  <si>
    <t>Tata Teleservices Limited</t>
  </si>
  <si>
    <t>Nxtra</t>
  </si>
  <si>
    <t>Lightstorm</t>
  </si>
  <si>
    <t>TCL</t>
  </si>
  <si>
    <t>Syncevo Technologies</t>
  </si>
  <si>
    <t>Ishan Netsol</t>
  </si>
  <si>
    <t>Colt</t>
  </si>
  <si>
    <t>Orange Business</t>
  </si>
  <si>
    <t>NTT Communications</t>
  </si>
  <si>
    <t>Cogent/Sprint</t>
  </si>
  <si>
    <t>Floor L1</t>
  </si>
  <si>
    <t>Hyperscale</t>
  </si>
  <si>
    <t>Amzon Data Centre Services (BOM76)</t>
  </si>
  <si>
    <t>Space</t>
  </si>
  <si>
    <t>Entire Floor occupied</t>
  </si>
  <si>
    <t>Floor L2</t>
  </si>
  <si>
    <t>Floor L2 - DWDM</t>
  </si>
  <si>
    <t>Floor L3</t>
  </si>
  <si>
    <t>Floor L3 - Glacier</t>
  </si>
  <si>
    <t>Floor L4</t>
  </si>
  <si>
    <t>Floor L5</t>
  </si>
  <si>
    <t>Floor L5 - Glacier</t>
  </si>
  <si>
    <t>Floor L5 - DWDM</t>
  </si>
  <si>
    <t>Floor L6</t>
  </si>
  <si>
    <t>Colo</t>
  </si>
  <si>
    <t>Nayara</t>
  </si>
  <si>
    <t>Feasibilty Given 
Zenlayer - 37kw
Master  Capital - 40kw
(Both Under Discussion)</t>
  </si>
  <si>
    <t>IndusInd</t>
  </si>
  <si>
    <t>Zenlayer</t>
  </si>
  <si>
    <t>Qualysis - 1</t>
  </si>
  <si>
    <t>Qualysis - 2</t>
  </si>
  <si>
    <t>SBI - Day 1</t>
  </si>
  <si>
    <t>SBI - Day 2</t>
  </si>
  <si>
    <t>SBI - RDHx</t>
  </si>
  <si>
    <t>CIVO</t>
  </si>
  <si>
    <t>Onextel</t>
  </si>
  <si>
    <t>Bosch</t>
  </si>
  <si>
    <t>Shared Rack (1) - Umbrella Cable Systems Private Limited</t>
  </si>
  <si>
    <t>U space</t>
  </si>
  <si>
    <t>Shared Rack (1) - Texes Connect Private Limited</t>
  </si>
  <si>
    <t>Master Capital Services</t>
  </si>
  <si>
    <t>CTM LABS PRIVATE LIMITED</t>
  </si>
  <si>
    <t>Hierserver</t>
  </si>
  <si>
    <t>Sify- Internal Rack</t>
  </si>
  <si>
    <t>Floor L7</t>
  </si>
  <si>
    <t>NPCI - MMR</t>
  </si>
  <si>
    <t>-</t>
  </si>
  <si>
    <t>Feasibilty Given 
Canara Bank - 130kw
(Under Discussion)</t>
  </si>
  <si>
    <t>NPCI - Server Hall</t>
  </si>
  <si>
    <t>Avenue E Commerce Ltd</t>
  </si>
  <si>
    <t>SBI Mutual Funds</t>
  </si>
  <si>
    <t>JIO Blackrock</t>
  </si>
  <si>
    <t>Jio Payment</t>
  </si>
  <si>
    <t>EDEL INVESTMENTS LIMITED / ECAP EQUITIES</t>
  </si>
  <si>
    <t>SBI - Day 3</t>
  </si>
  <si>
    <t>Edge Network Services Limited (BOM 5) /-META</t>
  </si>
  <si>
    <t>Floor L8</t>
  </si>
  <si>
    <t>Edge Network Services Limited (BOM 5) / META</t>
  </si>
  <si>
    <t>Floor occupied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</si>
</sst>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Calibri"/>
      <charset val="1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b/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2" fontId="3" fillId="0" borderId="3" xfId="2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 wrapText="1"/>
    </xf>
  </cellXfs>
  <cellStyles count="3">
    <cellStyle name="Excel Built-in Normal 1 1 1 2" xfId="1" xr:uid="{00000000-0005-0000-0000-000031000000}"/>
    <cellStyle name="Excel Built-in Normal 1 2" xfId="2" xr:uid="{00000000-0005-0000-0000-000032000000}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8"/>
  <sheetViews>
    <sheetView tabSelected="1" topLeftCell="B1" zoomScale="56" zoomScaleNormal="56" workbookViewId="0">
      <pane xSplit="3" ySplit="1" topLeftCell="E2" activePane="bottomRight" state="frozen"/>
      <selection pane="bottomRight" activeCell="A2" sqref="A1:XFD2"/>
      <selection pane="bottomLeft"/>
      <selection pane="topRight"/>
    </sheetView>
  </sheetViews>
  <sheetFormatPr defaultColWidth="16.5703125" defaultRowHeight="24" customHeight="1"/>
  <cols>
    <col min="1" max="1" width="8" style="1" customWidth="1"/>
    <col min="2" max="2" width="16.5703125" style="1" customWidth="1"/>
    <col min="3" max="3" width="19.28515625" style="1" customWidth="1"/>
    <col min="4" max="4" width="53.28515625" style="1" customWidth="1"/>
    <col min="5" max="5" width="16.5703125" style="1" customWidth="1"/>
    <col min="6" max="7" width="27.140625" style="1" customWidth="1"/>
    <col min="8" max="8" width="24.85546875" style="1" customWidth="1"/>
    <col min="9" max="11" width="16.5703125" style="1" customWidth="1"/>
    <col min="12" max="12" width="26.5703125" style="1" customWidth="1"/>
    <col min="13" max="16384" width="16.5703125" style="1"/>
  </cols>
  <sheetData>
    <row r="1" spans="2:12" ht="24" customHeight="1">
      <c r="B1" s="24" t="s">
        <v>0</v>
      </c>
      <c r="C1" s="2" t="s">
        <v>1</v>
      </c>
      <c r="D1" s="2" t="s">
        <v>2</v>
      </c>
      <c r="E1" s="24" t="s">
        <v>3</v>
      </c>
      <c r="F1" s="2" t="s">
        <v>4</v>
      </c>
      <c r="G1" s="2" t="s">
        <v>5</v>
      </c>
      <c r="H1" s="2" t="s">
        <v>6</v>
      </c>
      <c r="I1" s="14" t="s">
        <v>7</v>
      </c>
      <c r="J1" s="14"/>
      <c r="K1" s="11" t="s">
        <v>8</v>
      </c>
      <c r="L1" s="10" t="s">
        <v>9</v>
      </c>
    </row>
    <row r="2" spans="2:12" ht="24" customHeight="1">
      <c r="B2" s="4" t="s">
        <v>10</v>
      </c>
      <c r="C2" s="4" t="s">
        <v>1</v>
      </c>
      <c r="D2" s="5" t="s">
        <v>11</v>
      </c>
      <c r="E2" s="4" t="s">
        <v>12</v>
      </c>
      <c r="F2" s="4" t="s">
        <v>12</v>
      </c>
      <c r="G2" s="5">
        <v>7.75</v>
      </c>
      <c r="H2" s="15">
        <v>120</v>
      </c>
      <c r="I2" s="5">
        <v>3</v>
      </c>
      <c r="J2" s="19">
        <f>SUM(I2:I12)</f>
        <v>104.5</v>
      </c>
      <c r="K2" s="21">
        <f>+H2-J2</f>
        <v>15.5</v>
      </c>
      <c r="L2" s="10"/>
    </row>
    <row r="3" spans="2:12" ht="24" customHeight="1">
      <c r="B3" s="4"/>
      <c r="C3" s="4" t="s">
        <v>1</v>
      </c>
      <c r="D3" s="5" t="s">
        <v>13</v>
      </c>
      <c r="E3" s="4" t="s">
        <v>12</v>
      </c>
      <c r="F3" s="4" t="s">
        <v>12</v>
      </c>
      <c r="G3" s="5">
        <v>7.75</v>
      </c>
      <c r="H3" s="15"/>
      <c r="I3" s="5">
        <v>3</v>
      </c>
      <c r="J3" s="19"/>
      <c r="K3" s="21"/>
      <c r="L3" s="10"/>
    </row>
    <row r="4" spans="2:12" ht="24" customHeight="1">
      <c r="B4" s="4"/>
      <c r="C4" s="4" t="s">
        <v>1</v>
      </c>
      <c r="D4" s="5" t="s">
        <v>14</v>
      </c>
      <c r="E4" s="4" t="s">
        <v>12</v>
      </c>
      <c r="F4" s="4" t="s">
        <v>12</v>
      </c>
      <c r="G4" s="5">
        <v>69.77</v>
      </c>
      <c r="H4" s="15"/>
      <c r="I4" s="5">
        <v>33</v>
      </c>
      <c r="J4" s="19"/>
      <c r="K4" s="21"/>
      <c r="L4" s="10"/>
    </row>
    <row r="5" spans="2:12" ht="24" customHeight="1">
      <c r="B5" s="4"/>
      <c r="C5" s="4" t="s">
        <v>1</v>
      </c>
      <c r="D5" s="5" t="s">
        <v>15</v>
      </c>
      <c r="E5" s="4" t="s">
        <v>12</v>
      </c>
      <c r="F5" s="4" t="s">
        <v>12</v>
      </c>
      <c r="G5" s="5">
        <v>15.5</v>
      </c>
      <c r="H5" s="15"/>
      <c r="I5" s="5">
        <v>8</v>
      </c>
      <c r="J5" s="19"/>
      <c r="K5" s="21"/>
      <c r="L5" s="10"/>
    </row>
    <row r="6" spans="2:12" ht="24" customHeight="1">
      <c r="B6" s="4"/>
      <c r="C6" s="4" t="s">
        <v>1</v>
      </c>
      <c r="D6" s="5" t="s">
        <v>16</v>
      </c>
      <c r="E6" s="4" t="s">
        <v>12</v>
      </c>
      <c r="F6" s="4" t="s">
        <v>12</v>
      </c>
      <c r="G6" s="5">
        <v>15.5</v>
      </c>
      <c r="H6" s="15"/>
      <c r="I6" s="5">
        <v>6</v>
      </c>
      <c r="J6" s="19"/>
      <c r="K6" s="21"/>
      <c r="L6" s="10"/>
    </row>
    <row r="7" spans="2:12" ht="24" customHeight="1">
      <c r="B7" s="4"/>
      <c r="C7" s="4" t="s">
        <v>1</v>
      </c>
      <c r="D7" s="5" t="s">
        <v>17</v>
      </c>
      <c r="E7" s="4" t="s">
        <v>12</v>
      </c>
      <c r="F7" s="4" t="s">
        <v>12</v>
      </c>
      <c r="G7" s="5">
        <v>7.75</v>
      </c>
      <c r="H7" s="15"/>
      <c r="I7" s="5">
        <v>1.5</v>
      </c>
      <c r="J7" s="19"/>
      <c r="K7" s="21"/>
      <c r="L7" s="10"/>
    </row>
    <row r="8" spans="2:12" ht="24" customHeight="1">
      <c r="B8" s="4"/>
      <c r="C8" s="4" t="s">
        <v>1</v>
      </c>
      <c r="D8" s="5" t="s">
        <v>18</v>
      </c>
      <c r="E8" s="4" t="s">
        <v>12</v>
      </c>
      <c r="F8" s="4" t="s">
        <v>12</v>
      </c>
      <c r="G8" s="5">
        <v>7.75</v>
      </c>
      <c r="H8" s="15"/>
      <c r="I8" s="5">
        <v>3</v>
      </c>
      <c r="J8" s="19"/>
      <c r="K8" s="21"/>
      <c r="L8" s="10"/>
    </row>
    <row r="9" spans="2:12" ht="24" customHeight="1">
      <c r="B9" s="4"/>
      <c r="C9" s="4" t="s">
        <v>1</v>
      </c>
      <c r="D9" s="5" t="s">
        <v>19</v>
      </c>
      <c r="E9" s="4" t="s">
        <v>12</v>
      </c>
      <c r="F9" s="4" t="s">
        <v>12</v>
      </c>
      <c r="G9" s="5">
        <v>7.75</v>
      </c>
      <c r="H9" s="15"/>
      <c r="I9" s="5">
        <v>3</v>
      </c>
      <c r="J9" s="19"/>
      <c r="K9" s="21"/>
      <c r="L9" s="10"/>
    </row>
    <row r="10" spans="2:12" ht="24" customHeight="1">
      <c r="B10" s="4"/>
      <c r="C10" s="4" t="s">
        <v>1</v>
      </c>
      <c r="D10" s="5" t="s">
        <v>20</v>
      </c>
      <c r="E10" s="4" t="s">
        <v>12</v>
      </c>
      <c r="F10" s="4" t="s">
        <v>12</v>
      </c>
      <c r="G10" s="5">
        <v>75</v>
      </c>
      <c r="H10" s="15"/>
      <c r="I10" s="5">
        <v>38</v>
      </c>
      <c r="J10" s="19"/>
      <c r="K10" s="21"/>
      <c r="L10" s="10"/>
    </row>
    <row r="11" spans="2:12" ht="24" customHeight="1">
      <c r="B11" s="4"/>
      <c r="C11" s="4" t="s">
        <v>1</v>
      </c>
      <c r="D11" s="5" t="s">
        <v>21</v>
      </c>
      <c r="E11" s="4" t="s">
        <v>12</v>
      </c>
      <c r="F11" s="4" t="s">
        <v>12</v>
      </c>
      <c r="G11" s="5">
        <v>7.75</v>
      </c>
      <c r="H11" s="15"/>
      <c r="I11" s="5">
        <v>3</v>
      </c>
      <c r="J11" s="19"/>
      <c r="K11" s="21"/>
      <c r="L11" s="10"/>
    </row>
    <row r="12" spans="2:12" ht="24" customHeight="1">
      <c r="B12" s="4"/>
      <c r="C12" s="4" t="s">
        <v>1</v>
      </c>
      <c r="D12" s="5" t="s">
        <v>22</v>
      </c>
      <c r="E12" s="4" t="s">
        <v>12</v>
      </c>
      <c r="F12" s="4" t="s">
        <v>12</v>
      </c>
      <c r="G12" s="5">
        <v>7.75</v>
      </c>
      <c r="H12" s="15"/>
      <c r="I12" s="5">
        <v>3</v>
      </c>
      <c r="J12" s="19"/>
      <c r="K12" s="21"/>
      <c r="L12" s="10"/>
    </row>
    <row r="13" spans="2:12" ht="24" customHeight="1">
      <c r="B13" s="4" t="s">
        <v>23</v>
      </c>
      <c r="C13" s="4" t="s">
        <v>24</v>
      </c>
      <c r="D13" s="5" t="s">
        <v>25</v>
      </c>
      <c r="E13" s="4" t="s">
        <v>26</v>
      </c>
      <c r="F13" s="4" t="s">
        <v>12</v>
      </c>
      <c r="G13" s="5" t="s">
        <v>27</v>
      </c>
      <c r="H13" s="5">
        <v>6480</v>
      </c>
      <c r="I13" s="15">
        <v>6480</v>
      </c>
      <c r="J13" s="15"/>
      <c r="K13" s="12">
        <f>+'T5 SUMMARY'!H13-'T5 SUMMARY'!I13</f>
        <v>0</v>
      </c>
      <c r="L13" s="10"/>
    </row>
    <row r="14" spans="2:12" ht="24" customHeight="1">
      <c r="B14" s="4" t="s">
        <v>28</v>
      </c>
      <c r="C14" s="4"/>
      <c r="D14" s="5" t="s">
        <v>25</v>
      </c>
      <c r="E14" s="4" t="s">
        <v>26</v>
      </c>
      <c r="F14" s="4" t="s">
        <v>12</v>
      </c>
      <c r="G14" s="5" t="s">
        <v>27</v>
      </c>
      <c r="H14" s="15">
        <v>6480</v>
      </c>
      <c r="I14" s="15">
        <v>6480</v>
      </c>
      <c r="J14" s="15"/>
      <c r="K14" s="12">
        <f>+'T5 SUMMARY'!H14-'T5 SUMMARY'!I14</f>
        <v>0</v>
      </c>
      <c r="L14" s="10"/>
    </row>
    <row r="15" spans="2:12" ht="24" customHeight="1">
      <c r="B15" s="4" t="s">
        <v>29</v>
      </c>
      <c r="C15" s="4"/>
      <c r="D15" s="5" t="s">
        <v>25</v>
      </c>
      <c r="E15" s="4" t="s">
        <v>26</v>
      </c>
      <c r="F15" s="4" t="s">
        <v>12</v>
      </c>
      <c r="G15" s="5" t="s">
        <v>27</v>
      </c>
      <c r="H15" s="15"/>
      <c r="I15" s="15"/>
      <c r="J15" s="15"/>
      <c r="K15" s="12">
        <f>+'T5 SUMMARY'!H15-'T5 SUMMARY'!I15</f>
        <v>0</v>
      </c>
      <c r="L15" s="10"/>
    </row>
    <row r="16" spans="2:12" ht="24" customHeight="1">
      <c r="B16" s="4" t="s">
        <v>30</v>
      </c>
      <c r="C16" s="4"/>
      <c r="D16" s="5" t="s">
        <v>25</v>
      </c>
      <c r="E16" s="4" t="s">
        <v>26</v>
      </c>
      <c r="F16" s="4" t="s">
        <v>12</v>
      </c>
      <c r="G16" s="5" t="s">
        <v>27</v>
      </c>
      <c r="H16" s="5">
        <v>6480</v>
      </c>
      <c r="I16" s="15">
        <v>6480</v>
      </c>
      <c r="J16" s="15"/>
      <c r="K16" s="12">
        <f>+'T5 SUMMARY'!H16-'T5 SUMMARY'!I16</f>
        <v>0</v>
      </c>
      <c r="L16" s="10"/>
    </row>
    <row r="17" spans="2:12" ht="24" customHeight="1">
      <c r="B17" s="4" t="s">
        <v>31</v>
      </c>
      <c r="C17" s="4"/>
      <c r="D17" s="5" t="s">
        <v>25</v>
      </c>
      <c r="E17" s="4" t="s">
        <v>26</v>
      </c>
      <c r="F17" s="4" t="s">
        <v>12</v>
      </c>
      <c r="G17" s="5" t="s">
        <v>27</v>
      </c>
      <c r="H17" s="5">
        <v>150</v>
      </c>
      <c r="I17" s="15">
        <v>150</v>
      </c>
      <c r="J17" s="15"/>
      <c r="K17" s="12">
        <f>+'T5 SUMMARY'!H17-'T5 SUMMARY'!I17</f>
        <v>0</v>
      </c>
      <c r="L17" s="10"/>
    </row>
    <row r="18" spans="2:12" ht="24" customHeight="1">
      <c r="B18" s="4" t="s">
        <v>32</v>
      </c>
      <c r="C18" s="4"/>
      <c r="D18" s="5" t="s">
        <v>25</v>
      </c>
      <c r="E18" s="4" t="s">
        <v>26</v>
      </c>
      <c r="F18" s="4" t="s">
        <v>12</v>
      </c>
      <c r="G18" s="5" t="s">
        <v>27</v>
      </c>
      <c r="H18" s="5">
        <v>6480</v>
      </c>
      <c r="I18" s="15">
        <v>6480</v>
      </c>
      <c r="J18" s="15"/>
      <c r="K18" s="12">
        <f>+'T5 SUMMARY'!H18-'T5 SUMMARY'!I18</f>
        <v>0</v>
      </c>
      <c r="L18" s="10"/>
    </row>
    <row r="19" spans="2:12" ht="24" customHeight="1">
      <c r="B19" s="4" t="s">
        <v>33</v>
      </c>
      <c r="C19" s="4"/>
      <c r="D19" s="5" t="s">
        <v>25</v>
      </c>
      <c r="E19" s="4" t="s">
        <v>26</v>
      </c>
      <c r="F19" s="4" t="s">
        <v>12</v>
      </c>
      <c r="G19" s="5" t="s">
        <v>27</v>
      </c>
      <c r="H19" s="5">
        <v>6480</v>
      </c>
      <c r="I19" s="15">
        <v>6480</v>
      </c>
      <c r="J19" s="15"/>
      <c r="K19" s="12">
        <f>+'T5 SUMMARY'!H19-'T5 SUMMARY'!I19</f>
        <v>0</v>
      </c>
      <c r="L19" s="10"/>
    </row>
    <row r="20" spans="2:12" ht="24" customHeight="1">
      <c r="B20" s="4" t="s">
        <v>34</v>
      </c>
      <c r="C20" s="4"/>
      <c r="D20" s="5" t="s">
        <v>25</v>
      </c>
      <c r="E20" s="4" t="s">
        <v>26</v>
      </c>
      <c r="F20" s="4" t="s">
        <v>12</v>
      </c>
      <c r="G20" s="5" t="s">
        <v>27</v>
      </c>
      <c r="H20" s="5">
        <v>150</v>
      </c>
      <c r="I20" s="15">
        <v>150</v>
      </c>
      <c r="J20" s="15"/>
      <c r="K20" s="12">
        <f>+'T5 SUMMARY'!H20-'T5 SUMMARY'!I20</f>
        <v>0</v>
      </c>
      <c r="L20" s="10"/>
    </row>
    <row r="21" spans="2:12" ht="24" customHeight="1">
      <c r="B21" s="4" t="s">
        <v>35</v>
      </c>
      <c r="C21" s="4"/>
      <c r="D21" s="5" t="s">
        <v>25</v>
      </c>
      <c r="E21" s="4" t="s">
        <v>26</v>
      </c>
      <c r="F21" s="4" t="s">
        <v>12</v>
      </c>
      <c r="G21" s="5" t="s">
        <v>27</v>
      </c>
      <c r="H21" s="5">
        <v>550</v>
      </c>
      <c r="I21" s="15">
        <v>550</v>
      </c>
      <c r="J21" s="15"/>
      <c r="K21" s="12">
        <f>+'T5 SUMMARY'!H21-'T5 SUMMARY'!I21</f>
        <v>0</v>
      </c>
      <c r="L21" s="10"/>
    </row>
    <row r="22" spans="2:12" ht="24" customHeight="1">
      <c r="B22" s="4" t="s">
        <v>36</v>
      </c>
      <c r="C22" s="4" t="s">
        <v>37</v>
      </c>
      <c r="D22" s="3" t="s">
        <v>38</v>
      </c>
      <c r="E22" s="4" t="s">
        <v>26</v>
      </c>
      <c r="F22" s="4" t="s">
        <v>12</v>
      </c>
      <c r="G22" s="3">
        <v>311</v>
      </c>
      <c r="H22" s="15">
        <v>4500</v>
      </c>
      <c r="I22" s="3">
        <v>45</v>
      </c>
      <c r="J22" s="20">
        <f>SUM(I22:I38)</f>
        <v>4404.5</v>
      </c>
      <c r="K22" s="21">
        <f>H22-J22</f>
        <v>95.5</v>
      </c>
      <c r="L22" s="22" t="s">
        <v>39</v>
      </c>
    </row>
    <row r="23" spans="2:12" ht="24" customHeight="1">
      <c r="B23" s="4"/>
      <c r="C23" s="4"/>
      <c r="D23" s="3" t="s">
        <v>40</v>
      </c>
      <c r="E23" s="4" t="s">
        <v>26</v>
      </c>
      <c r="F23" s="4" t="s">
        <v>12</v>
      </c>
      <c r="G23" s="3">
        <v>311</v>
      </c>
      <c r="H23" s="15"/>
      <c r="I23" s="3">
        <v>40</v>
      </c>
      <c r="J23" s="18"/>
      <c r="K23" s="21"/>
      <c r="L23" s="23"/>
    </row>
    <row r="24" spans="2:12" ht="24" customHeight="1">
      <c r="B24" s="4"/>
      <c r="C24" s="4"/>
      <c r="D24" s="3" t="s">
        <v>41</v>
      </c>
      <c r="E24" s="4" t="s">
        <v>12</v>
      </c>
      <c r="F24" s="4" t="s">
        <v>12</v>
      </c>
      <c r="G24" s="3">
        <v>311</v>
      </c>
      <c r="H24" s="15"/>
      <c r="I24" s="3">
        <v>48</v>
      </c>
      <c r="J24" s="18"/>
      <c r="K24" s="21"/>
      <c r="L24" s="23"/>
    </row>
    <row r="25" spans="2:12" ht="24" customHeight="1">
      <c r="B25" s="4"/>
      <c r="C25" s="4"/>
      <c r="D25" s="3" t="s">
        <v>42</v>
      </c>
      <c r="E25" s="4" t="s">
        <v>26</v>
      </c>
      <c r="F25" s="4" t="s">
        <v>12</v>
      </c>
      <c r="G25" s="3">
        <v>432</v>
      </c>
      <c r="H25" s="15"/>
      <c r="I25" s="3">
        <v>95</v>
      </c>
      <c r="J25" s="18"/>
      <c r="K25" s="21"/>
      <c r="L25" s="23"/>
    </row>
    <row r="26" spans="2:12" ht="24" customHeight="1">
      <c r="B26" s="4"/>
      <c r="C26" s="4"/>
      <c r="D26" s="3" t="s">
        <v>43</v>
      </c>
      <c r="E26" s="4" t="s">
        <v>26</v>
      </c>
      <c r="F26" s="4" t="s">
        <v>12</v>
      </c>
      <c r="G26" s="3">
        <v>560</v>
      </c>
      <c r="H26" s="15"/>
      <c r="I26" s="3">
        <v>105</v>
      </c>
      <c r="J26" s="18"/>
      <c r="K26" s="21"/>
      <c r="L26" s="23"/>
    </row>
    <row r="27" spans="2:12" ht="24" customHeight="1">
      <c r="B27" s="4"/>
      <c r="C27" s="4"/>
      <c r="D27" s="6" t="s">
        <v>44</v>
      </c>
      <c r="E27" s="4" t="s">
        <v>26</v>
      </c>
      <c r="F27" s="4" t="s">
        <v>12</v>
      </c>
      <c r="G27" s="6">
        <v>10153</v>
      </c>
      <c r="H27" s="15"/>
      <c r="I27" s="3">
        <v>2100</v>
      </c>
      <c r="J27" s="18"/>
      <c r="K27" s="21"/>
      <c r="L27" s="23"/>
    </row>
    <row r="28" spans="2:12" ht="24" customHeight="1">
      <c r="B28" s="4"/>
      <c r="C28" s="4"/>
      <c r="D28" s="7" t="s">
        <v>45</v>
      </c>
      <c r="E28" s="4" t="s">
        <v>26</v>
      </c>
      <c r="F28" s="4" t="s">
        <v>12</v>
      </c>
      <c r="G28" s="7"/>
      <c r="H28" s="15"/>
      <c r="I28" s="3">
        <v>1060</v>
      </c>
      <c r="J28" s="18"/>
      <c r="K28" s="21"/>
      <c r="L28" s="23"/>
    </row>
    <row r="29" spans="2:12" ht="24" customHeight="1">
      <c r="B29" s="4"/>
      <c r="C29" s="4"/>
      <c r="D29" s="8" t="s">
        <v>46</v>
      </c>
      <c r="E29" s="4" t="s">
        <v>26</v>
      </c>
      <c r="F29" s="4" t="s">
        <v>12</v>
      </c>
      <c r="G29" s="8"/>
      <c r="H29" s="15"/>
      <c r="I29" s="3">
        <v>720</v>
      </c>
      <c r="J29" s="18"/>
      <c r="K29" s="21"/>
      <c r="L29" s="23"/>
    </row>
    <row r="30" spans="2:12" ht="24" customHeight="1">
      <c r="B30" s="4"/>
      <c r="C30" s="4"/>
      <c r="D30" s="3" t="s">
        <v>47</v>
      </c>
      <c r="E30" s="4" t="s">
        <v>26</v>
      </c>
      <c r="F30" s="4" t="s">
        <v>12</v>
      </c>
      <c r="G30" s="3">
        <v>207</v>
      </c>
      <c r="H30" s="15"/>
      <c r="I30" s="3">
        <v>90</v>
      </c>
      <c r="J30" s="18"/>
      <c r="K30" s="21"/>
      <c r="L30" s="23"/>
    </row>
    <row r="31" spans="2:12" ht="24" customHeight="1">
      <c r="B31" s="4"/>
      <c r="C31" s="4"/>
      <c r="D31" s="3" t="s">
        <v>48</v>
      </c>
      <c r="E31" s="4" t="s">
        <v>12</v>
      </c>
      <c r="F31" s="4" t="s">
        <v>12</v>
      </c>
      <c r="G31" s="3">
        <v>31</v>
      </c>
      <c r="H31" s="15"/>
      <c r="I31" s="3">
        <v>40</v>
      </c>
      <c r="J31" s="18"/>
      <c r="K31" s="21"/>
      <c r="L31" s="23"/>
    </row>
    <row r="32" spans="2:12" ht="24" customHeight="1">
      <c r="B32" s="4"/>
      <c r="C32" s="4"/>
      <c r="D32" s="3" t="s">
        <v>49</v>
      </c>
      <c r="E32" s="4" t="s">
        <v>12</v>
      </c>
      <c r="F32" s="4" t="s">
        <v>12</v>
      </c>
      <c r="G32" s="3">
        <v>7.75</v>
      </c>
      <c r="H32" s="15"/>
      <c r="I32" s="3">
        <v>3</v>
      </c>
      <c r="J32" s="18"/>
      <c r="K32" s="21"/>
      <c r="L32" s="23"/>
    </row>
    <row r="33" spans="2:12" ht="24" customHeight="1">
      <c r="B33" s="4"/>
      <c r="C33" s="4"/>
      <c r="D33" s="3" t="s">
        <v>50</v>
      </c>
      <c r="E33" s="4" t="s">
        <v>51</v>
      </c>
      <c r="F33" s="4" t="s">
        <v>51</v>
      </c>
      <c r="G33" s="3">
        <v>7.75</v>
      </c>
      <c r="H33" s="15"/>
      <c r="I33" s="3">
        <v>0.5</v>
      </c>
      <c r="J33" s="18"/>
      <c r="K33" s="21"/>
      <c r="L33" s="23"/>
    </row>
    <row r="34" spans="2:12" ht="24" customHeight="1">
      <c r="B34" s="4"/>
      <c r="C34" s="4"/>
      <c r="D34" s="3" t="s">
        <v>52</v>
      </c>
      <c r="E34" s="4" t="s">
        <v>51</v>
      </c>
      <c r="F34" s="4" t="s">
        <v>51</v>
      </c>
      <c r="G34" s="3"/>
      <c r="H34" s="15"/>
      <c r="I34" s="3">
        <v>1</v>
      </c>
      <c r="J34" s="18"/>
      <c r="K34" s="21"/>
      <c r="L34" s="23"/>
    </row>
    <row r="35" spans="2:12" ht="24" customHeight="1">
      <c r="B35" s="4"/>
      <c r="C35" s="4"/>
      <c r="D35" s="3" t="s">
        <v>53</v>
      </c>
      <c r="E35" s="4" t="s">
        <v>12</v>
      </c>
      <c r="F35" s="4" t="s">
        <v>12</v>
      </c>
      <c r="G35" s="3">
        <v>77.5</v>
      </c>
      <c r="H35" s="15"/>
      <c r="I35" s="3">
        <v>40</v>
      </c>
      <c r="J35" s="18"/>
      <c r="K35" s="21"/>
      <c r="L35" s="23"/>
    </row>
    <row r="36" spans="2:12" ht="24" customHeight="1">
      <c r="B36" s="4"/>
      <c r="C36" s="4"/>
      <c r="D36" s="5" t="s">
        <v>54</v>
      </c>
      <c r="E36" s="4" t="s">
        <v>12</v>
      </c>
      <c r="F36" s="4" t="s">
        <v>12</v>
      </c>
      <c r="G36" s="5">
        <v>7.75</v>
      </c>
      <c r="H36" s="15"/>
      <c r="I36" s="3">
        <v>5</v>
      </c>
      <c r="J36" s="18"/>
      <c r="K36" s="21"/>
      <c r="L36" s="23"/>
    </row>
    <row r="37" spans="2:12" ht="24" customHeight="1">
      <c r="B37" s="4"/>
      <c r="C37" s="4"/>
      <c r="D37" s="5" t="s">
        <v>55</v>
      </c>
      <c r="E37" s="4" t="s">
        <v>12</v>
      </c>
      <c r="F37" s="4" t="s">
        <v>12</v>
      </c>
      <c r="G37" s="5">
        <v>7.75</v>
      </c>
      <c r="H37" s="15"/>
      <c r="I37" s="3">
        <v>6</v>
      </c>
      <c r="J37" s="18"/>
      <c r="K37" s="21"/>
      <c r="L37" s="23"/>
    </row>
    <row r="38" spans="2:12" ht="24.95" customHeight="1">
      <c r="B38" s="4"/>
      <c r="C38" s="4"/>
      <c r="D38" s="3" t="s">
        <v>56</v>
      </c>
      <c r="E38" s="4" t="s">
        <v>12</v>
      </c>
      <c r="F38" s="4" t="s">
        <v>12</v>
      </c>
      <c r="G38" s="3">
        <v>7.75</v>
      </c>
      <c r="H38" s="15"/>
      <c r="I38" s="3">
        <v>6</v>
      </c>
      <c r="J38" s="18"/>
      <c r="K38" s="21"/>
      <c r="L38" s="23"/>
    </row>
    <row r="39" spans="2:12" ht="24.95" customHeight="1">
      <c r="B39" s="4" t="s">
        <v>57</v>
      </c>
      <c r="C39" s="4" t="s">
        <v>37</v>
      </c>
      <c r="D39" s="3" t="s">
        <v>58</v>
      </c>
      <c r="E39" s="4" t="s">
        <v>26</v>
      </c>
      <c r="F39" s="4" t="s">
        <v>12</v>
      </c>
      <c r="G39" s="3" t="s">
        <v>59</v>
      </c>
      <c r="H39" s="16">
        <v>4500</v>
      </c>
      <c r="I39" s="13"/>
      <c r="J39" s="19">
        <f>SUM(I39:I47)</f>
        <v>4370</v>
      </c>
      <c r="K39" s="21">
        <f>H39-J39</f>
        <v>130</v>
      </c>
      <c r="L39" s="22" t="s">
        <v>60</v>
      </c>
    </row>
    <row r="40" spans="2:12" ht="24.95" customHeight="1">
      <c r="B40" s="4"/>
      <c r="C40" s="4"/>
      <c r="D40" s="3" t="s">
        <v>61</v>
      </c>
      <c r="E40" s="4" t="s">
        <v>26</v>
      </c>
      <c r="F40" s="4" t="s">
        <v>12</v>
      </c>
      <c r="G40" s="3">
        <v>3326</v>
      </c>
      <c r="H40" s="17"/>
      <c r="I40" s="5">
        <v>1600</v>
      </c>
      <c r="J40" s="15"/>
      <c r="K40" s="21"/>
      <c r="L40" s="23"/>
    </row>
    <row r="41" spans="2:12" ht="24.95" customHeight="1">
      <c r="B41" s="4"/>
      <c r="C41" s="4"/>
      <c r="D41" s="3" t="s">
        <v>62</v>
      </c>
      <c r="E41" s="4" t="s">
        <v>26</v>
      </c>
      <c r="F41" s="4" t="s">
        <v>12</v>
      </c>
      <c r="G41" s="3">
        <v>427</v>
      </c>
      <c r="H41" s="17"/>
      <c r="I41" s="5">
        <v>48</v>
      </c>
      <c r="J41" s="15"/>
      <c r="K41" s="21"/>
      <c r="L41" s="23"/>
    </row>
    <row r="42" spans="2:12" ht="24.95" customHeight="1">
      <c r="B42" s="4"/>
      <c r="C42" s="4"/>
      <c r="D42" s="3" t="s">
        <v>63</v>
      </c>
      <c r="E42" s="4" t="s">
        <v>26</v>
      </c>
      <c r="F42" s="4" t="s">
        <v>12</v>
      </c>
      <c r="G42" s="3">
        <f>713</f>
        <v>713</v>
      </c>
      <c r="H42" s="17"/>
      <c r="I42" s="5">
        <v>120</v>
      </c>
      <c r="J42" s="15"/>
      <c r="K42" s="21"/>
      <c r="L42" s="23"/>
    </row>
    <row r="43" spans="2:12" ht="24.95" customHeight="1">
      <c r="B43" s="4"/>
      <c r="C43" s="4"/>
      <c r="D43" s="9" t="s">
        <v>64</v>
      </c>
      <c r="E43" s="4" t="s">
        <v>26</v>
      </c>
      <c r="F43" s="4" t="s">
        <v>12</v>
      </c>
      <c r="G43" s="9">
        <v>256</v>
      </c>
      <c r="H43" s="17"/>
      <c r="I43" s="5">
        <v>36</v>
      </c>
      <c r="J43" s="15"/>
      <c r="K43" s="21"/>
      <c r="L43" s="23"/>
    </row>
    <row r="44" spans="2:12" ht="24.95" customHeight="1">
      <c r="B44" s="4"/>
      <c r="C44" s="4"/>
      <c r="D44" s="9" t="s">
        <v>65</v>
      </c>
      <c r="E44" s="4" t="s">
        <v>26</v>
      </c>
      <c r="F44" s="4" t="s">
        <v>12</v>
      </c>
      <c r="G44" s="9">
        <v>116</v>
      </c>
      <c r="H44" s="17"/>
      <c r="I44" s="5">
        <v>16</v>
      </c>
      <c r="J44" s="15"/>
      <c r="K44" s="21"/>
      <c r="L44" s="23"/>
    </row>
    <row r="45" spans="2:12" ht="24.95" customHeight="1">
      <c r="B45" s="4"/>
      <c r="C45" s="4"/>
      <c r="D45" s="9" t="s">
        <v>66</v>
      </c>
      <c r="E45" s="4" t="s">
        <v>26</v>
      </c>
      <c r="F45" s="4" t="s">
        <v>12</v>
      </c>
      <c r="G45" s="9">
        <v>346</v>
      </c>
      <c r="H45" s="17"/>
      <c r="I45" s="5">
        <v>60</v>
      </c>
      <c r="J45" s="15"/>
      <c r="K45" s="21"/>
      <c r="L45" s="23"/>
    </row>
    <row r="46" spans="2:12" ht="24.95" customHeight="1">
      <c r="B46" s="4"/>
      <c r="C46" s="4"/>
      <c r="D46" s="9" t="s">
        <v>67</v>
      </c>
      <c r="E46" s="4" t="s">
        <v>26</v>
      </c>
      <c r="F46" s="4" t="s">
        <v>12</v>
      </c>
      <c r="G46" s="9"/>
      <c r="H46" s="17"/>
      <c r="I46" s="5">
        <v>2240</v>
      </c>
      <c r="J46" s="15"/>
      <c r="K46" s="21"/>
      <c r="L46" s="23"/>
    </row>
    <row r="47" spans="2:12" ht="45" customHeight="1">
      <c r="B47" s="4"/>
      <c r="C47" s="4"/>
      <c r="D47" s="5" t="s">
        <v>68</v>
      </c>
      <c r="E47" s="4" t="s">
        <v>26</v>
      </c>
      <c r="F47" s="4" t="s">
        <v>12</v>
      </c>
      <c r="G47" s="5">
        <v>300</v>
      </c>
      <c r="H47" s="17"/>
      <c r="I47" s="3">
        <v>250</v>
      </c>
      <c r="J47" s="15"/>
      <c r="K47" s="21"/>
      <c r="L47" s="23"/>
    </row>
    <row r="48" spans="2:12" ht="33" customHeight="1">
      <c r="B48" s="4" t="s">
        <v>69</v>
      </c>
      <c r="C48" s="4" t="s">
        <v>24</v>
      </c>
      <c r="D48" s="5" t="s">
        <v>70</v>
      </c>
      <c r="E48" s="4" t="s">
        <v>26</v>
      </c>
      <c r="F48" s="4" t="s">
        <v>12</v>
      </c>
      <c r="G48" s="5" t="s">
        <v>71</v>
      </c>
      <c r="H48" s="5">
        <v>3200</v>
      </c>
      <c r="I48" s="5">
        <v>2890</v>
      </c>
      <c r="J48" s="5">
        <f>SUM(I48)</f>
        <v>2890</v>
      </c>
      <c r="K48" s="12">
        <f>H48-J48</f>
        <v>310</v>
      </c>
      <c r="L48" s="10"/>
    </row>
  </sheetData>
  <mergeCells count="21">
    <mergeCell ref="L22:L38"/>
    <mergeCell ref="L39:L47"/>
    <mergeCell ref="I14:J15"/>
    <mergeCell ref="I1:J1"/>
    <mergeCell ref="H39:H47"/>
    <mergeCell ref="J2:J12"/>
    <mergeCell ref="J22:J38"/>
    <mergeCell ref="J39:J47"/>
    <mergeCell ref="K2:K12"/>
    <mergeCell ref="K22:K38"/>
    <mergeCell ref="K39:K47"/>
    <mergeCell ref="H2:H12"/>
    <mergeCell ref="H14:H15"/>
    <mergeCell ref="H22:H38"/>
    <mergeCell ref="I17:J17"/>
    <mergeCell ref="I18:J18"/>
    <mergeCell ref="I19:J19"/>
    <mergeCell ref="I20:J20"/>
    <mergeCell ref="I21:J21"/>
    <mergeCell ref="I13:J13"/>
    <mergeCell ref="I16:J16"/>
  </mergeCells>
  <dataValidations count="1">
    <dataValidation type="list" allowBlank="1" showInputMessage="1" showErrorMessage="1" promptTitle="Rack, U Space, Cage" sqref="E2:F48" xr:uid="{00000000-0002-0000-0000-000000000000}">
      <formula1>"Space,Rack,U space"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018547</dc:creator>
  <cp:keywords/>
  <dc:description/>
  <cp:lastModifiedBy/>
  <cp:revision/>
  <dcterms:created xsi:type="dcterms:W3CDTF">2026-03-15T18:50:46Z</dcterms:created>
  <dcterms:modified xsi:type="dcterms:W3CDTF">2026-03-27T07:41:55Z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B393E229285447B58C846BDAF9B6BC0F_11</vt:lpwstr>
  </property>
  <property fmtid="{D5CDD505-2E9C-101B-9397-08002B2CF9AE}" pid="3" name="KSOProductBuildVer">
    <vt:lpwstr>1033-12.2.0.23196</vt:lpwstr>
  </property>
</Properties>
</file>