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7"/>
  <workbookPr/>
  <mc:AlternateContent xmlns:mc="http://schemas.openxmlformats.org/markup-compatibility/2006">
    <mc:Choice Requires="x15">
      <x15ac:absPath xmlns:x15ac="http://schemas.microsoft.com/office/spreadsheetml/2010/11/ac" url="https://sify-my.sharepoint.com/personal/sathish_ranganathan_sifycorp_com/Documents/Desktop/"/>
    </mc:Choice>
  </mc:AlternateContent>
  <xr:revisionPtr revIDLastSave="0" documentId="8_{F800BC26-0FAD-43B3-9232-64557014A16D}" xr6:coauthVersionLast="47" xr6:coauthVersionMax="47" xr10:uidLastSave="{00000000-0000-0000-0000-000000000000}"/>
  <bookViews>
    <workbookView xWindow="-110" yWindow="-110" windowWidth="19420" windowHeight="11500" tabRatio="500" firstSheet="1" activeTab="3" xr2:uid="{00000000-000D-0000-FFFF-FFFF00000000}"/>
  </bookViews>
  <sheets>
    <sheet name="Summary" sheetId="1" r:id="rId1"/>
    <sheet name="NEW SUMMARY" sheetId="2" r:id="rId2"/>
    <sheet name="Facility details " sheetId="3" r:id="rId3"/>
    <sheet name="Customer details" sheetId="4" r:id="rId4"/>
    <sheet name="Disconnection details" sheetId="5" r:id="rId5"/>
  </sheets>
  <externalReferences>
    <externalReference r:id="rId6"/>
    <externalReference r:id="rId7"/>
  </externalReferences>
  <definedNames>
    <definedName name="_xlnm._FilterDatabase" localSheetId="3" hidden="1">'Customer details'!$1:$91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L91" i="4" l="1"/>
  <c r="AK91" i="4"/>
  <c r="Y91" i="4"/>
  <c r="X91" i="4"/>
  <c r="W91" i="4"/>
  <c r="T91" i="4"/>
  <c r="L91" i="4"/>
  <c r="M91" i="4"/>
  <c r="N91" i="4" s="1"/>
  <c r="I91" i="4"/>
  <c r="AL21" i="5"/>
  <c r="AK21" i="5"/>
  <c r="Y21" i="5"/>
  <c r="X21" i="5"/>
  <c r="T21" i="5"/>
  <c r="P21" i="5"/>
  <c r="W21" i="5" s="1"/>
  <c r="M21" i="5"/>
  <c r="N21" i="5" s="1"/>
  <c r="L21" i="5"/>
  <c r="I21" i="5"/>
  <c r="AL20" i="5"/>
  <c r="AK20" i="5"/>
  <c r="AA20" i="5"/>
  <c r="Y20" i="5"/>
  <c r="X20" i="5"/>
  <c r="T20" i="5"/>
  <c r="P20" i="5"/>
  <c r="W20" i="5" s="1"/>
  <c r="M20" i="5"/>
  <c r="N20" i="5" s="1"/>
  <c r="L20" i="5"/>
  <c r="I20" i="5"/>
  <c r="AL19" i="5"/>
  <c r="AK19" i="5"/>
  <c r="Y19" i="5"/>
  <c r="X19" i="5"/>
  <c r="T19" i="5"/>
  <c r="P19" i="5"/>
  <c r="W19" i="5" s="1"/>
  <c r="M19" i="5"/>
  <c r="N19" i="5" s="1"/>
  <c r="L19" i="5"/>
  <c r="I19" i="5"/>
  <c r="AQ18" i="5"/>
  <c r="AL18" i="5"/>
  <c r="AR18" i="5" s="1"/>
  <c r="AK18" i="5"/>
  <c r="AA18" i="5"/>
  <c r="Y18" i="5"/>
  <c r="X18" i="5"/>
  <c r="W18" i="5"/>
  <c r="T18" i="5"/>
  <c r="P18" i="5"/>
  <c r="O18" i="5"/>
  <c r="M18" i="5"/>
  <c r="L18" i="5"/>
  <c r="I18" i="5"/>
  <c r="I90" i="4"/>
  <c r="L90" i="4"/>
  <c r="M90" i="4"/>
  <c r="N90" i="4" s="1"/>
  <c r="W90" i="4"/>
  <c r="X90" i="4"/>
  <c r="AK90" i="4"/>
  <c r="AL90" i="4"/>
  <c r="S2" i="4"/>
  <c r="S85" i="4"/>
  <c r="S84" i="4"/>
  <c r="S80" i="4"/>
  <c r="S78" i="4"/>
  <c r="S23" i="4"/>
  <c r="S22" i="4"/>
  <c r="S21" i="4"/>
  <c r="S19" i="4"/>
  <c r="S18" i="4"/>
  <c r="S17" i="4"/>
  <c r="S16" i="4"/>
  <c r="S12" i="4"/>
  <c r="S11" i="4"/>
  <c r="S10" i="4"/>
  <c r="S9" i="4"/>
  <c r="S8" i="4"/>
  <c r="S7" i="4"/>
  <c r="S5" i="4"/>
  <c r="S4" i="4"/>
  <c r="S3" i="4"/>
  <c r="V91" i="4" l="1"/>
  <c r="Z91" i="4"/>
  <c r="V21" i="5"/>
  <c r="Z21" i="5"/>
  <c r="T90" i="4"/>
  <c r="Y90" i="4"/>
  <c r="Z20" i="5"/>
  <c r="V20" i="5"/>
  <c r="Z19" i="5"/>
  <c r="V19" i="5"/>
  <c r="V18" i="5"/>
  <c r="Z18" i="5"/>
  <c r="N18" i="5"/>
  <c r="AO18" i="5"/>
  <c r="AT18" i="5" s="1"/>
  <c r="C4" i="3"/>
  <c r="Z90" i="4" l="1"/>
  <c r="V90" i="4"/>
  <c r="AK89" i="4"/>
  <c r="AL89" i="4"/>
  <c r="Y89" i="4"/>
  <c r="L89" i="4"/>
  <c r="M89" i="4"/>
  <c r="N89" i="4" s="1"/>
  <c r="X89" i="4" l="1"/>
  <c r="T89" i="4"/>
  <c r="I89" i="4"/>
  <c r="W89" i="4"/>
  <c r="T85" i="4"/>
  <c r="Z85" i="4" s="1"/>
  <c r="T84" i="4"/>
  <c r="T80" i="4"/>
  <c r="Z80" i="4" s="1"/>
  <c r="T78" i="4"/>
  <c r="Z78" i="4" s="1"/>
  <c r="X23" i="4"/>
  <c r="Y22" i="4"/>
  <c r="Y21" i="4"/>
  <c r="Y19" i="4"/>
  <c r="Y18" i="4"/>
  <c r="Y17" i="4"/>
  <c r="X16" i="4"/>
  <c r="X12" i="4"/>
  <c r="Y11" i="4"/>
  <c r="Y10" i="4"/>
  <c r="Y9" i="4"/>
  <c r="X8" i="4"/>
  <c r="T7" i="4"/>
  <c r="Z7" i="4" s="1"/>
  <c r="Y5" i="4"/>
  <c r="Y4" i="4"/>
  <c r="Y3" i="4"/>
  <c r="T2" i="4"/>
  <c r="Y80" i="4"/>
  <c r="AL17" i="5"/>
  <c r="AK17" i="5"/>
  <c r="Y17" i="5"/>
  <c r="X17" i="5"/>
  <c r="T17" i="5"/>
  <c r="P17" i="5"/>
  <c r="W17" i="5" s="1"/>
  <c r="M17" i="5"/>
  <c r="N17" i="5" s="1"/>
  <c r="L17" i="5"/>
  <c r="I17" i="5"/>
  <c r="AQ16" i="5"/>
  <c r="AL16" i="5"/>
  <c r="AR16" i="5" s="1"/>
  <c r="AK16" i="5"/>
  <c r="AA16" i="5"/>
  <c r="Y16" i="5"/>
  <c r="X16" i="5"/>
  <c r="T16" i="5"/>
  <c r="P16" i="5"/>
  <c r="W16" i="5" s="1"/>
  <c r="O16" i="5"/>
  <c r="M16" i="5"/>
  <c r="N16" i="5" s="1"/>
  <c r="L16" i="5"/>
  <c r="I16" i="5"/>
  <c r="AQ15" i="5"/>
  <c r="AL15" i="5"/>
  <c r="AR15" i="5" s="1"/>
  <c r="AK15" i="5"/>
  <c r="AA15" i="5"/>
  <c r="Y15" i="5"/>
  <c r="X15" i="5"/>
  <c r="V15" i="5"/>
  <c r="T15" i="5"/>
  <c r="Z15" i="5" s="1"/>
  <c r="P15" i="5"/>
  <c r="W15" i="5" s="1"/>
  <c r="O15" i="5"/>
  <c r="M15" i="5"/>
  <c r="N15" i="5" s="1"/>
  <c r="L15" i="5"/>
  <c r="I15" i="5"/>
  <c r="AQ14" i="5"/>
  <c r="AL14" i="5"/>
  <c r="AR14" i="5" s="1"/>
  <c r="AK14" i="5"/>
  <c r="Y14" i="5"/>
  <c r="X14" i="5"/>
  <c r="T14" i="5"/>
  <c r="P14" i="5"/>
  <c r="W14" i="5" s="1"/>
  <c r="M14" i="5"/>
  <c r="L14" i="5"/>
  <c r="I14" i="5"/>
  <c r="AL13" i="5"/>
  <c r="Y13" i="5"/>
  <c r="X13" i="5"/>
  <c r="W13" i="5"/>
  <c r="T13" i="5"/>
  <c r="N13" i="5"/>
  <c r="L13" i="5"/>
  <c r="I13" i="5"/>
  <c r="AL12" i="5"/>
  <c r="Y12" i="5"/>
  <c r="X12" i="5"/>
  <c r="W12" i="5"/>
  <c r="T12" i="5"/>
  <c r="O12" i="5"/>
  <c r="N12" i="5"/>
  <c r="L12" i="5"/>
  <c r="I12" i="5"/>
  <c r="AQ11" i="5"/>
  <c r="AN11" i="5"/>
  <c r="AL11" i="5"/>
  <c r="Y11" i="5"/>
  <c r="X11" i="5"/>
  <c r="T11" i="5"/>
  <c r="P11" i="5"/>
  <c r="W11" i="5" s="1"/>
  <c r="O11" i="5"/>
  <c r="M11" i="5"/>
  <c r="N11" i="5" s="1"/>
  <c r="L11" i="5"/>
  <c r="I11" i="5"/>
  <c r="M10" i="5"/>
  <c r="L10" i="5"/>
  <c r="I10" i="5"/>
  <c r="M9" i="5"/>
  <c r="L9" i="5"/>
  <c r="I9" i="5"/>
  <c r="M8" i="5"/>
  <c r="L8" i="5"/>
  <c r="I8" i="5"/>
  <c r="M7" i="5"/>
  <c r="L7" i="5"/>
  <c r="I7" i="5"/>
  <c r="M6" i="5"/>
  <c r="L6" i="5"/>
  <c r="I6" i="5"/>
  <c r="M5" i="5"/>
  <c r="L5" i="5"/>
  <c r="I5" i="5"/>
  <c r="M4" i="5"/>
  <c r="L4" i="5"/>
  <c r="I4" i="5"/>
  <c r="AE1" i="5"/>
  <c r="AC1" i="5"/>
  <c r="AF1" i="5" s="1"/>
  <c r="Z1" i="5"/>
  <c r="AL88" i="4"/>
  <c r="AK88" i="4"/>
  <c r="AA88" i="4"/>
  <c r="Y88" i="4"/>
  <c r="X88" i="4"/>
  <c r="T88" i="4"/>
  <c r="Z88" i="4" s="1"/>
  <c r="P88" i="4"/>
  <c r="W88" i="4" s="1"/>
  <c r="M88" i="4"/>
  <c r="N88" i="4" s="1"/>
  <c r="L88" i="4"/>
  <c r="I88" i="4"/>
  <c r="AL87" i="4"/>
  <c r="AK87" i="4"/>
  <c r="Y87" i="4"/>
  <c r="X87" i="4"/>
  <c r="T87" i="4"/>
  <c r="Z87" i="4" s="1"/>
  <c r="P87" i="4"/>
  <c r="W87" i="4" s="1"/>
  <c r="M87" i="4"/>
  <c r="N87" i="4" s="1"/>
  <c r="L87" i="4"/>
  <c r="I87" i="4"/>
  <c r="AL86" i="4"/>
  <c r="AK86" i="4"/>
  <c r="Y86" i="4"/>
  <c r="X86" i="4"/>
  <c r="T86" i="4"/>
  <c r="Z86" i="4" s="1"/>
  <c r="P86" i="4"/>
  <c r="M86" i="4"/>
  <c r="N86" i="4" s="1"/>
  <c r="L86" i="4"/>
  <c r="I86" i="4"/>
  <c r="AL85" i="4"/>
  <c r="AK85" i="4"/>
  <c r="P85" i="4"/>
  <c r="W85" i="4" s="1"/>
  <c r="M85" i="4"/>
  <c r="N85" i="4" s="1"/>
  <c r="L85" i="4"/>
  <c r="I85" i="4"/>
  <c r="AL84" i="4"/>
  <c r="AK84" i="4"/>
  <c r="P84" i="4"/>
  <c r="W84" i="4" s="1"/>
  <c r="M84" i="4"/>
  <c r="N84" i="4" s="1"/>
  <c r="L84" i="4"/>
  <c r="I84" i="4"/>
  <c r="AL83" i="4"/>
  <c r="AK83" i="4"/>
  <c r="Y83" i="4"/>
  <c r="X83" i="4"/>
  <c r="T83" i="4"/>
  <c r="Z83" i="4" s="1"/>
  <c r="P83" i="4"/>
  <c r="M83" i="4"/>
  <c r="N83" i="4" s="1"/>
  <c r="L83" i="4"/>
  <c r="I83" i="4"/>
  <c r="AL82" i="4"/>
  <c r="AK82" i="4"/>
  <c r="Y82" i="4"/>
  <c r="X82" i="4"/>
  <c r="T82" i="4"/>
  <c r="Z82" i="4" s="1"/>
  <c r="P82" i="4"/>
  <c r="M82" i="4"/>
  <c r="N82" i="4" s="1"/>
  <c r="L82" i="4"/>
  <c r="I82" i="4"/>
  <c r="AL81" i="4"/>
  <c r="AK81" i="4"/>
  <c r="Y81" i="4"/>
  <c r="X81" i="4"/>
  <c r="T81" i="4"/>
  <c r="Z81" i="4" s="1"/>
  <c r="P81" i="4"/>
  <c r="W81" i="4" s="1"/>
  <c r="M81" i="4"/>
  <c r="N81" i="4" s="1"/>
  <c r="L81" i="4"/>
  <c r="I81" i="4"/>
  <c r="AL80" i="4"/>
  <c r="AK80" i="4"/>
  <c r="P80" i="4"/>
  <c r="W80" i="4" s="1"/>
  <c r="M80" i="4"/>
  <c r="N80" i="4" s="1"/>
  <c r="L80" i="4"/>
  <c r="I80" i="4"/>
  <c r="AL79" i="4"/>
  <c r="AK79" i="4"/>
  <c r="Y79" i="4"/>
  <c r="X79" i="4"/>
  <c r="T79" i="4"/>
  <c r="Z79" i="4" s="1"/>
  <c r="P79" i="4"/>
  <c r="W79" i="4" s="1"/>
  <c r="M79" i="4"/>
  <c r="N79" i="4" s="1"/>
  <c r="L79" i="4"/>
  <c r="I79" i="4"/>
  <c r="AL78" i="4"/>
  <c r="AK78" i="4"/>
  <c r="P78" i="4"/>
  <c r="W78" i="4" s="1"/>
  <c r="M78" i="4"/>
  <c r="N78" i="4" s="1"/>
  <c r="L78" i="4"/>
  <c r="I78" i="4"/>
  <c r="AL77" i="4"/>
  <c r="AK77" i="4"/>
  <c r="Y77" i="4"/>
  <c r="X77" i="4"/>
  <c r="T77" i="4"/>
  <c r="V77" i="4" s="1"/>
  <c r="P77" i="4"/>
  <c r="W77" i="4" s="1"/>
  <c r="O77" i="4"/>
  <c r="M77" i="4"/>
  <c r="N77" i="4" s="1"/>
  <c r="L77" i="4"/>
  <c r="I77" i="4"/>
  <c r="AL76" i="4"/>
  <c r="AK76" i="4"/>
  <c r="Y76" i="4"/>
  <c r="X76" i="4"/>
  <c r="T76" i="4"/>
  <c r="Z76" i="4" s="1"/>
  <c r="P76" i="4"/>
  <c r="W76" i="4" s="1"/>
  <c r="O76" i="4"/>
  <c r="M76" i="4"/>
  <c r="N76" i="4" s="1"/>
  <c r="L76" i="4"/>
  <c r="I76" i="4"/>
  <c r="AL75" i="4"/>
  <c r="AK75" i="4"/>
  <c r="Y75" i="4"/>
  <c r="X75" i="4"/>
  <c r="T75" i="4"/>
  <c r="Z75" i="4" s="1"/>
  <c r="P75" i="4"/>
  <c r="W75" i="4" s="1"/>
  <c r="M75" i="4"/>
  <c r="N75" i="4" s="1"/>
  <c r="L75" i="4"/>
  <c r="I75" i="4"/>
  <c r="AL74" i="4"/>
  <c r="AK74" i="4"/>
  <c r="AA74" i="4"/>
  <c r="Y74" i="4"/>
  <c r="X74" i="4"/>
  <c r="T74" i="4"/>
  <c r="Z74" i="4" s="1"/>
  <c r="P74" i="4"/>
  <c r="W74" i="4" s="1"/>
  <c r="M74" i="4"/>
  <c r="N74" i="4" s="1"/>
  <c r="L74" i="4"/>
  <c r="I74" i="4"/>
  <c r="AL73" i="4"/>
  <c r="AK73" i="4"/>
  <c r="AA73" i="4"/>
  <c r="Y73" i="4"/>
  <c r="X73" i="4"/>
  <c r="T73" i="4"/>
  <c r="Z73" i="4" s="1"/>
  <c r="P73" i="4"/>
  <c r="W73" i="4" s="1"/>
  <c r="M73" i="4"/>
  <c r="N73" i="4" s="1"/>
  <c r="L73" i="4"/>
  <c r="I73" i="4"/>
  <c r="AL72" i="4"/>
  <c r="AK72" i="4"/>
  <c r="Y72" i="4"/>
  <c r="X72" i="4"/>
  <c r="T72" i="4"/>
  <c r="Z72" i="4" s="1"/>
  <c r="P72" i="4"/>
  <c r="W72" i="4" s="1"/>
  <c r="O72" i="4"/>
  <c r="M72" i="4"/>
  <c r="N72" i="4" s="1"/>
  <c r="L72" i="4"/>
  <c r="I72" i="4"/>
  <c r="AL71" i="4"/>
  <c r="AK71" i="4"/>
  <c r="Y71" i="4"/>
  <c r="X71" i="4"/>
  <c r="T71" i="4"/>
  <c r="P71" i="4"/>
  <c r="W71" i="4" s="1"/>
  <c r="M71" i="4"/>
  <c r="N71" i="4" s="1"/>
  <c r="L71" i="4"/>
  <c r="I71" i="4"/>
  <c r="AL70" i="4"/>
  <c r="AK70" i="4"/>
  <c r="Y70" i="4"/>
  <c r="X70" i="4"/>
  <c r="T70" i="4"/>
  <c r="Z70" i="4" s="1"/>
  <c r="P70" i="4"/>
  <c r="W70" i="4" s="1"/>
  <c r="M70" i="4"/>
  <c r="N70" i="4" s="1"/>
  <c r="L70" i="4"/>
  <c r="I70" i="4"/>
  <c r="AL69" i="4"/>
  <c r="AK69" i="4"/>
  <c r="Y69" i="4"/>
  <c r="X69" i="4"/>
  <c r="T69" i="4"/>
  <c r="Z69" i="4" s="1"/>
  <c r="P69" i="4"/>
  <c r="W69" i="4" s="1"/>
  <c r="M69" i="4"/>
  <c r="N69" i="4" s="1"/>
  <c r="L69" i="4"/>
  <c r="I69" i="4"/>
  <c r="AL68" i="4"/>
  <c r="AK68" i="4"/>
  <c r="Y68" i="4"/>
  <c r="X68" i="4"/>
  <c r="T68" i="4"/>
  <c r="Z68" i="4" s="1"/>
  <c r="P68" i="4"/>
  <c r="W68" i="4" s="1"/>
  <c r="M68" i="4"/>
  <c r="N68" i="4" s="1"/>
  <c r="L68" i="4"/>
  <c r="I68" i="4"/>
  <c r="AL67" i="4"/>
  <c r="AK67" i="4"/>
  <c r="Y67" i="4"/>
  <c r="X67" i="4"/>
  <c r="T67" i="4"/>
  <c r="Z67" i="4" s="1"/>
  <c r="P67" i="4"/>
  <c r="W67" i="4" s="1"/>
  <c r="M67" i="4"/>
  <c r="N67" i="4" s="1"/>
  <c r="L67" i="4"/>
  <c r="I67" i="4"/>
  <c r="AL66" i="4"/>
  <c r="AK66" i="4"/>
  <c r="Y66" i="4"/>
  <c r="X66" i="4"/>
  <c r="T66" i="4"/>
  <c r="Z66" i="4" s="1"/>
  <c r="P66" i="4"/>
  <c r="W66" i="4" s="1"/>
  <c r="M66" i="4"/>
  <c r="N66" i="4" s="1"/>
  <c r="L66" i="4"/>
  <c r="I66" i="4"/>
  <c r="AL65" i="4"/>
  <c r="AK65" i="4"/>
  <c r="Y65" i="4"/>
  <c r="X65" i="4"/>
  <c r="T65" i="4"/>
  <c r="Z65" i="4" s="1"/>
  <c r="P65" i="4"/>
  <c r="W65" i="4" s="1"/>
  <c r="M65" i="4"/>
  <c r="N65" i="4" s="1"/>
  <c r="L65" i="4"/>
  <c r="I65" i="4"/>
  <c r="AL64" i="4"/>
  <c r="AK64" i="4"/>
  <c r="Y64" i="4"/>
  <c r="X64" i="4"/>
  <c r="T64" i="4"/>
  <c r="Z64" i="4" s="1"/>
  <c r="P64" i="4"/>
  <c r="W64" i="4" s="1"/>
  <c r="M64" i="4"/>
  <c r="N64" i="4" s="1"/>
  <c r="L64" i="4"/>
  <c r="I64" i="4"/>
  <c r="AL63" i="4"/>
  <c r="AK63" i="4"/>
  <c r="Y63" i="4"/>
  <c r="X63" i="4"/>
  <c r="T63" i="4"/>
  <c r="Z63" i="4" s="1"/>
  <c r="P63" i="4"/>
  <c r="W63" i="4" s="1"/>
  <c r="M63" i="4"/>
  <c r="N63" i="4" s="1"/>
  <c r="L63" i="4"/>
  <c r="I63" i="4"/>
  <c r="AL62" i="4"/>
  <c r="AK62" i="4"/>
  <c r="Y62" i="4"/>
  <c r="X62" i="4"/>
  <c r="T62" i="4"/>
  <c r="Z62" i="4" s="1"/>
  <c r="P62" i="4"/>
  <c r="W62" i="4" s="1"/>
  <c r="M62" i="4"/>
  <c r="N62" i="4" s="1"/>
  <c r="L62" i="4"/>
  <c r="I62" i="4"/>
  <c r="AL61" i="4"/>
  <c r="AK61" i="4"/>
  <c r="Y61" i="4"/>
  <c r="X61" i="4"/>
  <c r="T61" i="4"/>
  <c r="Z61" i="4" s="1"/>
  <c r="P61" i="4"/>
  <c r="W61" i="4" s="1"/>
  <c r="M61" i="4"/>
  <c r="N61" i="4" s="1"/>
  <c r="L61" i="4"/>
  <c r="I61" i="4"/>
  <c r="AL60" i="4"/>
  <c r="AK60" i="4"/>
  <c r="Y60" i="4"/>
  <c r="X60" i="4"/>
  <c r="T60" i="4"/>
  <c r="V60" i="4" s="1"/>
  <c r="P60" i="4"/>
  <c r="W60" i="4" s="1"/>
  <c r="M60" i="4"/>
  <c r="N60" i="4" s="1"/>
  <c r="L60" i="4"/>
  <c r="I60" i="4"/>
  <c r="AL59" i="4"/>
  <c r="AK59" i="4"/>
  <c r="Y59" i="4"/>
  <c r="X59" i="4"/>
  <c r="T59" i="4"/>
  <c r="Z59" i="4" s="1"/>
  <c r="P59" i="4"/>
  <c r="W59" i="4" s="1"/>
  <c r="M59" i="4"/>
  <c r="N59" i="4" s="1"/>
  <c r="L59" i="4"/>
  <c r="I59" i="4"/>
  <c r="AL58" i="4"/>
  <c r="AK58" i="4"/>
  <c r="Y58" i="4"/>
  <c r="X58" i="4"/>
  <c r="T58" i="4"/>
  <c r="Z58" i="4" s="1"/>
  <c r="P58" i="4"/>
  <c r="W58" i="4" s="1"/>
  <c r="M58" i="4"/>
  <c r="N58" i="4" s="1"/>
  <c r="L58" i="4"/>
  <c r="I58" i="4"/>
  <c r="AL57" i="4"/>
  <c r="AK57" i="4"/>
  <c r="Y57" i="4"/>
  <c r="X57" i="4"/>
  <c r="T57" i="4"/>
  <c r="Z57" i="4" s="1"/>
  <c r="P57" i="4"/>
  <c r="W57" i="4" s="1"/>
  <c r="O57" i="4"/>
  <c r="M57" i="4"/>
  <c r="N57" i="4" s="1"/>
  <c r="L57" i="4"/>
  <c r="I57" i="4"/>
  <c r="AL56" i="4"/>
  <c r="AK56" i="4"/>
  <c r="Y56" i="4"/>
  <c r="X56" i="4"/>
  <c r="T56" i="4"/>
  <c r="Z56" i="4" s="1"/>
  <c r="P56" i="4"/>
  <c r="W56" i="4" s="1"/>
  <c r="O56" i="4"/>
  <c r="M56" i="4"/>
  <c r="N56" i="4" s="1"/>
  <c r="L56" i="4"/>
  <c r="I56" i="4"/>
  <c r="AL55" i="4"/>
  <c r="AK55" i="4"/>
  <c r="AA55" i="4"/>
  <c r="Y55" i="4"/>
  <c r="X55" i="4"/>
  <c r="T55" i="4"/>
  <c r="P55" i="4"/>
  <c r="W55" i="4" s="1"/>
  <c r="O55" i="4"/>
  <c r="M55" i="4"/>
  <c r="N55" i="4" s="1"/>
  <c r="L55" i="4"/>
  <c r="I55" i="4"/>
  <c r="AL54" i="4"/>
  <c r="AK54" i="4"/>
  <c r="Y54" i="4"/>
  <c r="X54" i="4"/>
  <c r="T54" i="4"/>
  <c r="V54" i="4" s="1"/>
  <c r="P54" i="4"/>
  <c r="W54" i="4" s="1"/>
  <c r="O54" i="4"/>
  <c r="M54" i="4"/>
  <c r="N54" i="4" s="1"/>
  <c r="L54" i="4"/>
  <c r="I54" i="4"/>
  <c r="AL53" i="4"/>
  <c r="AK53" i="4"/>
  <c r="AA53" i="4"/>
  <c r="Y53" i="4"/>
  <c r="X53" i="4"/>
  <c r="T53" i="4"/>
  <c r="Z53" i="4" s="1"/>
  <c r="P53" i="4"/>
  <c r="W53" i="4" s="1"/>
  <c r="O53" i="4"/>
  <c r="M53" i="4"/>
  <c r="N53" i="4" s="1"/>
  <c r="L53" i="4"/>
  <c r="I53" i="4"/>
  <c r="AL52" i="4"/>
  <c r="AK52" i="4"/>
  <c r="AA52" i="4"/>
  <c r="Y52" i="4"/>
  <c r="X52" i="4"/>
  <c r="T52" i="4"/>
  <c r="Z52" i="4" s="1"/>
  <c r="P52" i="4"/>
  <c r="W52" i="4" s="1"/>
  <c r="O52" i="4"/>
  <c r="M52" i="4"/>
  <c r="N52" i="4" s="1"/>
  <c r="L52" i="4"/>
  <c r="I52" i="4"/>
  <c r="AL51" i="4"/>
  <c r="AK51" i="4"/>
  <c r="AA51" i="4"/>
  <c r="Y51" i="4"/>
  <c r="X51" i="4"/>
  <c r="T51" i="4"/>
  <c r="Z51" i="4" s="1"/>
  <c r="P51" i="4"/>
  <c r="W51" i="4" s="1"/>
  <c r="O51" i="4"/>
  <c r="M51" i="4"/>
  <c r="N51" i="4" s="1"/>
  <c r="L51" i="4"/>
  <c r="I51" i="4"/>
  <c r="AL50" i="4"/>
  <c r="AK50" i="4"/>
  <c r="Y50" i="4"/>
  <c r="X50" i="4"/>
  <c r="T50" i="4"/>
  <c r="Z50" i="4" s="1"/>
  <c r="P50" i="4"/>
  <c r="W50" i="4" s="1"/>
  <c r="M50" i="4"/>
  <c r="N50" i="4" s="1"/>
  <c r="L50" i="4"/>
  <c r="I50" i="4"/>
  <c r="AL49" i="4"/>
  <c r="AK49" i="4"/>
  <c r="AA49" i="4"/>
  <c r="Y49" i="4"/>
  <c r="X49" i="4"/>
  <c r="T49" i="4"/>
  <c r="Z49" i="4" s="1"/>
  <c r="P49" i="4"/>
  <c r="W49" i="4" s="1"/>
  <c r="O49" i="4"/>
  <c r="M49" i="4"/>
  <c r="N49" i="4" s="1"/>
  <c r="L49" i="4"/>
  <c r="I49" i="4"/>
  <c r="AL48" i="4"/>
  <c r="AK48" i="4"/>
  <c r="Y48" i="4"/>
  <c r="X48" i="4"/>
  <c r="T48" i="4"/>
  <c r="Z48" i="4" s="1"/>
  <c r="P48" i="4"/>
  <c r="W48" i="4" s="1"/>
  <c r="O48" i="4"/>
  <c r="M48" i="4"/>
  <c r="N48" i="4" s="1"/>
  <c r="L48" i="4"/>
  <c r="I48" i="4"/>
  <c r="AL47" i="4"/>
  <c r="AK47" i="4"/>
  <c r="AA47" i="4"/>
  <c r="Y47" i="4"/>
  <c r="X47" i="4"/>
  <c r="T47" i="4"/>
  <c r="Z47" i="4" s="1"/>
  <c r="P47" i="4"/>
  <c r="W47" i="4" s="1"/>
  <c r="O47" i="4"/>
  <c r="M47" i="4"/>
  <c r="N47" i="4" s="1"/>
  <c r="L47" i="4"/>
  <c r="I47" i="4"/>
  <c r="AL46" i="4"/>
  <c r="AK46" i="4"/>
  <c r="Y46" i="4"/>
  <c r="X46" i="4"/>
  <c r="T46" i="4"/>
  <c r="P46" i="4"/>
  <c r="W46" i="4" s="1"/>
  <c r="O46" i="4"/>
  <c r="M46" i="4"/>
  <c r="N46" i="4" s="1"/>
  <c r="L46" i="4"/>
  <c r="I46" i="4"/>
  <c r="AL45" i="4"/>
  <c r="AK45" i="4"/>
  <c r="AA45" i="4"/>
  <c r="Y45" i="4"/>
  <c r="X45" i="4"/>
  <c r="T45" i="4"/>
  <c r="P45" i="4"/>
  <c r="W45" i="4" s="1"/>
  <c r="O45" i="4"/>
  <c r="M45" i="4"/>
  <c r="N45" i="4" s="1"/>
  <c r="L45" i="4"/>
  <c r="I45" i="4"/>
  <c r="AL44" i="4"/>
  <c r="AK44" i="4"/>
  <c r="AA44" i="4"/>
  <c r="Y44" i="4"/>
  <c r="X44" i="4"/>
  <c r="T44" i="4"/>
  <c r="P44" i="4"/>
  <c r="W44" i="4" s="1"/>
  <c r="O44" i="4"/>
  <c r="M44" i="4"/>
  <c r="N44" i="4" s="1"/>
  <c r="L44" i="4"/>
  <c r="I44" i="4"/>
  <c r="AL43" i="4"/>
  <c r="AK43" i="4"/>
  <c r="Y43" i="4"/>
  <c r="X43" i="4"/>
  <c r="T43" i="4"/>
  <c r="Z43" i="4" s="1"/>
  <c r="P43" i="4"/>
  <c r="W43" i="4" s="1"/>
  <c r="O43" i="4"/>
  <c r="M43" i="4"/>
  <c r="N43" i="4" s="1"/>
  <c r="L43" i="4"/>
  <c r="I43" i="4"/>
  <c r="AL42" i="4"/>
  <c r="AK42" i="4"/>
  <c r="Y42" i="4"/>
  <c r="X42" i="4"/>
  <c r="T42" i="4"/>
  <c r="V42" i="4" s="1"/>
  <c r="P42" i="4"/>
  <c r="W42" i="4" s="1"/>
  <c r="M42" i="4"/>
  <c r="N42" i="4" s="1"/>
  <c r="L42" i="4"/>
  <c r="I42" i="4"/>
  <c r="AL41" i="4"/>
  <c r="AK41" i="4"/>
  <c r="AA41" i="4"/>
  <c r="Y41" i="4"/>
  <c r="X41" i="4"/>
  <c r="T41" i="4"/>
  <c r="Z41" i="4" s="1"/>
  <c r="P41" i="4"/>
  <c r="W41" i="4" s="1"/>
  <c r="O41" i="4"/>
  <c r="M41" i="4"/>
  <c r="N41" i="4" s="1"/>
  <c r="L41" i="4"/>
  <c r="I41" i="4"/>
  <c r="AL40" i="4"/>
  <c r="AK40" i="4"/>
  <c r="AA40" i="4"/>
  <c r="Y40" i="4"/>
  <c r="X40" i="4"/>
  <c r="T40" i="4"/>
  <c r="Z40" i="4" s="1"/>
  <c r="P40" i="4"/>
  <c r="W40" i="4" s="1"/>
  <c r="O40" i="4"/>
  <c r="M40" i="4"/>
  <c r="N40" i="4" s="1"/>
  <c r="L40" i="4"/>
  <c r="I40" i="4"/>
  <c r="AL39" i="4"/>
  <c r="AK39" i="4"/>
  <c r="AA39" i="4"/>
  <c r="Y39" i="4"/>
  <c r="X39" i="4"/>
  <c r="T39" i="4"/>
  <c r="Z39" i="4" s="1"/>
  <c r="P39" i="4"/>
  <c r="W39" i="4" s="1"/>
  <c r="O39" i="4"/>
  <c r="M39" i="4"/>
  <c r="N39" i="4" s="1"/>
  <c r="L39" i="4"/>
  <c r="I39" i="4"/>
  <c r="AL38" i="4"/>
  <c r="AK38" i="4"/>
  <c r="AA38" i="4"/>
  <c r="Y38" i="4"/>
  <c r="X38" i="4"/>
  <c r="T38" i="4"/>
  <c r="Z38" i="4" s="1"/>
  <c r="P38" i="4"/>
  <c r="W38" i="4" s="1"/>
  <c r="O38" i="4"/>
  <c r="M38" i="4"/>
  <c r="N38" i="4" s="1"/>
  <c r="L38" i="4"/>
  <c r="I38" i="4"/>
  <c r="AL37" i="4"/>
  <c r="AK37" i="4"/>
  <c r="AA37" i="4"/>
  <c r="Y37" i="4"/>
  <c r="X37" i="4"/>
  <c r="T37" i="4"/>
  <c r="Z37" i="4" s="1"/>
  <c r="P37" i="4"/>
  <c r="W37" i="4" s="1"/>
  <c r="O37" i="4"/>
  <c r="M37" i="4"/>
  <c r="N37" i="4" s="1"/>
  <c r="L37" i="4"/>
  <c r="I37" i="4"/>
  <c r="AQ36" i="4"/>
  <c r="AL36" i="4"/>
  <c r="AR36" i="4" s="1"/>
  <c r="AK36" i="4"/>
  <c r="AA36" i="4"/>
  <c r="Y36" i="4"/>
  <c r="X36" i="4"/>
  <c r="T36" i="4"/>
  <c r="Z36" i="4" s="1"/>
  <c r="P36" i="4"/>
  <c r="W36" i="4" s="1"/>
  <c r="O36" i="4"/>
  <c r="M36" i="4"/>
  <c r="AO36" i="4" s="1"/>
  <c r="L36" i="4"/>
  <c r="I36" i="4"/>
  <c r="AQ35" i="4"/>
  <c r="AL35" i="4"/>
  <c r="AR35" i="4" s="1"/>
  <c r="AK35" i="4"/>
  <c r="Y35" i="4"/>
  <c r="X35" i="4"/>
  <c r="T35" i="4"/>
  <c r="Z35" i="4" s="1"/>
  <c r="P35" i="4"/>
  <c r="W35" i="4" s="1"/>
  <c r="O35" i="4"/>
  <c r="M35" i="4"/>
  <c r="N35" i="4" s="1"/>
  <c r="L35" i="4"/>
  <c r="I35" i="4"/>
  <c r="AQ34" i="4"/>
  <c r="AL34" i="4"/>
  <c r="AR34" i="4" s="1"/>
  <c r="AK34" i="4"/>
  <c r="AA34" i="4"/>
  <c r="Y34" i="4"/>
  <c r="X34" i="4"/>
  <c r="T34" i="4"/>
  <c r="Z34" i="4" s="1"/>
  <c r="P34" i="4"/>
  <c r="W34" i="4" s="1"/>
  <c r="O34" i="4"/>
  <c r="M34" i="4"/>
  <c r="N34" i="4" s="1"/>
  <c r="L34" i="4"/>
  <c r="I34" i="4"/>
  <c r="AQ33" i="4"/>
  <c r="AL33" i="4"/>
  <c r="AR33" i="4" s="1"/>
  <c r="AK33" i="4"/>
  <c r="Y33" i="4"/>
  <c r="X33" i="4"/>
  <c r="T33" i="4"/>
  <c r="Z33" i="4" s="1"/>
  <c r="P33" i="4"/>
  <c r="W33" i="4" s="1"/>
  <c r="O33" i="4"/>
  <c r="M33" i="4"/>
  <c r="N33" i="4" s="1"/>
  <c r="L33" i="4"/>
  <c r="I33" i="4"/>
  <c r="AQ32" i="4"/>
  <c r="AL32" i="4"/>
  <c r="AR32" i="4" s="1"/>
  <c r="AK32" i="4"/>
  <c r="Y32" i="4"/>
  <c r="X32" i="4"/>
  <c r="T32" i="4"/>
  <c r="Z32" i="4" s="1"/>
  <c r="P32" i="4"/>
  <c r="W32" i="4" s="1"/>
  <c r="O32" i="4"/>
  <c r="M32" i="4"/>
  <c r="AO32" i="4" s="1"/>
  <c r="L32" i="4"/>
  <c r="I32" i="4"/>
  <c r="AQ31" i="4"/>
  <c r="AL31" i="4"/>
  <c r="AR31" i="4" s="1"/>
  <c r="AK31" i="4"/>
  <c r="Y31" i="4"/>
  <c r="X31" i="4"/>
  <c r="T31" i="4"/>
  <c r="Z31" i="4" s="1"/>
  <c r="P31" i="4"/>
  <c r="W31" i="4" s="1"/>
  <c r="O31" i="4"/>
  <c r="M31" i="4"/>
  <c r="AO31" i="4" s="1"/>
  <c r="L31" i="4"/>
  <c r="I31" i="4"/>
  <c r="AQ30" i="4"/>
  <c r="AL30" i="4"/>
  <c r="AR30" i="4" s="1"/>
  <c r="AK30" i="4"/>
  <c r="AA30" i="4"/>
  <c r="Y30" i="4"/>
  <c r="X30" i="4"/>
  <c r="T30" i="4"/>
  <c r="Z30" i="4" s="1"/>
  <c r="P30" i="4"/>
  <c r="W30" i="4" s="1"/>
  <c r="O30" i="4"/>
  <c r="M30" i="4"/>
  <c r="N30" i="4" s="1"/>
  <c r="L30" i="4"/>
  <c r="I30" i="4"/>
  <c r="AQ29" i="4"/>
  <c r="AL29" i="4"/>
  <c r="AR29" i="4" s="1"/>
  <c r="AK29" i="4"/>
  <c r="AA29" i="4"/>
  <c r="Y29" i="4"/>
  <c r="X29" i="4"/>
  <c r="T29" i="4"/>
  <c r="Z29" i="4" s="1"/>
  <c r="P29" i="4"/>
  <c r="W29" i="4" s="1"/>
  <c r="O29" i="4"/>
  <c r="M29" i="4"/>
  <c r="L29" i="4"/>
  <c r="I29" i="4"/>
  <c r="AQ28" i="4"/>
  <c r="AL28" i="4"/>
  <c r="AR28" i="4" s="1"/>
  <c r="AK28" i="4"/>
  <c r="AA28" i="4"/>
  <c r="Y28" i="4"/>
  <c r="X28" i="4"/>
  <c r="T28" i="4"/>
  <c r="P28" i="4"/>
  <c r="W28" i="4" s="1"/>
  <c r="O28" i="4"/>
  <c r="M28" i="4"/>
  <c r="N28" i="4" s="1"/>
  <c r="L28" i="4"/>
  <c r="I28" i="4"/>
  <c r="AQ27" i="4"/>
  <c r="AL27" i="4"/>
  <c r="AR27" i="4" s="1"/>
  <c r="AK27" i="4"/>
  <c r="Y27" i="4"/>
  <c r="X27" i="4"/>
  <c r="T27" i="4"/>
  <c r="Z27" i="4" s="1"/>
  <c r="P27" i="4"/>
  <c r="W27" i="4" s="1"/>
  <c r="O27" i="4"/>
  <c r="M27" i="4"/>
  <c r="N27" i="4" s="1"/>
  <c r="L27" i="4"/>
  <c r="I27" i="4"/>
  <c r="AQ26" i="4"/>
  <c r="AL26" i="4"/>
  <c r="AR26" i="4" s="1"/>
  <c r="AK26" i="4"/>
  <c r="AA26" i="4"/>
  <c r="Y26" i="4"/>
  <c r="X26" i="4"/>
  <c r="T26" i="4"/>
  <c r="Z26" i="4" s="1"/>
  <c r="P26" i="4"/>
  <c r="W26" i="4" s="1"/>
  <c r="O26" i="4"/>
  <c r="M26" i="4"/>
  <c r="AO26" i="4" s="1"/>
  <c r="L26" i="4"/>
  <c r="I26" i="4"/>
  <c r="AQ25" i="4"/>
  <c r="AL25" i="4"/>
  <c r="AR25" i="4" s="1"/>
  <c r="AK25" i="4"/>
  <c r="Y25" i="4"/>
  <c r="X25" i="4"/>
  <c r="T25" i="4"/>
  <c r="Z25" i="4" s="1"/>
  <c r="P25" i="4"/>
  <c r="W25" i="4" s="1"/>
  <c r="O25" i="4"/>
  <c r="M25" i="4"/>
  <c r="N25" i="4" s="1"/>
  <c r="L25" i="4"/>
  <c r="I25" i="4"/>
  <c r="AQ24" i="4"/>
  <c r="AL24" i="4"/>
  <c r="AR24" i="4" s="1"/>
  <c r="AK24" i="4"/>
  <c r="AA24" i="4"/>
  <c r="Y24" i="4"/>
  <c r="X24" i="4"/>
  <c r="T24" i="4"/>
  <c r="Z24" i="4" s="1"/>
  <c r="P24" i="4"/>
  <c r="W24" i="4" s="1"/>
  <c r="O24" i="4"/>
  <c r="M24" i="4"/>
  <c r="AO24" i="4" s="1"/>
  <c r="L24" i="4"/>
  <c r="I24" i="4"/>
  <c r="AQ23" i="4"/>
  <c r="AL23" i="4"/>
  <c r="AR23" i="4" s="1"/>
  <c r="AK23" i="4"/>
  <c r="P23" i="4"/>
  <c r="W23" i="4" s="1"/>
  <c r="O23" i="4"/>
  <c r="M23" i="4"/>
  <c r="N23" i="4" s="1"/>
  <c r="L23" i="4"/>
  <c r="I23" i="4"/>
  <c r="AQ22" i="4"/>
  <c r="AL22" i="4"/>
  <c r="AR22" i="4" s="1"/>
  <c r="AK22" i="4"/>
  <c r="P22" i="4"/>
  <c r="W22" i="4" s="1"/>
  <c r="M22" i="4"/>
  <c r="AO22" i="4" s="1"/>
  <c r="L22" i="4"/>
  <c r="I22" i="4"/>
  <c r="AQ21" i="4"/>
  <c r="AL21" i="4"/>
  <c r="AR21" i="4" s="1"/>
  <c r="AK21" i="4"/>
  <c r="P21" i="4"/>
  <c r="M21" i="4"/>
  <c r="N21" i="4" s="1"/>
  <c r="L21" i="4"/>
  <c r="I21" i="4"/>
  <c r="AQ20" i="4"/>
  <c r="AL20" i="4"/>
  <c r="AR20" i="4" s="1"/>
  <c r="AK20" i="4"/>
  <c r="Y20" i="4"/>
  <c r="X20" i="4"/>
  <c r="T20" i="4"/>
  <c r="V20" i="4" s="1"/>
  <c r="P20" i="4"/>
  <c r="W20" i="4" s="1"/>
  <c r="M20" i="4"/>
  <c r="N20" i="4" s="1"/>
  <c r="L20" i="4"/>
  <c r="I20" i="4"/>
  <c r="AQ19" i="4"/>
  <c r="AL19" i="4"/>
  <c r="AR19" i="4" s="1"/>
  <c r="AK19" i="4"/>
  <c r="X19" i="4"/>
  <c r="P19" i="4"/>
  <c r="W19" i="4" s="1"/>
  <c r="M19" i="4"/>
  <c r="N19" i="4" s="1"/>
  <c r="L19" i="4"/>
  <c r="I19" i="4"/>
  <c r="AQ18" i="4"/>
  <c r="AL18" i="4"/>
  <c r="AR18" i="4" s="1"/>
  <c r="AK18" i="4"/>
  <c r="P18" i="4"/>
  <c r="W18" i="4" s="1"/>
  <c r="O18" i="4"/>
  <c r="M18" i="4"/>
  <c r="N18" i="4" s="1"/>
  <c r="L18" i="4"/>
  <c r="I18" i="4"/>
  <c r="AQ17" i="4"/>
  <c r="AL17" i="4"/>
  <c r="AR17" i="4" s="1"/>
  <c r="AK17" i="4"/>
  <c r="P17" i="4"/>
  <c r="W17" i="4" s="1"/>
  <c r="O17" i="4"/>
  <c r="M17" i="4"/>
  <c r="N17" i="4" s="1"/>
  <c r="L17" i="4"/>
  <c r="I17" i="4"/>
  <c r="AQ16" i="4"/>
  <c r="AL16" i="4"/>
  <c r="AR16" i="4" s="1"/>
  <c r="AK16" i="4"/>
  <c r="P16" i="4"/>
  <c r="W16" i="4" s="1"/>
  <c r="O16" i="4"/>
  <c r="M16" i="4"/>
  <c r="N16" i="4" s="1"/>
  <c r="L16" i="4"/>
  <c r="I16" i="4"/>
  <c r="AQ15" i="4"/>
  <c r="AL15" i="4"/>
  <c r="AR15" i="4" s="1"/>
  <c r="AK15" i="4"/>
  <c r="AA15" i="4"/>
  <c r="Y15" i="4"/>
  <c r="X15" i="4"/>
  <c r="T15" i="4"/>
  <c r="Z15" i="4" s="1"/>
  <c r="P15" i="4"/>
  <c r="W15" i="4" s="1"/>
  <c r="O15" i="4"/>
  <c r="M15" i="4"/>
  <c r="N15" i="4" s="1"/>
  <c r="L15" i="4"/>
  <c r="I15" i="4"/>
  <c r="AQ14" i="4"/>
  <c r="AL14" i="4"/>
  <c r="AR14" i="4" s="1"/>
  <c r="AK14" i="4"/>
  <c r="Y14" i="4"/>
  <c r="X14" i="4"/>
  <c r="T14" i="4"/>
  <c r="P14" i="4"/>
  <c r="W14" i="4" s="1"/>
  <c r="O14" i="4"/>
  <c r="M14" i="4"/>
  <c r="N14" i="4" s="1"/>
  <c r="L14" i="4"/>
  <c r="I14" i="4"/>
  <c r="AQ13" i="4"/>
  <c r="AL13" i="4"/>
  <c r="AR13" i="4" s="1"/>
  <c r="AK13" i="4"/>
  <c r="AA13" i="4"/>
  <c r="Y13" i="4"/>
  <c r="X13" i="4"/>
  <c r="T13" i="4"/>
  <c r="Z13" i="4" s="1"/>
  <c r="P13" i="4"/>
  <c r="W13" i="4" s="1"/>
  <c r="O13" i="4"/>
  <c r="M13" i="4"/>
  <c r="N13" i="4" s="1"/>
  <c r="L13" i="4"/>
  <c r="I13" i="4"/>
  <c r="AQ12" i="4"/>
  <c r="AL12" i="4"/>
  <c r="AR12" i="4" s="1"/>
  <c r="AK12" i="4"/>
  <c r="P12" i="4"/>
  <c r="W12" i="4" s="1"/>
  <c r="O12" i="4"/>
  <c r="M12" i="4"/>
  <c r="N12" i="4" s="1"/>
  <c r="L12" i="4"/>
  <c r="I12" i="4"/>
  <c r="AQ11" i="4"/>
  <c r="AL11" i="4"/>
  <c r="AR11" i="4" s="1"/>
  <c r="AK11" i="4"/>
  <c r="P11" i="4"/>
  <c r="W11" i="4" s="1"/>
  <c r="O11" i="4"/>
  <c r="M11" i="4"/>
  <c r="N11" i="4" s="1"/>
  <c r="L11" i="4"/>
  <c r="I11" i="4"/>
  <c r="AQ10" i="4"/>
  <c r="AL10" i="4"/>
  <c r="AR10" i="4" s="1"/>
  <c r="AK10" i="4"/>
  <c r="X10" i="4"/>
  <c r="T10" i="4"/>
  <c r="Z10" i="4" s="1"/>
  <c r="P10" i="4"/>
  <c r="W10" i="4" s="1"/>
  <c r="O10" i="4"/>
  <c r="M10" i="4"/>
  <c r="N10" i="4" s="1"/>
  <c r="L10" i="4"/>
  <c r="I10" i="4"/>
  <c r="AQ9" i="4"/>
  <c r="AL9" i="4"/>
  <c r="AR9" i="4" s="1"/>
  <c r="AK9" i="4"/>
  <c r="AA9" i="4"/>
  <c r="T9" i="4"/>
  <c r="P9" i="4"/>
  <c r="W9" i="4" s="1"/>
  <c r="M9" i="4"/>
  <c r="AO9" i="4" s="1"/>
  <c r="L9" i="4"/>
  <c r="I9" i="4"/>
  <c r="AQ8" i="4"/>
  <c r="AL8" i="4"/>
  <c r="AR8" i="4" s="1"/>
  <c r="AK8" i="4"/>
  <c r="P8" i="4"/>
  <c r="W8" i="4" s="1"/>
  <c r="O8" i="4"/>
  <c r="M8" i="4"/>
  <c r="N8" i="4" s="1"/>
  <c r="L8" i="4"/>
  <c r="I8" i="4"/>
  <c r="AQ7" i="4"/>
  <c r="AL7" i="4"/>
  <c r="AR7" i="4" s="1"/>
  <c r="AK7" i="4"/>
  <c r="P7" i="4"/>
  <c r="W7" i="4" s="1"/>
  <c r="M7" i="4"/>
  <c r="AO7" i="4" s="1"/>
  <c r="L7" i="4"/>
  <c r="I7" i="4"/>
  <c r="AQ6" i="4"/>
  <c r="AL6" i="4"/>
  <c r="AR6" i="4" s="1"/>
  <c r="AK6" i="4"/>
  <c r="AA6" i="4"/>
  <c r="Y6" i="4"/>
  <c r="X6" i="4"/>
  <c r="T6" i="4"/>
  <c r="Z6" i="4" s="1"/>
  <c r="P6" i="4"/>
  <c r="W6" i="4" s="1"/>
  <c r="M6" i="4"/>
  <c r="N6" i="4" s="1"/>
  <c r="L6" i="4"/>
  <c r="I6" i="4"/>
  <c r="AQ5" i="4"/>
  <c r="AL5" i="4"/>
  <c r="AR5" i="4" s="1"/>
  <c r="AK5" i="4"/>
  <c r="P5" i="4"/>
  <c r="W5" i="4" s="1"/>
  <c r="O5" i="4"/>
  <c r="M5" i="4"/>
  <c r="N5" i="4" s="1"/>
  <c r="L5" i="4"/>
  <c r="I5" i="4"/>
  <c r="AQ4" i="4"/>
  <c r="AL4" i="4"/>
  <c r="AR4" i="4" s="1"/>
  <c r="AK4" i="4"/>
  <c r="X4" i="4"/>
  <c r="P4" i="4"/>
  <c r="W4" i="4" s="1"/>
  <c r="M4" i="4"/>
  <c r="N4" i="4" s="1"/>
  <c r="L4" i="4"/>
  <c r="I4" i="4"/>
  <c r="AQ3" i="4"/>
  <c r="AL3" i="4"/>
  <c r="AR3" i="4" s="1"/>
  <c r="AK3" i="4"/>
  <c r="X3" i="4"/>
  <c r="T3" i="4"/>
  <c r="Z3" i="4" s="1"/>
  <c r="P3" i="4"/>
  <c r="W3" i="4" s="1"/>
  <c r="O3" i="4"/>
  <c r="M3" i="4"/>
  <c r="N3" i="4" s="1"/>
  <c r="L3" i="4"/>
  <c r="I3" i="4"/>
  <c r="AQ2" i="4"/>
  <c r="AL2" i="4"/>
  <c r="AR2" i="4" s="1"/>
  <c r="AK2" i="4"/>
  <c r="X2" i="4"/>
  <c r="P2" i="4"/>
  <c r="W2" i="4" s="1"/>
  <c r="O2" i="4"/>
  <c r="M2" i="4"/>
  <c r="N2" i="4" s="1"/>
  <c r="L2" i="4"/>
  <c r="I2" i="4"/>
  <c r="Y14" i="3"/>
  <c r="X14" i="3"/>
  <c r="V14" i="3"/>
  <c r="U14" i="3"/>
  <c r="T14" i="3"/>
  <c r="P14" i="3"/>
  <c r="E11" i="2" s="1"/>
  <c r="O14" i="3"/>
  <c r="C11" i="2" s="1"/>
  <c r="D11" i="2" s="1"/>
  <c r="N14" i="3"/>
  <c r="M14" i="3"/>
  <c r="Z13" i="3"/>
  <c r="W13" i="3"/>
  <c r="S13" i="3"/>
  <c r="R13" i="3"/>
  <c r="Q13" i="3"/>
  <c r="Z12" i="3"/>
  <c r="W12" i="3"/>
  <c r="S12" i="3"/>
  <c r="R12" i="3"/>
  <c r="Q12" i="3"/>
  <c r="Z11" i="3"/>
  <c r="Z14" i="3" s="1"/>
  <c r="W11" i="3"/>
  <c r="S11" i="3"/>
  <c r="S14" i="3" s="1"/>
  <c r="R11" i="3"/>
  <c r="R14" i="3" s="1"/>
  <c r="Q11" i="3"/>
  <c r="K11" i="3"/>
  <c r="K14" i="3" s="1"/>
  <c r="V5" i="3"/>
  <c r="I15" i="2"/>
  <c r="G15" i="2"/>
  <c r="H15" i="2" s="1"/>
  <c r="J15" i="2" s="1"/>
  <c r="E15" i="2"/>
  <c r="C15" i="2"/>
  <c r="D15" i="2" s="1"/>
  <c r="I14" i="2"/>
  <c r="G14" i="2"/>
  <c r="H14" i="2" s="1"/>
  <c r="E14" i="2"/>
  <c r="C14" i="2"/>
  <c r="D14" i="2" s="1"/>
  <c r="I13" i="2"/>
  <c r="G13" i="2"/>
  <c r="H13" i="2" s="1"/>
  <c r="J13" i="2" s="1"/>
  <c r="E13" i="2"/>
  <c r="C13" i="2"/>
  <c r="D13" i="2" s="1"/>
  <c r="J11" i="2"/>
  <c r="I11" i="2"/>
  <c r="G11" i="2"/>
  <c r="C5" i="2"/>
  <c r="B5" i="2"/>
  <c r="D4" i="2"/>
  <c r="D3" i="2"/>
  <c r="AO29" i="4" l="1"/>
  <c r="AT29" i="4" s="1"/>
  <c r="AT36" i="4"/>
  <c r="W14" i="3"/>
  <c r="F15" i="2"/>
  <c r="F14" i="2"/>
  <c r="F13" i="2"/>
  <c r="D5" i="2"/>
  <c r="AO15" i="5"/>
  <c r="AT15" i="5" s="1"/>
  <c r="AO11" i="5"/>
  <c r="F11" i="2"/>
  <c r="AO16" i="5"/>
  <c r="AT16" i="5" s="1"/>
  <c r="AR11" i="5"/>
  <c r="Z17" i="5"/>
  <c r="V17" i="5"/>
  <c r="Z16" i="5"/>
  <c r="V16" i="5"/>
  <c r="Z14" i="5"/>
  <c r="V14" i="5"/>
  <c r="AO14" i="5"/>
  <c r="AT14" i="5" s="1"/>
  <c r="N14" i="5"/>
  <c r="Z13" i="5"/>
  <c r="V13" i="5"/>
  <c r="Z12" i="5"/>
  <c r="V12" i="5"/>
  <c r="Z11" i="5"/>
  <c r="V11" i="5"/>
  <c r="J14" i="2"/>
  <c r="V14" i="4"/>
  <c r="Z14" i="4"/>
  <c r="T4" i="4"/>
  <c r="Z4" i="4" s="1"/>
  <c r="X80" i="4"/>
  <c r="X84" i="4"/>
  <c r="Y78" i="4"/>
  <c r="X78" i="4"/>
  <c r="T23" i="4"/>
  <c r="Z23" i="4" s="1"/>
  <c r="T21" i="4"/>
  <c r="X21" i="4"/>
  <c r="T19" i="4"/>
  <c r="Z19" i="4" s="1"/>
  <c r="X5" i="4"/>
  <c r="T5" i="4"/>
  <c r="Z5" i="4" s="1"/>
  <c r="X11" i="4"/>
  <c r="Y23" i="4"/>
  <c r="Y2" i="4"/>
  <c r="T18" i="4"/>
  <c r="V18" i="4" s="1"/>
  <c r="T11" i="4"/>
  <c r="V11" i="4" s="1"/>
  <c r="T22" i="4"/>
  <c r="X22" i="4"/>
  <c r="Y16" i="4"/>
  <c r="Y12" i="4"/>
  <c r="T16" i="4"/>
  <c r="T12" i="4"/>
  <c r="Z12" i="4" s="1"/>
  <c r="AO5" i="4"/>
  <c r="AT5" i="4" s="1"/>
  <c r="V71" i="4"/>
  <c r="V45" i="4"/>
  <c r="Z89" i="4"/>
  <c r="V89" i="4"/>
  <c r="AO3" i="4"/>
  <c r="AT3" i="4" s="1"/>
  <c r="AO8" i="4"/>
  <c r="AT8" i="4" s="1"/>
  <c r="Z54" i="4"/>
  <c r="Y84" i="4"/>
  <c r="Q14" i="3"/>
  <c r="F5" i="2"/>
  <c r="Z84" i="4"/>
  <c r="V84" i="4"/>
  <c r="N31" i="4"/>
  <c r="V49" i="4"/>
  <c r="V72" i="4"/>
  <c r="AT22" i="4"/>
  <c r="AO35" i="4"/>
  <c r="AT35" i="4" s="1"/>
  <c r="V46" i="4"/>
  <c r="AO14" i="4"/>
  <c r="AT14" i="4" s="1"/>
  <c r="Y7" i="4"/>
  <c r="V38" i="4"/>
  <c r="Z42" i="4"/>
  <c r="X85" i="4"/>
  <c r="N29" i="4"/>
  <c r="Z45" i="4"/>
  <c r="AT31" i="4"/>
  <c r="V34" i="4"/>
  <c r="V44" i="4"/>
  <c r="V64" i="4"/>
  <c r="N24" i="4"/>
  <c r="AO33" i="4"/>
  <c r="AT33" i="4" s="1"/>
  <c r="X7" i="4"/>
  <c r="V9" i="4"/>
  <c r="V28" i="4"/>
  <c r="AT32" i="4"/>
  <c r="V66" i="4"/>
  <c r="Y85" i="4"/>
  <c r="X9" i="4"/>
  <c r="Z9" i="4"/>
  <c r="Y8" i="4"/>
  <c r="X18" i="4"/>
  <c r="T8" i="4"/>
  <c r="Z8" i="4" s="1"/>
  <c r="T17" i="4"/>
  <c r="Z17" i="4" s="1"/>
  <c r="X17" i="4"/>
  <c r="V8" i="4"/>
  <c r="V75" i="4"/>
  <c r="AO12" i="4"/>
  <c r="AT12" i="4" s="1"/>
  <c r="V13" i="4"/>
  <c r="N22" i="4"/>
  <c r="AO30" i="4"/>
  <c r="AT30" i="4" s="1"/>
  <c r="V33" i="4"/>
  <c r="V43" i="4"/>
  <c r="Z60" i="4"/>
  <c r="V67" i="4"/>
  <c r="V85" i="4"/>
  <c r="N32" i="4"/>
  <c r="V31" i="4"/>
  <c r="V25" i="4"/>
  <c r="V7" i="4"/>
  <c r="V2" i="4"/>
  <c r="V81" i="4"/>
  <c r="V47" i="4"/>
  <c r="V51" i="4"/>
  <c r="Z2" i="4"/>
  <c r="AO17" i="4"/>
  <c r="AT17" i="4" s="1"/>
  <c r="W21" i="4"/>
  <c r="AO28" i="4"/>
  <c r="AT28" i="4" s="1"/>
  <c r="V80" i="4"/>
  <c r="AO23" i="4"/>
  <c r="AT23" i="4" s="1"/>
  <c r="V56" i="4"/>
  <c r="V3" i="4"/>
  <c r="V24" i="4"/>
  <c r="V65" i="4"/>
  <c r="V73" i="4"/>
  <c r="V55" i="4"/>
  <c r="V61" i="4"/>
  <c r="AO10" i="4"/>
  <c r="AT10" i="4" s="1"/>
  <c r="V27" i="4"/>
  <c r="AT9" i="4"/>
  <c r="AO13" i="4"/>
  <c r="AT13" i="4" s="1"/>
  <c r="AO16" i="4"/>
  <c r="AT16" i="4" s="1"/>
  <c r="N26" i="4"/>
  <c r="V35" i="4"/>
  <c r="V68" i="4"/>
  <c r="AO6" i="4"/>
  <c r="AT6" i="4" s="1"/>
  <c r="AO15" i="4"/>
  <c r="AT15" i="4" s="1"/>
  <c r="AO25" i="4"/>
  <c r="AT25" i="4" s="1"/>
  <c r="Z46" i="4"/>
  <c r="Z77" i="4"/>
  <c r="AT7" i="4"/>
  <c r="AT11" i="5"/>
  <c r="AT24" i="4"/>
  <c r="AT26" i="4"/>
  <c r="N7" i="4"/>
  <c r="V29" i="4"/>
  <c r="N36" i="4"/>
  <c r="V53" i="4"/>
  <c r="V70" i="4"/>
  <c r="V76" i="4"/>
  <c r="V6" i="4"/>
  <c r="Z20" i="4"/>
  <c r="Z28" i="4"/>
  <c r="Z44" i="4"/>
  <c r="V52" i="4"/>
  <c r="Z55" i="4"/>
  <c r="V59" i="4"/>
  <c r="Z71" i="4"/>
  <c r="AO2" i="4"/>
  <c r="AT2" i="4" s="1"/>
  <c r="AO18" i="4"/>
  <c r="AT18" i="4" s="1"/>
  <c r="N9" i="4"/>
  <c r="AO19" i="4"/>
  <c r="AT19" i="4" s="1"/>
  <c r="V30" i="4"/>
  <c r="V41" i="4"/>
  <c r="V69" i="4"/>
  <c r="V15" i="4"/>
  <c r="AO20" i="4"/>
  <c r="AT20" i="4" s="1"/>
  <c r="AO34" i="4"/>
  <c r="AT34" i="4" s="1"/>
  <c r="V36" i="4"/>
  <c r="V40" i="4"/>
  <c r="V50" i="4"/>
  <c r="V58" i="4"/>
  <c r="V74" i="4"/>
  <c r="V88" i="4"/>
  <c r="AO11" i="4"/>
  <c r="AT11" i="4" s="1"/>
  <c r="AO27" i="4"/>
  <c r="AT27" i="4" s="1"/>
  <c r="AO4" i="4"/>
  <c r="AT4" i="4" s="1"/>
  <c r="AO21" i="4"/>
  <c r="AT21" i="4" s="1"/>
  <c r="V39" i="4"/>
  <c r="V63" i="4"/>
  <c r="V79" i="4"/>
  <c r="V37" i="4"/>
  <c r="V87" i="4"/>
  <c r="V26" i="4"/>
  <c r="V32" i="4"/>
  <c r="V48" i="4"/>
  <c r="V62" i="4"/>
  <c r="V78" i="4"/>
  <c r="V10" i="4"/>
  <c r="V57" i="4"/>
  <c r="Z16" i="4" l="1"/>
  <c r="V16" i="4"/>
  <c r="Z21" i="4"/>
  <c r="V21" i="4"/>
  <c r="Z22" i="4"/>
  <c r="V22" i="4"/>
  <c r="Z18" i="4"/>
  <c r="V17" i="4"/>
  <c r="Z11" i="4"/>
  <c r="V4" i="4"/>
  <c r="V5" i="4"/>
  <c r="V23" i="4"/>
  <c r="V19" i="4"/>
  <c r="V1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V11" authorId="0" shapeId="0" xr:uid="{00000000-0006-0000-0200-000001000000}">
      <text>
        <r>
          <rPr>
            <sz val="10"/>
            <rFont val="Arial"/>
            <family val="2"/>
          </rPr>
          <t>Customer cage has been lost due to power module with high density racks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csm blr</author>
    <author>Vinoth Ramalingam</author>
  </authors>
  <commentList>
    <comment ref="J6" authorId="0" shapeId="0" xr:uid="{00000000-0006-0000-0300-000001000000}">
      <text>
        <r>
          <rPr>
            <sz val="10"/>
            <rFont val="Arial"/>
            <family val="2"/>
          </rPr>
          <t xml:space="preserve">Vinoth Ramalingam:
</t>
        </r>
        <r>
          <rPr>
            <sz val="9"/>
            <color rgb="FF000000"/>
            <rFont val="Tahoma"/>
            <family val="2"/>
            <charset val="1"/>
          </rPr>
          <t>18-08-2024 rack power on date</t>
        </r>
      </text>
    </comment>
    <comment ref="R13" authorId="0" shapeId="0" xr:uid="{00000000-0006-0000-0300-000002000000}">
      <text>
        <r>
          <rPr>
            <sz val="10"/>
            <rFont val="Arial"/>
            <family val="2"/>
          </rPr>
          <t xml:space="preserve">Vinoth Ramalingam:
</t>
        </r>
        <r>
          <rPr>
            <sz val="9"/>
            <color rgb="FF000000"/>
            <rFont val="Tahoma"/>
            <family val="2"/>
            <charset val="1"/>
          </rPr>
          <t>4 Racks ( 7 to 10) in each 5Kva : total=20KVA
4Racks : 8KVA in each + Additional rated power 1kva : Total = 33KVA
2racks : 8KVA in each+ Additional rated power 14KVA : Total = 30KVA</t>
        </r>
      </text>
    </comment>
    <comment ref="R20" authorId="0" shapeId="0" xr:uid="{00000000-0006-0000-0300-000003000000}">
      <text>
        <r>
          <rPr>
            <sz val="10"/>
            <rFont val="Arial"/>
            <family val="2"/>
          </rPr>
          <t xml:space="preserve">Vinoth Ramalingam:
</t>
        </r>
        <r>
          <rPr>
            <sz val="9"/>
            <color rgb="FF000000"/>
            <rFont val="Tahoma"/>
            <family val="2"/>
            <charset val="1"/>
          </rPr>
          <t>521005963: 1KVA additional power 27th MAR-24</t>
        </r>
      </text>
    </comment>
    <comment ref="J22" authorId="0" shapeId="0" xr:uid="{00000000-0006-0000-0300-000004000000}">
      <text>
        <r>
          <rPr>
            <sz val="10"/>
            <rFont val="Arial"/>
            <family val="2"/>
          </rPr>
          <t xml:space="preserve">Vinoth Ramalingam:
</t>
        </r>
        <r>
          <rPr>
            <sz val="9"/>
            <color rgb="FF000000"/>
            <rFont val="Tahoma"/>
            <family val="2"/>
            <charset val="1"/>
          </rPr>
          <t>20-04-2024 rack power on</t>
        </r>
      </text>
    </comment>
    <comment ref="J23" authorId="0" shapeId="0" xr:uid="{00000000-0006-0000-0300-000005000000}">
      <text>
        <r>
          <rPr>
            <sz val="10"/>
            <rFont val="Arial"/>
            <family val="2"/>
          </rPr>
          <t xml:space="preserve">Vinoth Ramalingam:
</t>
        </r>
        <r>
          <rPr>
            <sz val="9"/>
            <color rgb="FF000000"/>
            <rFont val="Tahoma"/>
            <family val="2"/>
            <charset val="1"/>
          </rPr>
          <t>2racks 800MM rack power on 3rd june 2025</t>
        </r>
      </text>
    </comment>
    <comment ref="O25" authorId="0" shapeId="0" xr:uid="{00000000-0006-0000-0300-000006000000}">
      <text>
        <r>
          <rPr>
            <sz val="10"/>
            <rFont val="Arial"/>
            <family val="2"/>
          </rPr>
          <t>1 USD = Rs 65</t>
        </r>
      </text>
    </comment>
    <comment ref="C26" authorId="0" shapeId="0" xr:uid="{00000000-0006-0000-0300-000007000000}">
      <text>
        <r>
          <rPr>
            <sz val="10"/>
            <rFont val="Arial"/>
            <family val="2"/>
          </rPr>
          <t>4 DID lines has been provided and billing paid by Admin.dotfinance Team</t>
        </r>
      </text>
    </comment>
    <comment ref="S26" authorId="0" shapeId="0" xr:uid="{00000000-0006-0000-0300-000008000000}">
      <text>
        <r>
          <rPr>
            <sz val="10"/>
            <rFont val="Arial"/>
            <family val="2"/>
          </rPr>
          <t xml:space="preserve">Informed to customer for regularize the power
</t>
        </r>
      </text>
    </comment>
    <comment ref="R27" authorId="0" shapeId="0" xr:uid="{00000000-0006-0000-0300-000009000000}">
      <text>
        <r>
          <rPr>
            <sz val="10"/>
            <rFont val="Arial"/>
            <family val="2"/>
          </rPr>
          <t>11 KVA (8+3) 
Rack downgrade (PO-18/19-20)
18/3/2020
521003914 - 2kva additional power .
Total power 9Kva.
521004091 - PO-030/23-24( 2kva Add power)  
Total 11KVA 
521006509: 1kva add power PO-032/24-25
Total Power: 12KVA</t>
        </r>
      </text>
    </comment>
    <comment ref="S27" authorId="0" shapeId="0" xr:uid="{00000000-0006-0000-0300-00000A000000}">
      <text>
        <r>
          <rPr>
            <sz val="10"/>
            <rFont val="Arial"/>
            <family val="2"/>
          </rPr>
          <t>8th Jan 2021 customer added 1 server,1 switch and 1 router.
After adding new device power utilization will be : 8.63 KVA and additional power approval taken from customer</t>
        </r>
      </text>
    </comment>
    <comment ref="K28" authorId="0" shapeId="0" xr:uid="{00000000-0006-0000-0300-00000B000000}">
      <text>
        <r>
          <rPr>
            <sz val="10"/>
            <rFont val="Arial"/>
            <family val="2"/>
          </rPr>
          <t xml:space="preserve">Vinoth Ramalingam:
</t>
        </r>
        <r>
          <rPr>
            <sz val="9"/>
            <color rgb="FF000000"/>
            <rFont val="Tahoma"/>
            <family val="2"/>
            <charset val="1"/>
          </rPr>
          <t>Jan 30 2022 customer new rack 600*1200 &amp; 600*1800 rack provisioned in CSR8&amp;9</t>
        </r>
      </text>
    </comment>
    <comment ref="M28" authorId="0" shapeId="0" xr:uid="{00000000-0006-0000-0300-00000C000000}">
      <text>
        <r>
          <rPr>
            <sz val="10"/>
            <rFont val="Arial"/>
            <family val="2"/>
          </rPr>
          <t>6+4+2+4 
8th Jan 18U space allocated in BSR 4</t>
        </r>
      </text>
    </comment>
    <comment ref="J29" authorId="0" shapeId="0" xr:uid="{00000000-0006-0000-0300-00000D000000}">
      <text>
        <r>
          <rPr>
            <sz val="10"/>
            <rFont val="Arial"/>
            <family val="2"/>
          </rPr>
          <t>6+4+2+4 
8th Jan 18U space allocated in BSR 4</t>
        </r>
      </text>
    </comment>
    <comment ref="R29" authorId="0" shapeId="0" xr:uid="{00000000-0006-0000-0300-00000E000000}">
      <text>
        <r>
          <rPr>
            <sz val="10"/>
            <rFont val="Arial"/>
            <family val="2"/>
          </rPr>
          <t>2.5 + addl 1.25 Kva+600Va for 1U +500Va
+3kva</t>
        </r>
      </text>
    </comment>
    <comment ref="S29" authorId="0" shapeId="0" xr:uid="{00000000-0006-0000-0300-00000F000000}">
      <text>
        <r>
          <rPr>
            <sz val="10"/>
            <rFont val="Arial"/>
            <family val="2"/>
          </rPr>
          <t>6/9/2019 two dell server has been added in rack
7/11/19 4 Dell servers has been added
10/12/2019 Cisco switch has been added
08/01/2021
1/2 rack space with 3 KVA power provision done and customer added 2 server and 1 Switch.
9th july 23 installed dell server 800W</t>
        </r>
      </text>
    </comment>
    <comment ref="M30" authorId="0" shapeId="0" xr:uid="{00000000-0006-0000-0300-000010000000}">
      <text>
        <r>
          <rPr>
            <sz val="10"/>
            <rFont val="Arial"/>
            <family val="2"/>
          </rPr>
          <t>3 racks with
1rack purchased on Jan 2022 so total rack is 4
Order Number:521002402
Rack Number: DSR3,DSR8 and DSR10.
DSR10 rack Power On date 25th Aug 2022.
DSR3 &amp; DSR8 rack power on date:12th Sep 2022.
Total 7 Racks
521004071 - 2rack with 12kva power.
521006028 - 1rack with 6kva power. ( DT:10-6-2024)
521006029 - 1rack with 6kva power. ( DT:10-6-2024)
521006636 - 1rack with 6KVA ( power on 1-10-2024) rack DSR 22</t>
        </r>
      </text>
    </comment>
    <comment ref="R30" authorId="0" shapeId="0" xr:uid="{00000000-0006-0000-0300-000011000000}">
      <text>
        <r>
          <rPr>
            <sz val="10"/>
            <rFont val="Arial"/>
            <family val="2"/>
          </rPr>
          <t xml:space="preserve">Bharath  Kumar.k:
</t>
        </r>
        <r>
          <rPr>
            <sz val="9"/>
            <color rgb="FF000000"/>
            <rFont val="Tahoma"/>
            <family val="2"/>
            <charset val="1"/>
          </rPr>
          <t>Down graded from 2 rack to 1 rack and power also 12 KVA purchased</t>
        </r>
      </text>
    </comment>
    <comment ref="J31" authorId="0" shapeId="0" xr:uid="{00000000-0006-0000-0300-000012000000}">
      <text>
        <r>
          <rPr>
            <sz val="10"/>
            <rFont val="Arial"/>
            <family val="2"/>
          </rPr>
          <t>3 racks with
1rack purchased on Jan 2022 so total rack is 4
Order Number:521002402
Rack Number: DSR3,DSR8 and DSR10.
DSR10 rack Power On date 25th Aug 2022.
DSR3 &amp; DSR8 rack power on date:12th Sep 2022.
Total 7 Racks
521004071 - 2rack with 12kva power.
521006028 - 1rack with 6kva power. ( DT:10-6-2024)
521006029 - 1rack with 6kva power. ( DT:10-6-2024)
521006636 - 1rack with 6KVA ( power on 1-10-2024) rack DSR 22</t>
        </r>
      </text>
    </comment>
    <comment ref="R31" authorId="0" shapeId="0" xr:uid="{00000000-0006-0000-0300-000013000000}">
      <text>
        <r>
          <rPr>
            <sz val="10"/>
            <rFont val="Arial"/>
            <family val="2"/>
          </rPr>
          <t>2 Racks = 12KVA (each rack 6 KVA + 3.75 KVA +4 KVA
Total = 19.75 KVA subscribed
1rack with 6 KVA power 2021
17th MAR 2021 additional 6KVA purchased 
Jan 2022 Customer Purchased 1 rack with 6KVA rated power.
Aug 22 (ORD NO 521002402) customer purchased 3 racks with 18KVA Power. total power
521003722 - 6KVA additional power order purchased on 18-5-2022.Total 61.75KVA.
521004071 - July-23 2rack with 12kva power total power is 73.75KVA
SO                              Rack                Power
521004071                 2                     12
721000759                 1                      3
721006649                                          4
721000243                                       3.5
521002402                  3                     18
521003722                                          6
121001108                  1                      6
SO                                 RACK            Power
521001975                                           3
521003726                                           6
521003900                                            6
521001718                      1                    6
521000554                      1                     6
521006028 - 1rack with 6kva power. ( DT:10-6-2024)
521006576 - 6KVA add power
521006576: 6KVA Additional Power hence total power is 
521006029 - 1rack with 6kva power. ( DT:10-6-2024)
521007315 : 6KVA additional power purchased 1st APR-25 total power 115.5KVA</t>
        </r>
      </text>
    </comment>
    <comment ref="S31" authorId="0" shapeId="0" xr:uid="{00000000-0006-0000-0300-000014000000}">
      <text>
        <r>
          <rPr>
            <sz val="10"/>
            <rFont val="Arial"/>
            <family val="2"/>
          </rPr>
          <t xml:space="preserve">New 1 Rack space provisioned and devices has been powered on(1.4 KVA rated power)  17th april 2020
Sep and Oct 2020 5 server has been added.
================
4th nov 2020 3 server with 250 watts each.
10th nov 2020 2 server with 500 watts each has been installed 
11th Dec 2020 customer removed 5 server having 250 watts power each
Device power verification done on 18th Jan 2022 and observed all racks rated power is 29KVA and mail has been sent to customer.
Apr-2022 new devices added in ESR 16, so power consumption is 39.58KVA.
June 2022 ESR 16 customer added Tyron device so current power utilization is 40.35
</t>
        </r>
      </text>
    </comment>
    <comment ref="M33" authorId="0" shapeId="0" xr:uid="{00000000-0006-0000-0300-000015000000}">
      <text>
        <r>
          <rPr>
            <sz val="10"/>
            <rFont val="Arial"/>
            <family val="2"/>
          </rPr>
          <t xml:space="preserve">Vinoth Ramalingam:
</t>
        </r>
        <r>
          <rPr>
            <sz val="9"/>
            <color rgb="FF000000"/>
            <rFont val="Tahoma"/>
            <family val="2"/>
            <charset val="1"/>
          </rPr>
          <t>Jan 2022 New rack purchased so total count 5(FSR9)
30-10-2023 fsr19 RACK POWER ON.
Total 7racks.</t>
        </r>
      </text>
    </comment>
    <comment ref="S33" authorId="0" shapeId="0" xr:uid="{00000000-0006-0000-0300-000016000000}">
      <text>
        <r>
          <rPr>
            <sz val="10"/>
            <rFont val="Arial"/>
            <family val="2"/>
          </rPr>
          <t>Sep_2020 Old device has been removed and new devices has been added
Jan 2022 customer removed and added few devices.</t>
        </r>
      </text>
    </comment>
    <comment ref="J34" authorId="0" shapeId="0" xr:uid="{00000000-0006-0000-0300-000017000000}">
      <text>
        <r>
          <rPr>
            <sz val="10"/>
            <rFont val="Arial"/>
            <family val="2"/>
          </rPr>
          <t xml:space="preserve">Vinoth Ramalingam:
</t>
        </r>
        <r>
          <rPr>
            <sz val="9"/>
            <color rgb="FF000000"/>
            <rFont val="Tahoma"/>
            <family val="2"/>
            <charset val="1"/>
          </rPr>
          <t>Jan 2022 New rack purchased so total count 5(FSR9)
30-10-2023 fsr19 RACK POWER ON.
Total 7racks.</t>
        </r>
      </text>
    </comment>
    <comment ref="R34" authorId="0" shapeId="0" xr:uid="{00000000-0006-0000-0300-000018000000}">
      <text>
        <r>
          <rPr>
            <sz val="10"/>
            <rFont val="Arial"/>
            <family val="2"/>
          </rPr>
          <t xml:space="preserve">9+2KVA additional
Additional PO received 11.53 
Total : 22.53
Additional 2KVA power PO received on 8th FEB 2021
8th FEB 2KVA additional power PO received
31-08-2021 2 KVA additional power  purchased </t>
        </r>
      </text>
    </comment>
    <comment ref="S34" authorId="0" shapeId="0" xr:uid="{00000000-0006-0000-0300-000019000000}">
      <text>
        <r>
          <rPr>
            <sz val="10"/>
            <rFont val="Arial"/>
            <family val="2"/>
          </rPr>
          <t>Revised PO for power received on 24th Dec 2019
16/6/2020 one server has been added
9th sep 2020 customer removed 2 HP server and added 3 HP server having 500W capacity each
28th Nov HP server  added(800W)</t>
        </r>
      </text>
    </comment>
    <comment ref="J35" authorId="0" shapeId="0" xr:uid="{00000000-0006-0000-0300-00001B000000}">
      <text>
        <r>
          <rPr>
            <sz val="10"/>
            <rFont val="Arial"/>
            <family val="2"/>
          </rPr>
          <t xml:space="preserve">13 U + 2U +2U+1U
Sep 2022 2U space termination order received from Customer and sever also outwarded.
</t>
        </r>
      </text>
    </comment>
    <comment ref="R35" authorId="0" shapeId="0" xr:uid="{00000000-0006-0000-0300-00001C000000}">
      <text>
        <r>
          <rPr>
            <sz val="10"/>
            <rFont val="Arial"/>
            <family val="2"/>
          </rPr>
          <t xml:space="preserve">3250 for 13 U + additional 2.87KVA + 500+500 + additional 190+750VA
Dec1-2023 customer removed 2servers. Total power utilization is 3.01kva
</t>
        </r>
      </text>
    </comment>
    <comment ref="S35" authorId="0" shapeId="0" xr:uid="{00000000-0006-0000-0300-00001D000000}">
      <text>
        <r>
          <rPr>
            <sz val="10"/>
            <rFont val="Arial"/>
            <family val="2"/>
          </rPr>
          <t>partial services of 4U  termination is in progress
04th Jan 2020 customer 2 server has been removed after that rated power will be  : 4.93 KVA</t>
        </r>
      </text>
    </comment>
    <comment ref="J36" authorId="0" shapeId="0" xr:uid="{00000000-0006-0000-0300-00001E000000}">
      <text>
        <r>
          <rPr>
            <sz val="10"/>
            <rFont val="Arial"/>
            <family val="2"/>
          </rPr>
          <t xml:space="preserve">Vinoth Ramalingam:
</t>
        </r>
        <r>
          <rPr>
            <sz val="9"/>
            <color rgb="FF000000"/>
            <rFont val="Tahoma"/>
            <family val="2"/>
            <charset val="1"/>
          </rPr>
          <t>11th MAR 2025 new rack power on total rack count 2</t>
        </r>
      </text>
    </comment>
    <comment ref="R36" authorId="0" shapeId="0" xr:uid="{00000000-0006-0000-0300-00001F000000}">
      <text>
        <r>
          <rPr>
            <sz val="10"/>
            <rFont val="Arial"/>
            <family val="2"/>
          </rPr>
          <t xml:space="preserve">Vinoth Ramalingam:
</t>
        </r>
        <r>
          <rPr>
            <sz val="9"/>
            <color rgb="FF000000"/>
            <rFont val="Tahoma"/>
            <family val="2"/>
            <charset val="1"/>
          </rPr>
          <t>PO Number &amp; Date : IA/ITG/2021/10/22/01 – 20th Oct 2021  Additional 6KVA Rated power.
521005966: 3KVA Additional power.
521007092 : 1 Rack with 3KVA Power total power is 18KVA</t>
        </r>
      </text>
    </comment>
    <comment ref="S36" authorId="0" shapeId="0" xr:uid="{00000000-0006-0000-0300-000020000000}">
      <text>
        <r>
          <rPr>
            <sz val="10"/>
            <rFont val="Arial"/>
            <family val="2"/>
          </rPr>
          <t xml:space="preserve">Vinoth Ramalingam:
</t>
        </r>
        <r>
          <rPr>
            <sz val="9"/>
            <color rgb="FF000000"/>
            <rFont val="Tahoma"/>
            <family val="2"/>
            <charset val="1"/>
          </rPr>
          <t>June 2022 customer added new devices hence power consumption is 16.64KVA.</t>
        </r>
      </text>
    </comment>
    <comment ref="J37" authorId="0" shapeId="0" xr:uid="{00000000-0006-0000-0300-000021000000}">
      <text>
        <r>
          <rPr>
            <sz val="10"/>
            <rFont val="Arial"/>
            <family val="2"/>
          </rPr>
          <t>Additional 1U taken
521003388 - 2U total Uspace 8
3U Terminated, so total U space is 5U
521006875: 4U space</t>
        </r>
      </text>
    </comment>
    <comment ref="M37" authorId="0" shapeId="0" xr:uid="{00000000-0006-0000-0300-000022000000}">
      <text>
        <r>
          <rPr>
            <sz val="10"/>
            <rFont val="Arial"/>
            <family val="2"/>
          </rPr>
          <t xml:space="preserve">Vinoth Ramalingam:
</t>
        </r>
        <r>
          <rPr>
            <sz val="9"/>
            <color rgb="FF000000"/>
            <rFont val="Tahoma"/>
            <family val="2"/>
            <charset val="1"/>
          </rPr>
          <t>21st FEB 2021 customer purchased new 1 rack , so 4+1=5 
20th July customer disconnected 1 600*1000MM rack and power</t>
        </r>
      </text>
    </comment>
    <comment ref="R37" authorId="0" shapeId="0" xr:uid="{00000000-0006-0000-0300-000023000000}">
      <text>
        <r>
          <rPr>
            <sz val="10"/>
            <rFont val="Arial"/>
            <family val="2"/>
          </rPr>
          <t>500+250VA additional power with 1U
521006875: 1KVA power</t>
        </r>
      </text>
    </comment>
    <comment ref="J38" authorId="0" shapeId="0" xr:uid="{00000000-0006-0000-0300-000024000000}">
      <text>
        <r>
          <rPr>
            <sz val="10"/>
            <rFont val="Arial"/>
            <family val="2"/>
          </rPr>
          <t xml:space="preserve">Vinoth Ramalingam:
</t>
        </r>
        <r>
          <rPr>
            <sz val="9"/>
            <color rgb="FF000000"/>
            <rFont val="Tahoma"/>
            <family val="2"/>
            <charset val="1"/>
          </rPr>
          <t>21st FEB 2021 customer purchased new 1 rack , so 4+1=5 
20th July customer disconnected 1 600*1000MM rack and power</t>
        </r>
      </text>
    </comment>
    <comment ref="M38" authorId="0" shapeId="0" xr:uid="{00000000-0006-0000-0300-000025000000}">
      <text>
        <r>
          <rPr>
            <sz val="10"/>
            <rFont val="Arial"/>
            <family val="2"/>
          </rPr>
          <t xml:space="preserve">Vinoth Ramalingam:
</t>
        </r>
        <r>
          <rPr>
            <sz val="9"/>
            <color rgb="FF000000"/>
            <rFont val="Tahoma"/>
            <family val="2"/>
            <charset val="1"/>
          </rPr>
          <t>521005028 - ESR15 rack power date 12-3-2024 hence rack count 2</t>
        </r>
      </text>
    </comment>
    <comment ref="R38" authorId="0" shapeId="0" xr:uid="{00000000-0006-0000-0300-000026000000}">
      <text>
        <r>
          <rPr>
            <sz val="10"/>
            <rFont val="Arial"/>
            <family val="2"/>
          </rPr>
          <t>Additional power 4KVA per rack removed
Additional 1 Rack with 8KVA power purchased on  MAR 2nd 2021
As per PO:4200008680 Purchased power is 23KVA
521006730: Add 10KVA power purchased on 11th SEP 2024 total power 33KVA</t>
        </r>
      </text>
    </comment>
    <comment ref="S38" authorId="0" shapeId="0" xr:uid="{00000000-0006-0000-0300-000027000000}">
      <text>
        <r>
          <rPr>
            <sz val="10"/>
            <rFont val="Arial"/>
            <family val="2"/>
          </rPr>
          <t xml:space="preserve">A10 thunder 1040 2 devices has been added on July 30th and powered on
Temporary purpose customer power on new HP encloser in new CTR 1 rack and device power consumption is 2650W
20th July 2021 customer disconnected 1 rack and powered off the devices.
Sep 2022 customer installed new device hence power value is 18.40KVA.
</t>
        </r>
      </text>
    </comment>
    <comment ref="J39" authorId="0" shapeId="0" xr:uid="{00000000-0006-0000-0300-000028000000}">
      <text>
        <r>
          <rPr>
            <sz val="10"/>
            <rFont val="Arial"/>
            <family val="2"/>
          </rPr>
          <t xml:space="preserve">Vinoth Ramalingam:
</t>
        </r>
        <r>
          <rPr>
            <sz val="9"/>
            <color rgb="FF000000"/>
            <rFont val="Tahoma"/>
            <family val="2"/>
            <charset val="1"/>
          </rPr>
          <t>521005028 - ESR15 rack power date 12-3-2024 hence rack count 2
APR-25 customer disconnected 1 rack hence rack count is 1.</t>
        </r>
      </text>
    </comment>
    <comment ref="M39" authorId="0" shapeId="0" xr:uid="{00000000-0006-0000-0300-000029000000}">
      <text>
        <r>
          <rPr>
            <sz val="10"/>
            <rFont val="Arial"/>
            <family val="2"/>
          </rPr>
          <t xml:space="preserve">Vinoth Ramalingam:
</t>
        </r>
        <r>
          <rPr>
            <sz val="9"/>
            <color rgb="FF000000"/>
            <rFont val="Tahoma"/>
            <family val="2"/>
            <charset val="1"/>
          </rPr>
          <t>10-5-2024 customer 1/2 rack power ON.
Waiting for PO &amp; SO.</t>
        </r>
      </text>
    </comment>
    <comment ref="R39" authorId="0" shapeId="0" xr:uid="{00000000-0006-0000-0300-00002A000000}">
      <text>
        <r>
          <rPr>
            <sz val="10"/>
            <rFont val="Arial"/>
            <family val="2"/>
          </rPr>
          <t xml:space="preserve">Vinoth Ramalingam:
</t>
        </r>
        <r>
          <rPr>
            <sz val="9"/>
            <color rgb="FF000000"/>
            <rFont val="Tahoma"/>
            <family val="2"/>
            <charset val="1"/>
          </rPr>
          <t>521005028 : 4KVA Power, hence total purchased power is 9KVA</t>
        </r>
      </text>
    </comment>
    <comment ref="S39" authorId="0" shapeId="0" xr:uid="{00000000-0006-0000-0300-00002B000000}">
      <text>
        <r>
          <rPr>
            <sz val="10"/>
            <rFont val="Arial"/>
            <family val="2"/>
          </rPr>
          <t>Customer is installed new devices in ESAB rack on 13th March 2020(After adding power utilization is 7.23)</t>
        </r>
      </text>
    </comment>
    <comment ref="J40" authorId="0" shapeId="0" xr:uid="{00000000-0006-0000-0300-00002C000000}">
      <text>
        <r>
          <rPr>
            <sz val="10"/>
            <rFont val="Arial"/>
            <family val="2"/>
          </rPr>
          <t xml:space="preserve">Vinoth Ramalingam:
</t>
        </r>
        <r>
          <rPr>
            <sz val="9"/>
            <color rgb="FF000000"/>
            <rFont val="Tahoma"/>
            <family val="2"/>
            <charset val="1"/>
          </rPr>
          <t>10-5-2024 customer 1/2 rack power ON.
Waiting for PO &amp; SO.</t>
        </r>
      </text>
    </comment>
    <comment ref="R40" authorId="0" shapeId="0" xr:uid="{00000000-0006-0000-0300-00002D000000}">
      <text>
        <r>
          <rPr>
            <sz val="10"/>
            <rFont val="Arial"/>
            <family val="2"/>
          </rPr>
          <t xml:space="preserve">
Provision of 2 Dedicated Rack Space to 
accommodate standard 42-U rack with 
600 mm width and 1200 mm depth. 
• Single phase rated power of 3 KVA per 
rack 
• Additional Rated power of 8 KVA, 
hence total allocation of 6KVA + 8KVA 
= 14 KVA for 2 Racks
FEB 2022 Customer purchased 1/2 rack with 3.5KVA Power hence total power utilization is 17.5KVA
5th APRIL 2022 Customer purchased 8KVA Power
521003888 - Additional rated power 30KVA. total power is 37.5KVA
</t>
        </r>
      </text>
    </comment>
    <comment ref="S40" authorId="0" shapeId="0" xr:uid="{00000000-0006-0000-0300-00002E000000}">
      <text>
        <r>
          <rPr>
            <sz val="10"/>
            <rFont val="Arial"/>
            <family val="2"/>
          </rPr>
          <t>21st oct 2020 new dell server has been added having 1600 watts of rated power.
May-2022 New Dell Power store device added power capacity is 1450Watts
Sep 2022 Customer installaed new device in DSR15 hence power consumption is 28.89KVA.</t>
        </r>
      </text>
    </comment>
    <comment ref="S42" authorId="0" shapeId="0" xr:uid="{00000000-0006-0000-0300-00002F000000}">
      <text>
        <r>
          <rPr>
            <sz val="10"/>
            <rFont val="Arial"/>
            <family val="2"/>
          </rPr>
          <t>UPPCL additional power cabling has been done on 4th sep_2020 and ne HP device has been added on same day next month onwards power utilization will be 7.92 KVA
Informed to customer to regularize the rated power</t>
        </r>
      </text>
    </comment>
    <comment ref="S43" authorId="0" shapeId="0" xr:uid="{00000000-0006-0000-0300-000030000000}">
      <text>
        <r>
          <rPr>
            <sz val="10"/>
            <rFont val="Arial"/>
            <family val="2"/>
          </rPr>
          <t>15/12/2019 cisco device has been added</t>
        </r>
      </text>
    </comment>
    <comment ref="S46" authorId="0" shapeId="0" xr:uid="{00000000-0006-0000-0300-000031000000}">
      <text>
        <r>
          <rPr>
            <sz val="10"/>
            <rFont val="Arial"/>
            <family val="2"/>
          </rPr>
          <t xml:space="preserve">New device added on April
</t>
        </r>
      </text>
    </comment>
    <comment ref="M49" authorId="0" shapeId="0" xr:uid="{00000000-0006-0000-0300-000032000000}">
      <text>
        <r>
          <rPr>
            <sz val="10"/>
            <rFont val="Arial"/>
            <family val="2"/>
          </rPr>
          <t xml:space="preserve">Vinoth Ramalingam:
</t>
        </r>
        <r>
          <rPr>
            <sz val="9"/>
            <color rgb="FF000000"/>
            <rFont val="Tahoma"/>
            <family val="2"/>
            <charset val="1"/>
          </rPr>
          <t>Sify/PBGB/2023/06 Dated 11.07.2023</t>
        </r>
      </text>
    </comment>
    <comment ref="R52" authorId="0" shapeId="0" xr:uid="{00000000-0006-0000-0300-000033000000}">
      <text>
        <r>
          <rPr>
            <sz val="10"/>
            <rFont val="Arial"/>
            <family val="2"/>
          </rPr>
          <t xml:space="preserve">Vinoth Ramalingam:
</t>
        </r>
        <r>
          <rPr>
            <sz val="9"/>
            <color rgb="FF000000"/>
            <rFont val="Tahoma"/>
            <family val="2"/>
            <charset val="1"/>
          </rPr>
          <t>20th June 2021 8KVA power purchased along with 1 rack.( Order removed in system)
Based on this PO:230401378(521002518) Half rack along with 4 KVA power has been proviosioned</t>
        </r>
      </text>
    </comment>
    <comment ref="S52" authorId="0" shapeId="0" xr:uid="{00000000-0006-0000-0300-000034000000}">
      <text>
        <r>
          <rPr>
            <sz val="10"/>
            <rFont val="Arial"/>
            <family val="2"/>
          </rPr>
          <t xml:space="preserve">Vinoth Ramalingam:
</t>
        </r>
        <r>
          <rPr>
            <sz val="9"/>
            <color rgb="FF000000"/>
            <rFont val="Tahoma"/>
            <family val="2"/>
            <charset val="1"/>
          </rPr>
          <t>Feb 8th 2022 customer power off the BSR 6 so power utilization is 4.64KVA</t>
        </r>
      </text>
    </comment>
    <comment ref="C54" authorId="0" shapeId="0" xr:uid="{00000000-0006-0000-0300-000035000000}">
      <text>
        <r>
          <rPr>
            <sz val="10"/>
            <rFont val="Arial"/>
            <family val="2"/>
          </rPr>
          <t>New DC hosted cloud customer So need to inform regularize the power</t>
        </r>
      </text>
    </comment>
    <comment ref="S54" authorId="0" shapeId="0" xr:uid="{00000000-0006-0000-0300-000036000000}">
      <text>
        <r>
          <rPr>
            <sz val="10"/>
            <rFont val="Arial"/>
            <family val="2"/>
          </rPr>
          <t>IBM devices rated power wrogly mentioned in old power inventory
3 IBM device power on 27th FEB 2021 device power : 2.98KV</t>
        </r>
      </text>
    </comment>
    <comment ref="R55" authorId="0" shapeId="0" xr:uid="{00000000-0006-0000-0300-000037000000}">
      <text>
        <r>
          <rPr>
            <sz val="10"/>
            <rFont val="Arial"/>
            <family val="2"/>
          </rPr>
          <t>additional power of 722 VA cost 28,855</t>
        </r>
      </text>
    </comment>
    <comment ref="S56" authorId="0" shapeId="0" xr:uid="{00000000-0006-0000-0300-000038000000}">
      <text>
        <r>
          <rPr>
            <sz val="10"/>
            <rFont val="Arial"/>
            <family val="2"/>
          </rPr>
          <t xml:space="preserve">Rack stack and power on has been done on 14th June 2020
</t>
        </r>
      </text>
    </comment>
    <comment ref="C57" authorId="0" shapeId="0" xr:uid="{00000000-0006-0000-0300-000039000000}">
      <text>
        <r>
          <rPr>
            <sz val="10"/>
            <rFont val="Arial"/>
            <family val="2"/>
          </rPr>
          <t>30th Dec 2020 devices has been powered on</t>
        </r>
      </text>
    </comment>
    <comment ref="S57" authorId="0" shapeId="0" xr:uid="{00000000-0006-0000-0300-00003A000000}">
      <text>
        <r>
          <rPr>
            <sz val="10"/>
            <rFont val="Arial"/>
            <family val="2"/>
          </rPr>
          <t xml:space="preserve">Rack stack and power on has been done on 14th June 2020
</t>
        </r>
      </text>
    </comment>
    <comment ref="S58" authorId="0" shapeId="0" xr:uid="{00000000-0006-0000-0300-00003D000000}">
      <text>
        <r>
          <rPr>
            <sz val="10"/>
            <rFont val="Arial"/>
            <family val="2"/>
          </rPr>
          <t>Devices rack mounted and powered on 25th feb 2021</t>
        </r>
      </text>
    </comment>
    <comment ref="J59" authorId="0" shapeId="0" xr:uid="{00000000-0006-0000-0300-00003E000000}">
      <text>
        <r>
          <rPr>
            <sz val="10"/>
            <rFont val="Arial"/>
            <family val="2"/>
          </rPr>
          <t xml:space="preserve">Vinoth Ramalingam:
</t>
        </r>
        <r>
          <rPr>
            <sz val="9"/>
            <color rgb="FF000000"/>
            <rFont val="Tahoma"/>
            <family val="2"/>
            <charset val="1"/>
          </rPr>
          <t>20-08-2021 device power ON</t>
        </r>
      </text>
    </comment>
    <comment ref="S59" authorId="0" shapeId="0" xr:uid="{00000000-0006-0000-0300-00003F000000}">
      <text>
        <r>
          <rPr>
            <sz val="10"/>
            <rFont val="Arial"/>
            <family val="2"/>
          </rPr>
          <t>Customer devices rack stack and powered on 20-08-2021</t>
        </r>
      </text>
    </comment>
    <comment ref="J60" authorId="0" shapeId="0" xr:uid="{00000000-0006-0000-0300-000040000000}">
      <text>
        <r>
          <rPr>
            <sz val="10"/>
            <rFont val="Arial"/>
            <family val="2"/>
          </rPr>
          <t xml:space="preserve">Vinoth Ramalingam:
</t>
        </r>
        <r>
          <rPr>
            <sz val="9"/>
            <color rgb="FF000000"/>
            <rFont val="Tahoma"/>
            <family val="2"/>
            <charset val="1"/>
          </rPr>
          <t>20-08-2021 device power ON</t>
        </r>
      </text>
    </comment>
    <comment ref="S60" authorId="0" shapeId="0" xr:uid="{00000000-0006-0000-0300-000041000000}">
      <text>
        <r>
          <rPr>
            <sz val="10"/>
            <rFont val="Arial"/>
            <family val="2"/>
          </rPr>
          <t>Customer devices rack stack and powered on 28-08-2021</t>
        </r>
      </text>
    </comment>
    <comment ref="M61" authorId="0" shapeId="0" xr:uid="{00000000-0006-0000-0300-000042000000}">
      <text>
        <r>
          <rPr>
            <sz val="10"/>
            <rFont val="Arial"/>
            <family val="2"/>
          </rPr>
          <t xml:space="preserve">Vinoth Ramalingam:
</t>
        </r>
        <r>
          <rPr>
            <sz val="9"/>
            <color rgb="FF000000"/>
            <rFont val="Tahoma"/>
            <family val="2"/>
            <charset val="1"/>
          </rPr>
          <t>20-08-2021 device power ON</t>
        </r>
      </text>
    </comment>
    <comment ref="S61" authorId="0" shapeId="0" xr:uid="{00000000-0006-0000-0300-000043000000}">
      <text>
        <r>
          <rPr>
            <sz val="10"/>
            <rFont val="Arial"/>
            <family val="2"/>
          </rPr>
          <t>Devices rack mounted and powered on 12th Jan 2020
Microscan 2 devices power off on Aug 2021</t>
        </r>
      </text>
    </comment>
    <comment ref="J62" authorId="0" shapeId="0" xr:uid="{00000000-0006-0000-0300-000044000000}">
      <text>
        <r>
          <rPr>
            <sz val="10"/>
            <rFont val="Arial"/>
            <family val="2"/>
          </rPr>
          <t xml:space="preserve">Vinoth Ramalingam:
</t>
        </r>
        <r>
          <rPr>
            <sz val="9"/>
            <color rgb="FF000000"/>
            <rFont val="Tahoma"/>
            <family val="2"/>
            <charset val="1"/>
          </rPr>
          <t>31st Aug 2021 2 U + 500VA Purchased.
Jan 2023 1 U + 250VA purchased.</t>
        </r>
      </text>
    </comment>
    <comment ref="R62" authorId="0" shapeId="0" xr:uid="{00000000-0006-0000-0300-000045000000}">
      <text>
        <r>
          <rPr>
            <sz val="10"/>
            <rFont val="Arial"/>
            <family val="2"/>
          </rPr>
          <t xml:space="preserve">Vinoth Ramalingam:
</t>
        </r>
        <r>
          <rPr>
            <sz val="9"/>
            <color rgb="FF000000"/>
            <rFont val="Tahoma"/>
            <family val="2"/>
            <charset val="1"/>
          </rPr>
          <t>Order Number Space Power
521001029 2 U  500VA
521003275 1U  250VA
521003878  250VA
  1000VA</t>
        </r>
      </text>
    </comment>
    <comment ref="S62" authorId="0" shapeId="0" xr:uid="{00000000-0006-0000-0300-000046000000}">
      <text>
        <r>
          <rPr>
            <sz val="10"/>
            <rFont val="Arial"/>
            <family val="2"/>
          </rPr>
          <t>18th feb 2022 rack power on.
Apr-23 new HP 360 Gen 10 server power on hence 1.38Kva</t>
        </r>
      </text>
    </comment>
    <comment ref="J63" authorId="0" shapeId="0" xr:uid="{00000000-0006-0000-0300-000047000000}">
      <text>
        <r>
          <rPr>
            <sz val="10"/>
            <rFont val="Arial"/>
            <family val="2"/>
          </rPr>
          <t xml:space="preserve">Vinoth Ramalingam:
</t>
        </r>
        <r>
          <rPr>
            <sz val="9"/>
            <color rgb="FF000000"/>
            <rFont val="Tahoma"/>
            <family val="2"/>
            <charset val="1"/>
          </rPr>
          <t>11th APRIL 2022 rack powered on.</t>
        </r>
      </text>
    </comment>
    <comment ref="R63" authorId="0" shapeId="0" xr:uid="{00000000-0006-0000-0300-000048000000}">
      <text>
        <r>
          <rPr>
            <sz val="10"/>
            <rFont val="Arial"/>
            <family val="2"/>
          </rPr>
          <t xml:space="preserve">Vinoth Ramalingam:
</t>
        </r>
        <r>
          <rPr>
            <sz val="9"/>
            <color rgb="FF000000"/>
            <rFont val="Tahoma"/>
            <family val="2"/>
            <charset val="1"/>
          </rPr>
          <t>Order Number Space Power
521001029 2 U  500VA
521003275 1U  250VA
521003878  250VA
  1000VA</t>
        </r>
      </text>
    </comment>
    <comment ref="S63" authorId="0" shapeId="0" xr:uid="{00000000-0006-0000-0300-000049000000}">
      <text>
        <r>
          <rPr>
            <sz val="10"/>
            <rFont val="Arial"/>
            <family val="2"/>
          </rPr>
          <t>Customer devices rack stack and powered on 20-08-2021</t>
        </r>
      </text>
    </comment>
    <comment ref="J64" authorId="0" shapeId="0" xr:uid="{00000000-0006-0000-0300-00004A000000}">
      <text>
        <r>
          <rPr>
            <sz val="10"/>
            <rFont val="Arial"/>
            <family val="2"/>
          </rPr>
          <t xml:space="preserve">Vinoth Ramalingam:
</t>
        </r>
        <r>
          <rPr>
            <sz val="9"/>
            <color rgb="FF000000"/>
            <rFont val="Tahoma"/>
            <family val="2"/>
            <charset val="1"/>
          </rPr>
          <t>Rack Power on date is 08-07-2022</t>
        </r>
      </text>
    </comment>
    <comment ref="M64" authorId="0" shapeId="0" xr:uid="{00000000-0006-0000-0300-00004B000000}">
      <text>
        <r>
          <rPr>
            <sz val="10"/>
            <rFont val="Arial"/>
            <family val="2"/>
          </rPr>
          <t xml:space="preserve">Vinoth Ramalingam:
</t>
        </r>
        <r>
          <rPr>
            <sz val="9"/>
            <color rgb="FF000000"/>
            <rFont val="Tahoma"/>
            <family val="2"/>
            <charset val="1"/>
          </rPr>
          <t>31st Aug 2021 2 U + 500VA Purchased.
Jan 2023 1 U + 250VA purchased.</t>
        </r>
      </text>
    </comment>
    <comment ref="S64" authorId="0" shapeId="0" xr:uid="{00000000-0006-0000-0300-00004C000000}">
      <text>
        <r>
          <rPr>
            <sz val="10"/>
            <rFont val="Arial"/>
            <family val="2"/>
          </rPr>
          <t xml:space="preserve">New device added on April
</t>
        </r>
      </text>
    </comment>
    <comment ref="J65" authorId="0" shapeId="0" xr:uid="{00000000-0006-0000-0300-00004D000000}">
      <text>
        <r>
          <rPr>
            <sz val="10"/>
            <rFont val="Arial"/>
            <family val="2"/>
          </rPr>
          <t xml:space="preserve">Vinoth Ramalingam:
</t>
        </r>
        <r>
          <rPr>
            <sz val="9"/>
            <color rgb="FF000000"/>
            <rFont val="Tahoma"/>
            <family val="2"/>
            <charset val="1"/>
          </rPr>
          <t>power on 05-07-2022</t>
        </r>
      </text>
    </comment>
    <comment ref="M65" authorId="0" shapeId="0" xr:uid="{00000000-0006-0000-0300-00004E000000}">
      <text>
        <r>
          <rPr>
            <sz val="10"/>
            <rFont val="Arial"/>
            <family val="2"/>
          </rPr>
          <t xml:space="preserve">Vinoth Ramalingam:
</t>
        </r>
        <r>
          <rPr>
            <sz val="9"/>
            <color rgb="FF000000"/>
            <rFont val="Tahoma"/>
            <family val="2"/>
            <charset val="1"/>
          </rPr>
          <t>11th APRIL 2022 rack powered on.</t>
        </r>
      </text>
    </comment>
    <comment ref="S65" authorId="0" shapeId="0" xr:uid="{00000000-0006-0000-0300-00004F000000}">
      <text>
        <r>
          <rPr>
            <sz val="10"/>
            <rFont val="Arial"/>
            <family val="2"/>
          </rPr>
          <t xml:space="preserve">New device added on April
</t>
        </r>
      </text>
    </comment>
    <comment ref="J66" authorId="0" shapeId="0" xr:uid="{00000000-0006-0000-0300-000050000000}">
      <text>
        <r>
          <rPr>
            <sz val="10"/>
            <rFont val="Arial"/>
            <family val="2"/>
          </rPr>
          <t xml:space="preserve">Vinoth Ramalingam:
</t>
        </r>
        <r>
          <rPr>
            <sz val="9"/>
            <color rgb="FF000000"/>
            <rFont val="Tahoma"/>
            <family val="2"/>
            <charset val="1"/>
          </rPr>
          <t>power on 05-07-2022</t>
        </r>
      </text>
    </comment>
    <comment ref="M66" authorId="0" shapeId="0" xr:uid="{00000000-0006-0000-0300-000051000000}">
      <text>
        <r>
          <rPr>
            <sz val="10"/>
            <rFont val="Arial"/>
            <family val="2"/>
          </rPr>
          <t xml:space="preserve">Vinoth Ramalingam:
</t>
        </r>
        <r>
          <rPr>
            <sz val="9"/>
            <color rgb="FF000000"/>
            <rFont val="Tahoma"/>
            <family val="2"/>
            <charset val="1"/>
          </rPr>
          <t>Rack Power on date is 08-07-2022</t>
        </r>
      </text>
    </comment>
    <comment ref="S66" authorId="0" shapeId="0" xr:uid="{00000000-0006-0000-0300-000052000000}">
      <text>
        <r>
          <rPr>
            <sz val="10"/>
            <rFont val="Arial"/>
            <family val="2"/>
          </rPr>
          <t xml:space="preserve">New device added on April
</t>
        </r>
      </text>
    </comment>
    <comment ref="J67" authorId="0" shapeId="0" xr:uid="{00000000-0006-0000-0300-000053000000}">
      <text>
        <r>
          <rPr>
            <sz val="10"/>
            <rFont val="Arial"/>
            <family val="2"/>
          </rPr>
          <t xml:space="preserve">Vinoth Ramalingam:
</t>
        </r>
        <r>
          <rPr>
            <sz val="9"/>
            <color rgb="FF000000"/>
            <rFont val="Tahoma"/>
            <family val="2"/>
            <charset val="1"/>
          </rPr>
          <t>521003975 - 1st FEB-23 2 rack along with 12 kva power proviosioned.</t>
        </r>
      </text>
    </comment>
    <comment ref="M67" authorId="0" shapeId="0" xr:uid="{00000000-0006-0000-0300-000054000000}">
      <text>
        <r>
          <rPr>
            <sz val="10"/>
            <rFont val="Arial"/>
            <family val="2"/>
          </rPr>
          <t xml:space="preserve">Vinoth Ramalingam:
</t>
        </r>
        <r>
          <rPr>
            <sz val="9"/>
            <color rgb="FF000000"/>
            <rFont val="Tahoma"/>
            <family val="2"/>
            <charset val="1"/>
          </rPr>
          <t>power on 05-07-2022</t>
        </r>
      </text>
    </comment>
    <comment ref="J68" authorId="0" shapeId="0" xr:uid="{00000000-0006-0000-0300-000055000000}">
      <text>
        <r>
          <rPr>
            <sz val="10"/>
            <rFont val="Arial"/>
            <family val="2"/>
          </rPr>
          <t xml:space="preserve">Vinoth Ramalingam:
</t>
        </r>
        <r>
          <rPr>
            <sz val="9"/>
            <color rgb="FF000000"/>
            <rFont val="Tahoma"/>
            <family val="2"/>
            <charset val="1"/>
          </rPr>
          <t>521003975 - 1st FEB-23 2 rack along with 12 kva power proviosioned.</t>
        </r>
      </text>
    </comment>
    <comment ref="M69" authorId="0" shapeId="0" xr:uid="{00000000-0006-0000-0300-000056000000}">
      <text>
        <r>
          <rPr>
            <sz val="10"/>
            <rFont val="Arial"/>
            <family val="2"/>
          </rPr>
          <t xml:space="preserve">Vinoth Ramalingam:
</t>
        </r>
        <r>
          <rPr>
            <sz val="9"/>
            <color rgb="FF000000"/>
            <rFont val="Tahoma"/>
            <family val="2"/>
            <charset val="1"/>
          </rPr>
          <t>521003975 - 1st FEB-23 2 rack along with 12 kva power proviosioned.</t>
        </r>
      </text>
    </comment>
    <comment ref="J70" authorId="0" shapeId="0" xr:uid="{00000000-0006-0000-0300-000057000000}">
      <text>
        <r>
          <rPr>
            <sz val="10"/>
            <rFont val="Arial"/>
            <family val="2"/>
          </rPr>
          <t xml:space="preserve">Vinoth Ramalingam:
</t>
        </r>
        <r>
          <rPr>
            <sz val="9"/>
            <color rgb="FF000000"/>
            <rFont val="Tahoma"/>
            <family val="2"/>
            <charset val="1"/>
          </rPr>
          <t>521004927 - 21U with 1.75KVA Rated power has been proviosioned on 8th MAR-24</t>
        </r>
      </text>
    </comment>
    <comment ref="R70" authorId="0" shapeId="0" xr:uid="{00000000-0006-0000-0300-000058000000}">
      <text>
        <r>
          <rPr>
            <sz val="10"/>
            <rFont val="Arial"/>
            <family val="2"/>
          </rPr>
          <t xml:space="preserve">Vinoth Ramalingam:
</t>
        </r>
        <r>
          <rPr>
            <sz val="9"/>
            <color rgb="FF000000"/>
            <rFont val="Tahoma"/>
            <family val="2"/>
            <charset val="1"/>
          </rPr>
          <t>521004927 - 21U with 1.75KVA Rated power has been proviosioned on 8th MAR-24</t>
        </r>
      </text>
    </comment>
    <comment ref="J71" authorId="0" shapeId="0" xr:uid="{00000000-0006-0000-0300-000059000000}">
      <text>
        <r>
          <rPr>
            <sz val="10"/>
            <rFont val="Arial"/>
            <family val="2"/>
          </rPr>
          <t xml:space="preserve">Vinoth Ramalingam:
</t>
        </r>
        <r>
          <rPr>
            <sz val="9"/>
            <color rgb="FF000000"/>
            <rFont val="Tahoma"/>
            <family val="2"/>
            <charset val="1"/>
          </rPr>
          <t>521005019 - 4U space along with 1KVA Power has been proviosioned on 8th MAR-24</t>
        </r>
      </text>
    </comment>
    <comment ref="R71" authorId="0" shapeId="0" xr:uid="{00000000-0006-0000-0300-00005A000000}">
      <text>
        <r>
          <rPr>
            <sz val="10"/>
            <rFont val="Arial"/>
            <family val="2"/>
          </rPr>
          <t xml:space="preserve">Vinoth Ramalingam:
</t>
        </r>
        <r>
          <rPr>
            <sz val="9"/>
            <color rgb="FF000000"/>
            <rFont val="Tahoma"/>
            <family val="2"/>
            <charset val="1"/>
          </rPr>
          <t>521005019 - 4U space along with 1KVA Power has been proviosioned on 8th MAR-24</t>
        </r>
      </text>
    </comment>
    <comment ref="S71" authorId="0" shapeId="0" xr:uid="{00000000-0006-0000-0300-00005B000000}">
      <text>
        <r>
          <rPr>
            <sz val="10"/>
            <rFont val="Arial"/>
            <family val="2"/>
          </rPr>
          <t xml:space="preserve">New device added on April
</t>
        </r>
      </text>
    </comment>
    <comment ref="J72" authorId="0" shapeId="0" xr:uid="{00000000-0006-0000-0300-000060000000}">
      <text>
        <r>
          <rPr>
            <sz val="10"/>
            <rFont val="Arial"/>
            <family val="2"/>
          </rPr>
          <t xml:space="preserve">Vinoth Ramalingam:
</t>
        </r>
        <r>
          <rPr>
            <sz val="9"/>
            <color rgb="FF000000"/>
            <rFont val="Tahoma"/>
            <family val="2"/>
            <charset val="1"/>
          </rPr>
          <t>22-08-2024 power on date</t>
        </r>
      </text>
    </comment>
    <comment ref="M72" authorId="0" shapeId="0" xr:uid="{00000000-0006-0000-0300-000061000000}">
      <text>
        <r>
          <rPr>
            <sz val="10"/>
            <rFont val="Arial"/>
            <family val="2"/>
          </rPr>
          <t xml:space="preserve">Vinoth Ramalingam:
</t>
        </r>
        <r>
          <rPr>
            <sz val="9"/>
            <color rgb="FF000000"/>
            <rFont val="Tahoma"/>
            <family val="2"/>
            <charset val="1"/>
          </rPr>
          <t>521005019 - 4U space along with 1KVA Power has been proviosioned on 8th MAR-24</t>
        </r>
      </text>
    </comment>
    <comment ref="J73" authorId="0" shapeId="0" xr:uid="{00000000-0006-0000-0300-000062000000}">
      <text>
        <r>
          <rPr>
            <sz val="10"/>
            <rFont val="Arial"/>
            <family val="2"/>
          </rPr>
          <t xml:space="preserve">Vinoth Ramalingam:
</t>
        </r>
        <r>
          <rPr>
            <sz val="9"/>
            <color rgb="FF000000"/>
            <rFont val="Tahoma"/>
            <family val="2"/>
            <charset val="1"/>
          </rPr>
          <t>28-10-2024 power on date</t>
        </r>
      </text>
    </comment>
    <comment ref="M73" authorId="0" shapeId="0" xr:uid="{00000000-0006-0000-0300-000063000000}">
      <text>
        <r>
          <rPr>
            <sz val="10"/>
            <rFont val="Arial"/>
            <family val="2"/>
          </rPr>
          <t xml:space="preserve">Vinoth Ramalingam:
</t>
        </r>
        <r>
          <rPr>
            <sz val="9"/>
            <color rgb="FF000000"/>
            <rFont val="Tahoma"/>
            <family val="2"/>
            <charset val="1"/>
          </rPr>
          <t>521005062 - 4U with 1 KVA power proviosioned on 6th MAR-24</t>
        </r>
      </text>
    </comment>
    <comment ref="J74" authorId="0" shapeId="0" xr:uid="{00000000-0006-0000-0300-000064000000}">
      <text>
        <r>
          <rPr>
            <sz val="10"/>
            <rFont val="Arial"/>
            <family val="2"/>
          </rPr>
          <t xml:space="preserve">Vinoth Ramalingam:
</t>
        </r>
        <r>
          <rPr>
            <sz val="9"/>
            <color rgb="FF000000"/>
            <rFont val="Tahoma"/>
            <family val="2"/>
            <charset val="1"/>
          </rPr>
          <t>28-10-2024 power on date</t>
        </r>
      </text>
    </comment>
    <comment ref="M74" authorId="0" shapeId="0" xr:uid="{00000000-0006-0000-0300-000065000000}">
      <text>
        <r>
          <rPr>
            <sz val="10"/>
            <rFont val="Arial"/>
            <family val="2"/>
          </rPr>
          <t xml:space="preserve">Vinoth Ramalingam:
</t>
        </r>
        <r>
          <rPr>
            <sz val="9"/>
            <color rgb="FF000000"/>
            <rFont val="Tahoma"/>
            <family val="2"/>
            <charset val="1"/>
          </rPr>
          <t>18-8-2024 power on date</t>
        </r>
      </text>
    </comment>
    <comment ref="C75" authorId="0" shapeId="0" xr:uid="{00000000-0006-0000-0300-000066000000}">
      <text>
        <r>
          <rPr>
            <sz val="10"/>
            <rFont val="Arial"/>
            <family val="2"/>
          </rPr>
          <t>5+11+30 Racks</t>
        </r>
      </text>
    </comment>
    <comment ref="M75" authorId="0" shapeId="0" xr:uid="{00000000-0006-0000-0300-000067000000}">
      <text>
        <r>
          <rPr>
            <sz val="10"/>
            <rFont val="Arial"/>
            <family val="2"/>
          </rPr>
          <t xml:space="preserve">Vinoth Ramalingam:
</t>
        </r>
        <r>
          <rPr>
            <sz val="9"/>
            <color rgb="FF000000"/>
            <rFont val="Tahoma"/>
            <family val="2"/>
            <charset val="1"/>
          </rPr>
          <t>18-8-2024 power on date</t>
        </r>
      </text>
    </comment>
    <comment ref="R75" authorId="0" shapeId="0" xr:uid="{00000000-0006-0000-0300-000068000000}">
      <text>
        <r>
          <rPr>
            <sz val="10"/>
            <rFont val="Arial"/>
            <family val="2"/>
          </rPr>
          <t>36+84</t>
        </r>
      </text>
    </comment>
    <comment ref="C76" authorId="0" shapeId="0" xr:uid="{00000000-0006-0000-0300-000069000000}">
      <text>
        <r>
          <rPr>
            <sz val="10"/>
            <rFont val="Arial"/>
            <family val="2"/>
          </rPr>
          <t>5+11+30 Racks</t>
        </r>
      </text>
    </comment>
    <comment ref="R76" authorId="0" shapeId="0" xr:uid="{00000000-0006-0000-0300-00006A000000}">
      <text>
        <r>
          <rPr>
            <sz val="10"/>
            <rFont val="Arial"/>
            <family val="2"/>
          </rPr>
          <t>36+84</t>
        </r>
      </text>
    </comment>
    <comment ref="C77" authorId="0" shapeId="0" xr:uid="{00000000-0006-0000-0300-00006B000000}">
      <text>
        <r>
          <rPr>
            <sz val="10"/>
            <rFont val="Arial"/>
            <family val="2"/>
          </rPr>
          <t xml:space="preserve">changed from rated to subcribe since mesurement of power usage avilable in meter and 5 KVA kept for future use
</t>
        </r>
      </text>
    </comment>
    <comment ref="S77" authorId="0" shapeId="0" xr:uid="{00000000-0006-0000-0300-00006C000000}">
      <text>
        <r>
          <rPr>
            <sz val="10"/>
            <rFont val="Arial"/>
            <family val="2"/>
          </rPr>
          <t>New RTS devices are added in noc room and each RTR which can hold 600 W power</t>
        </r>
      </text>
    </comment>
    <comment ref="J79" authorId="0" shapeId="0" xr:uid="{00000000-0006-0000-0300-00006F000000}">
      <text>
        <r>
          <rPr>
            <sz val="10"/>
            <rFont val="Arial"/>
            <family val="2"/>
          </rPr>
          <t xml:space="preserve">Vinoth Ramalingam:
</t>
        </r>
        <r>
          <rPr>
            <sz val="9"/>
            <color rgb="FF000000"/>
            <rFont val="Tahoma"/>
            <family val="2"/>
            <charset val="1"/>
          </rPr>
          <t>20th June-25 customer rack power on.</t>
        </r>
      </text>
    </comment>
    <comment ref="J80" authorId="0" shapeId="0" xr:uid="{00000000-0006-0000-0300-000070000000}">
      <text>
        <r>
          <rPr>
            <sz val="10"/>
            <rFont val="Arial"/>
            <family val="2"/>
          </rPr>
          <t xml:space="preserve">Vinoth Ramalingam:
</t>
        </r>
        <r>
          <rPr>
            <sz val="9"/>
            <color rgb="FF000000"/>
            <rFont val="Tahoma"/>
            <family val="2"/>
            <charset val="1"/>
          </rPr>
          <t>27th June-25 rack power on</t>
        </r>
      </text>
    </comment>
    <comment ref="AF80" authorId="1" shapeId="0" xr:uid="{00000000-0006-0000-0300-000071000000}">
      <text>
        <r>
          <rPr>
            <b/>
            <sz val="9"/>
            <color indexed="81"/>
            <rFont val="Tahoma"/>
            <charset val="1"/>
          </rPr>
          <t>Add-on 3 Racks one Power ON 9th FEB-26</t>
        </r>
      </text>
    </comment>
    <comment ref="S87" authorId="0" shapeId="0" xr:uid="{00000000-0006-0000-0300-000072000000}">
      <text>
        <r>
          <rPr>
            <sz val="10"/>
            <rFont val="Arial"/>
            <family val="2"/>
          </rPr>
          <t>New RTS devices are added in noc room and each RTR which can hold 600 W power</t>
        </r>
      </text>
    </comment>
    <comment ref="J88" authorId="2" shapeId="0" xr:uid="{00000000-0006-0000-0300-000073000000}">
      <text>
        <r>
          <rPr>
            <sz val="10"/>
            <rFont val="Arial"/>
            <family val="2"/>
          </rPr>
          <t xml:space="preserve">Vinoth Ramalingam:
</t>
        </r>
        <r>
          <rPr>
            <sz val="9"/>
            <color rgb="FF000000"/>
            <rFont val="Tahoma"/>
            <family val="2"/>
            <charset val="1"/>
          </rPr>
          <t>25th NOV 2025 power on</t>
        </r>
      </text>
    </comment>
    <comment ref="M88" authorId="0" shapeId="0" xr:uid="{00000000-0006-0000-0300-000074000000}">
      <text>
        <r>
          <rPr>
            <sz val="10"/>
            <rFont val="Arial"/>
            <family val="2"/>
          </rPr>
          <t xml:space="preserve">Vinoth Ramalingam:
</t>
        </r>
        <r>
          <rPr>
            <sz val="9"/>
            <color rgb="FF000000"/>
            <rFont val="Tahoma"/>
            <family val="2"/>
            <charset val="1"/>
          </rPr>
          <t>18-8-2024 power on date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Vinoth Ramalingam</author>
  </authors>
  <commentList>
    <comment ref="C4" authorId="0" shapeId="0" xr:uid="{00000000-0006-0000-0400-000001000000}">
      <text>
        <r>
          <rPr>
            <sz val="10"/>
            <rFont val="Arial"/>
            <family val="2"/>
          </rPr>
          <t xml:space="preserve">Vinoth Ramalingam:
</t>
        </r>
        <r>
          <rPr>
            <sz val="9"/>
            <color rgb="FF000000"/>
            <rFont val="Tahoma"/>
            <family val="2"/>
            <charset val="1"/>
          </rPr>
          <t>19th APR 2024 power off</t>
        </r>
      </text>
    </comment>
    <comment ref="C5" authorId="0" shapeId="0" xr:uid="{00000000-0006-0000-0400-000002000000}">
      <text>
        <r>
          <rPr>
            <sz val="10"/>
            <rFont val="Arial"/>
            <family val="2"/>
          </rPr>
          <t xml:space="preserve">Vinoth Ramalingam:
</t>
        </r>
        <r>
          <rPr>
            <sz val="9"/>
            <color rgb="FF000000"/>
            <rFont val="Tahoma"/>
            <family val="2"/>
            <charset val="1"/>
          </rPr>
          <t>5th June -24 disconnected</t>
        </r>
      </text>
    </comment>
    <comment ref="C6" authorId="0" shapeId="0" xr:uid="{00000000-0006-0000-0400-000003000000}">
      <text>
        <r>
          <rPr>
            <sz val="10"/>
            <rFont val="Arial"/>
            <family val="2"/>
          </rPr>
          <t xml:space="preserve">Vinoth Ramalingam:
</t>
        </r>
        <r>
          <rPr>
            <sz val="9"/>
            <color rgb="FF000000"/>
            <rFont val="Tahoma"/>
            <family val="2"/>
            <charset val="1"/>
          </rPr>
          <t>17-5-2024 disconnect</t>
        </r>
      </text>
    </comment>
    <comment ref="C7" authorId="0" shapeId="0" xr:uid="{00000000-0006-0000-0400-000004000000}">
      <text>
        <r>
          <rPr>
            <sz val="10"/>
            <rFont val="Arial"/>
            <family val="2"/>
          </rPr>
          <t xml:space="preserve">Vinoth Ramalingam:
</t>
        </r>
        <r>
          <rPr>
            <sz val="9"/>
            <color rgb="FF000000"/>
            <rFont val="Tahoma"/>
            <family val="2"/>
            <charset val="1"/>
          </rPr>
          <t>9th july 2024 disconnected</t>
        </r>
      </text>
    </comment>
    <comment ref="C8" authorId="0" shapeId="0" xr:uid="{00000000-0006-0000-0400-000005000000}">
      <text>
        <r>
          <rPr>
            <sz val="10"/>
            <rFont val="Arial"/>
            <family val="2"/>
          </rPr>
          <t xml:space="preserve">Vinoth Ramalingam:
</t>
        </r>
        <r>
          <rPr>
            <sz val="9"/>
            <color rgb="FF000000"/>
            <rFont val="Tahoma"/>
            <family val="2"/>
            <charset val="1"/>
          </rPr>
          <t>27-7-2024 power off</t>
        </r>
      </text>
    </comment>
    <comment ref="C9" authorId="0" shapeId="0" xr:uid="{00000000-0006-0000-0400-000006000000}">
      <text>
        <r>
          <rPr>
            <sz val="10"/>
            <rFont val="Arial"/>
            <family val="2"/>
          </rPr>
          <t xml:space="preserve">Vinoth Ramalingam:
</t>
        </r>
        <r>
          <rPr>
            <sz val="9"/>
            <color rgb="FF000000"/>
            <rFont val="Tahoma"/>
            <family val="2"/>
            <charset val="1"/>
          </rPr>
          <t>31st July 2024 Power off</t>
        </r>
      </text>
    </comment>
    <comment ref="C10" authorId="0" shapeId="0" xr:uid="{00000000-0006-0000-0400-000007000000}">
      <text>
        <r>
          <rPr>
            <sz val="10"/>
            <rFont val="Arial"/>
            <family val="2"/>
          </rPr>
          <t xml:space="preserve">Vinoth Ramalingam:
</t>
        </r>
        <r>
          <rPr>
            <sz val="9"/>
            <color rgb="FF000000"/>
            <rFont val="Tahoma"/>
            <family val="2"/>
            <charset val="1"/>
          </rPr>
          <t>24-09-2024 disconnection</t>
        </r>
      </text>
    </comment>
    <comment ref="C11" authorId="0" shapeId="0" xr:uid="{00000000-0006-0000-0400-000008000000}">
      <text>
        <r>
          <rPr>
            <sz val="10"/>
            <rFont val="Arial"/>
            <family val="2"/>
          </rPr>
          <t xml:space="preserve">Vinoth Ramalingam:
</t>
        </r>
        <r>
          <rPr>
            <sz val="9"/>
            <color rgb="FF000000"/>
            <rFont val="Tahoma"/>
            <family val="2"/>
            <charset val="1"/>
          </rPr>
          <t>Disconnection date 13th FEB 2025</t>
        </r>
      </text>
    </comment>
    <comment ref="C13" authorId="0" shapeId="0" xr:uid="{00000000-0006-0000-0400-000009000000}">
      <text>
        <r>
          <rPr>
            <sz val="10"/>
            <rFont val="Arial"/>
            <family val="2"/>
          </rPr>
          <t xml:space="preserve">Vinoth Ramalingam:
</t>
        </r>
        <r>
          <rPr>
            <sz val="9"/>
            <color rgb="FF000000"/>
            <rFont val="Tahoma"/>
            <family val="2"/>
            <charset val="1"/>
          </rPr>
          <t>2nd may-25 power off</t>
        </r>
      </text>
    </comment>
    <comment ref="J13" authorId="0" shapeId="0" xr:uid="{00000000-0006-0000-0400-00000A000000}">
      <text>
        <r>
          <rPr>
            <sz val="10"/>
            <rFont val="Arial"/>
            <family val="2"/>
          </rPr>
          <t xml:space="preserve">Vinoth Ramalingam:
</t>
        </r>
        <r>
          <rPr>
            <sz val="9"/>
            <color rgb="FF000000"/>
            <rFont val="Tahoma"/>
            <family val="2"/>
            <charset val="1"/>
          </rPr>
          <t>Sify/PBGB/2023/06 Dated 11.07.2023</t>
        </r>
      </text>
    </comment>
    <comment ref="M13" authorId="0" shapeId="0" xr:uid="{00000000-0006-0000-0400-00000B000000}">
      <text>
        <r>
          <rPr>
            <sz val="10"/>
            <rFont val="Arial"/>
            <family val="2"/>
          </rPr>
          <t xml:space="preserve">Vinoth Ramalingam:
</t>
        </r>
        <r>
          <rPr>
            <sz val="9"/>
            <color rgb="FF000000"/>
            <rFont val="Tahoma"/>
            <family val="2"/>
            <charset val="1"/>
          </rPr>
          <t>Sify/PBGB/2023/06 Dated 11.07.2023</t>
        </r>
      </text>
    </comment>
    <comment ref="R13" authorId="0" shapeId="0" xr:uid="{00000000-0006-0000-0400-00000C000000}">
      <text>
        <r>
          <rPr>
            <sz val="10"/>
            <rFont val="Arial"/>
            <family val="2"/>
          </rPr>
          <t xml:space="preserve">Vinoth Ramalingam:
</t>
        </r>
        <r>
          <rPr>
            <sz val="9"/>
            <color rgb="FF000000"/>
            <rFont val="Tahoma"/>
            <family val="2"/>
            <charset val="1"/>
          </rPr>
          <t>Sify/PBGB/2023/06 Dated 11.07.2023 - 4rack 6KVA Rated + 7KVA Additional power</t>
        </r>
      </text>
    </comment>
    <comment ref="C14" authorId="0" shapeId="0" xr:uid="{00000000-0006-0000-0400-00000D000000}">
      <text>
        <r>
          <rPr>
            <sz val="10"/>
            <rFont val="Arial"/>
            <family val="2"/>
          </rPr>
          <t>26th June Power Off</t>
        </r>
      </text>
    </comment>
    <comment ref="C15" authorId="1" shapeId="0" xr:uid="{00000000-0006-0000-0400-00000E000000}">
      <text>
        <r>
          <rPr>
            <sz val="10"/>
            <rFont val="Arial"/>
            <family val="2"/>
          </rPr>
          <t xml:space="preserve">Vinoth Ramalingam:
</t>
        </r>
        <r>
          <rPr>
            <sz val="9"/>
            <color rgb="FF000000"/>
            <rFont val="Tahoma"/>
            <family val="2"/>
            <charset val="1"/>
          </rPr>
          <t>4th SEP-2025 power off</t>
        </r>
      </text>
    </comment>
    <comment ref="M15" authorId="0" shapeId="0" xr:uid="{00000000-0006-0000-0400-00000F000000}">
      <text>
        <r>
          <rPr>
            <sz val="10"/>
            <rFont val="Arial"/>
            <family val="2"/>
          </rPr>
          <t>Additional 1U taken
521003388 - 2U total Uspace 8
3U Terminated, so total U space is 5U
521006875: 4U space</t>
        </r>
      </text>
    </comment>
    <comment ref="S15" authorId="0" shapeId="0" xr:uid="{00000000-0006-0000-0400-000010000000}">
      <text>
        <r>
          <rPr>
            <sz val="10"/>
            <rFont val="Arial"/>
            <family val="2"/>
          </rPr>
          <t xml:space="preserve">Vinoth Ramalingam:
</t>
        </r>
        <r>
          <rPr>
            <sz val="9"/>
            <color rgb="FF000000"/>
            <rFont val="Tahoma"/>
            <family val="2"/>
            <charset val="1"/>
          </rPr>
          <t>MAR-23 customer removed technotrust devices and mounted in GSR rack.</t>
        </r>
      </text>
    </comment>
    <comment ref="S17" authorId="0" shapeId="0" xr:uid="{00000000-0006-0000-0400-000011000000}">
      <text>
        <r>
          <rPr>
            <sz val="10"/>
            <rFont val="Arial"/>
            <family val="2"/>
          </rPr>
          <t>Devices rack mounted and powered on 12th Jan 2020
Microscan 2 devices power off on Aug 2021</t>
        </r>
      </text>
    </comment>
    <comment ref="C18" authorId="1" shapeId="0" xr:uid="{C2ADF202-D890-4F0A-ADD4-14AACEEA46B2}">
      <text>
        <r>
          <rPr>
            <b/>
            <sz val="9"/>
            <color indexed="81"/>
            <rFont val="Tahoma"/>
            <charset val="1"/>
          </rPr>
          <t>Vinoth Ramalingam:</t>
        </r>
        <r>
          <rPr>
            <sz val="9"/>
            <color indexed="81"/>
            <rFont val="Tahoma"/>
            <charset val="1"/>
          </rPr>
          <t xml:space="preserve">
30th DEC 2025 disconnected the services</t>
        </r>
      </text>
    </comment>
    <comment ref="M18" authorId="0" shapeId="0" xr:uid="{00000000-0006-0000-0300-00001A000000}">
      <text>
        <r>
          <rPr>
            <sz val="10"/>
            <rFont val="Arial"/>
            <family val="2"/>
          </rPr>
          <t xml:space="preserve">13 U + 2U +2U+1U
Sep 2022 2U space termination order received from Customer and sever also outwarded.
</t>
        </r>
      </text>
    </comment>
    <comment ref="C19" authorId="0" shapeId="0" xr:uid="{00000000-0006-0000-0300-00003B000000}">
      <text>
        <r>
          <rPr>
            <sz val="10"/>
            <rFont val="Arial"/>
            <family val="2"/>
          </rPr>
          <t>30th Dec 2020 devices has been powered on</t>
        </r>
      </text>
    </comment>
    <comment ref="S19" authorId="0" shapeId="0" xr:uid="{00000000-0006-0000-0300-00003C000000}">
      <text>
        <r>
          <rPr>
            <sz val="10"/>
            <rFont val="Arial"/>
            <family val="2"/>
          </rPr>
          <t>Devices rack mounted and powered on 25th feb 2021</t>
        </r>
      </text>
    </comment>
    <comment ref="C20" authorId="1" shapeId="0" xr:uid="{C83B42AA-996D-4B92-8737-8AD22B228535}">
      <text>
        <r>
          <rPr>
            <b/>
            <sz val="9"/>
            <color indexed="81"/>
            <rFont val="Tahoma"/>
            <charset val="1"/>
          </rPr>
          <t>Vinoth Ramalingam:</t>
        </r>
        <r>
          <rPr>
            <sz val="9"/>
            <color indexed="81"/>
            <rFont val="Tahoma"/>
            <charset val="1"/>
          </rPr>
          <t xml:space="preserve">
3rd NOV 2025 power off</t>
        </r>
      </text>
    </comment>
    <comment ref="J20" authorId="0" shapeId="0" xr:uid="{00000000-0006-0000-0300-00005C000000}">
      <text>
        <r>
          <rPr>
            <sz val="10"/>
            <rFont val="Arial"/>
            <family val="2"/>
          </rPr>
          <t xml:space="preserve">Vinoth Ramalingam:
</t>
        </r>
        <r>
          <rPr>
            <sz val="9"/>
            <color rgb="FF000000"/>
            <rFont val="Tahoma"/>
            <family val="2"/>
            <charset val="1"/>
          </rPr>
          <t>521005019 - 4U space along with 1KVA Power has been proviosioned on 8th MAR-24</t>
        </r>
      </text>
    </comment>
    <comment ref="M20" authorId="0" shapeId="0" xr:uid="{00000000-0006-0000-0300-00005D000000}">
      <text>
        <r>
          <rPr>
            <sz val="10"/>
            <rFont val="Arial"/>
            <family val="2"/>
          </rPr>
          <t xml:space="preserve">Vinoth Ramalingam:
</t>
        </r>
        <r>
          <rPr>
            <sz val="9"/>
            <color rgb="FF000000"/>
            <rFont val="Tahoma"/>
            <family val="2"/>
            <charset val="1"/>
          </rPr>
          <t>521004927 - 21U with 1.75KVA Rated power has been proviosioned on 8th MAR-24</t>
        </r>
      </text>
    </comment>
    <comment ref="R20" authorId="0" shapeId="0" xr:uid="{00000000-0006-0000-0300-00005E000000}">
      <text>
        <r>
          <rPr>
            <sz val="10"/>
            <rFont val="Arial"/>
            <family val="2"/>
          </rPr>
          <t xml:space="preserve">Vinoth Ramalingam:
</t>
        </r>
        <r>
          <rPr>
            <sz val="9"/>
            <color rgb="FF000000"/>
            <rFont val="Tahoma"/>
            <family val="2"/>
            <charset val="1"/>
          </rPr>
          <t>521005019 - 4U space along with 1KVA Power has been proviosioned on 8th MAR-24</t>
        </r>
      </text>
    </comment>
    <comment ref="S20" authorId="0" shapeId="0" xr:uid="{00000000-0006-0000-0300-00005F000000}">
      <text>
        <r>
          <rPr>
            <sz val="10"/>
            <rFont val="Arial"/>
            <family val="2"/>
          </rPr>
          <t xml:space="preserve">New device added on April
</t>
        </r>
      </text>
    </comment>
    <comment ref="C21" authorId="0" shapeId="0" xr:uid="{00000000-0006-0000-0300-00006D000000}">
      <text>
        <r>
          <rPr>
            <sz val="10"/>
            <rFont val="Arial"/>
            <family val="2"/>
          </rPr>
          <t xml:space="preserve">21st FEB 2026 power off
</t>
        </r>
      </text>
    </comment>
    <comment ref="S21" authorId="0" shapeId="0" xr:uid="{00000000-0006-0000-0300-00006E000000}">
      <text>
        <r>
          <rPr>
            <sz val="10"/>
            <rFont val="Arial"/>
            <family val="2"/>
          </rPr>
          <t>New RTS devices are added in noc room and each RTR which can hold 600 W power</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<sst xmlns="http://schemas.openxmlformats.org/spreadsheetml/2006/main" count="1480" uniqueCount="259">
  <si>
    <t>Description</t>
  </si>
  <si>
    <t>UOM</t>
  </si>
  <si>
    <t>Value</t>
  </si>
  <si>
    <t>Actual Load KVA</t>
  </si>
  <si>
    <t>Remarks</t>
  </si>
  <si>
    <t xml:space="preserve">Service-1 Utility Sanction Load KVA </t>
  </si>
  <si>
    <t>KVA</t>
  </si>
  <si>
    <t xml:space="preserve">Service-2 Utility Sanction Load KVA </t>
  </si>
  <si>
    <t xml:space="preserve">Customer contracted capacity </t>
  </si>
  <si>
    <t>POWER SUMMARY</t>
  </si>
  <si>
    <t>Contract Demand</t>
  </si>
  <si>
    <t>Utility Consump</t>
  </si>
  <si>
    <t>Demand %</t>
  </si>
  <si>
    <t>IT Consump</t>
  </si>
  <si>
    <t>PUE</t>
  </si>
  <si>
    <t>Bangalore EB Service-1</t>
  </si>
  <si>
    <t>TOTAL Bangalore-01</t>
  </si>
  <si>
    <t>INVENTORY SUMMARY</t>
  </si>
  <si>
    <t>IT KW CAPACITY</t>
  </si>
  <si>
    <t>IT KW CONSUMPTION</t>
  </si>
  <si>
    <t>RACKSPACE CAPACITY</t>
  </si>
  <si>
    <t>Design</t>
  </si>
  <si>
    <t>Sold</t>
  </si>
  <si>
    <t>Available</t>
  </si>
  <si>
    <t>Consumed</t>
  </si>
  <si>
    <t>% of Sold</t>
  </si>
  <si>
    <t>Des - Losses</t>
  </si>
  <si>
    <t>BNG 01 by Floor:</t>
  </si>
  <si>
    <t>L1</t>
  </si>
  <si>
    <t>L3</t>
  </si>
  <si>
    <t>L2</t>
  </si>
  <si>
    <t>As per the Sanction Letter</t>
  </si>
  <si>
    <t>Usage measured on 1of every month</t>
  </si>
  <si>
    <t>Utility Sanction Load KVA</t>
  </si>
  <si>
    <t>4000 kVA</t>
  </si>
  <si>
    <t xml:space="preserve">Utility Minimum Demand % </t>
  </si>
  <si>
    <t>Capacity Installed</t>
  </si>
  <si>
    <t>Transformer kW</t>
  </si>
  <si>
    <t>No of TX</t>
  </si>
  <si>
    <t>Catcher TX kW</t>
  </si>
  <si>
    <t xml:space="preserve">No. Of catcher </t>
  </si>
  <si>
    <t>Actual Load kW</t>
  </si>
  <si>
    <t>Generator kW</t>
  </si>
  <si>
    <t xml:space="preserve">No of DG </t>
  </si>
  <si>
    <t>Catcher DG kW</t>
  </si>
  <si>
    <t>UPS kW</t>
  </si>
  <si>
    <t>UPS Config</t>
  </si>
  <si>
    <t>IT capacity Installed kW</t>
  </si>
  <si>
    <t>IT Power Sold in kW ( considering unity as PF)</t>
  </si>
  <si>
    <t>Allocated IT Power to customer ( Taking 50% as divercity factor for rated power customer )</t>
  </si>
  <si>
    <t>IT kW Usage</t>
  </si>
  <si>
    <t>Avaialble IT kW Design-Used</t>
  </si>
  <si>
    <t>Available IT kW Design-Sold</t>
  </si>
  <si>
    <t>Available IT kW Design-Sold ( Allocated capacity)</t>
  </si>
  <si>
    <t xml:space="preserve">MAX Rack Capacity </t>
  </si>
  <si>
    <t>Rack Space sold out</t>
  </si>
  <si>
    <t>Rack losss ( Cage+ non standard rack+ path)</t>
  </si>
  <si>
    <t>Available space</t>
  </si>
  <si>
    <t>Designed White Space ( in SQ FT)</t>
  </si>
  <si>
    <t>Used White Space( in SQ FT)</t>
  </si>
  <si>
    <t>Avaialble White Space ( in SQ FT)</t>
  </si>
  <si>
    <t>Mention the design kW capacity of Transformer</t>
  </si>
  <si>
    <t>Mention the design kW capacity of Generator</t>
  </si>
  <si>
    <t>Mention the design N capacity in kw in a N+N Configuration</t>
  </si>
  <si>
    <t>Installed including interfloor shared capacity</t>
  </si>
  <si>
    <t>Customer subscribed IT kW</t>
  </si>
  <si>
    <t>Allocated power</t>
  </si>
  <si>
    <t>Measured on 1st of every month</t>
  </si>
  <si>
    <t xml:space="preserve">300kVA X 2 No’s – Source A  300kVA X 2 no’s- Source B   </t>
  </si>
  <si>
    <t xml:space="preserve">600kVA X 3 No’s – Source A  600kVA X 3 no’s- Source B   </t>
  </si>
  <si>
    <t xml:space="preserve">600kVA X 2 No’s – Source A  600kVA X 2  no’s- Source B   </t>
  </si>
  <si>
    <t>Total</t>
  </si>
  <si>
    <t>Floor</t>
  </si>
  <si>
    <t>Floor / Module</t>
  </si>
  <si>
    <t>Customer Name</t>
  </si>
  <si>
    <t>RHS/SH</t>
  </si>
  <si>
    <t>Power Subscription Model (Rated/Subscribed)</t>
  </si>
  <si>
    <t>Power Usage Model (Bundled / Metered)</t>
  </si>
  <si>
    <t>Subscription Mode</t>
  </si>
  <si>
    <t>Caged /Uncaged</t>
  </si>
  <si>
    <t>UoM</t>
  </si>
  <si>
    <t>Subscription</t>
  </si>
  <si>
    <t>In Use</t>
  </si>
  <si>
    <t>Yet to be given/</t>
  </si>
  <si>
    <t>Billed</t>
  </si>
  <si>
    <t>Reserved Capacity if any (Non-Billable)</t>
  </si>
  <si>
    <t>Per Unit rate (MRC)</t>
  </si>
  <si>
    <t>Subscription Model</t>
  </si>
  <si>
    <t xml:space="preserve">Total Capacity Purchased </t>
  </si>
  <si>
    <t>Capacity in Use</t>
  </si>
  <si>
    <t>Capacity to be given</t>
  </si>
  <si>
    <t>Reserved Capacity        if any</t>
  </si>
  <si>
    <t>Subscribed Capacity to be given in KW</t>
  </si>
  <si>
    <t>"Allocated" Capacity in KW</t>
  </si>
  <si>
    <t>DC NW Infra</t>
  </si>
  <si>
    <t>Usage in KW</t>
  </si>
  <si>
    <t>Billable Additional Capacity</t>
  </si>
  <si>
    <t>Additional Capacity Charges (MRC)</t>
  </si>
  <si>
    <t>Usage Model</t>
  </si>
  <si>
    <t>Multiplier</t>
  </si>
  <si>
    <t>Unit rate Model (Fixed/Variable)</t>
  </si>
  <si>
    <t>Unit Rate (per KW-HR)</t>
  </si>
  <si>
    <t>No Of Units 
(KW-HR/ Month</t>
  </si>
  <si>
    <t>Yet to be given</t>
  </si>
  <si>
    <t>Per Unit rate</t>
  </si>
  <si>
    <t>Space revenue including capacity</t>
  </si>
  <si>
    <t>Additional Capacity Revenue</t>
  </si>
  <si>
    <t>Power Usage revenue</t>
  </si>
  <si>
    <t>Seating Space</t>
  </si>
  <si>
    <t>Any Other Items</t>
  </si>
  <si>
    <t>Total Revenue</t>
  </si>
  <si>
    <t>Billing Frequency</t>
  </si>
  <si>
    <t>Sales Order ref No</t>
  </si>
  <si>
    <t>Contract Start Date</t>
  </si>
  <si>
    <t>Term of Contract (No of Years)</t>
  </si>
  <si>
    <t>Current Expiry Date</t>
  </si>
  <si>
    <t>Remarks if any</t>
  </si>
  <si>
    <t>Cross connect</t>
  </si>
  <si>
    <t>Axis bank</t>
  </si>
  <si>
    <t>No</t>
  </si>
  <si>
    <t>Subscribed</t>
  </si>
  <si>
    <t>Metered</t>
  </si>
  <si>
    <t>Rack</t>
  </si>
  <si>
    <t>Caged</t>
  </si>
  <si>
    <t>kVA</t>
  </si>
  <si>
    <t>Variable</t>
  </si>
  <si>
    <t>No of Seats</t>
  </si>
  <si>
    <t>No of seats</t>
  </si>
  <si>
    <t>Union Bank</t>
  </si>
  <si>
    <t>Fixed</t>
  </si>
  <si>
    <t>DC-3</t>
  </si>
  <si>
    <t>Yes bank</t>
  </si>
  <si>
    <t>UST Global</t>
  </si>
  <si>
    <t>yes</t>
  </si>
  <si>
    <t>Uncaged</t>
  </si>
  <si>
    <t>Data vision software solutions pvt ltd</t>
  </si>
  <si>
    <t>Rated</t>
  </si>
  <si>
    <t>Bundled</t>
  </si>
  <si>
    <t>DC-2</t>
  </si>
  <si>
    <t>The Oriental Insurance Company Limited</t>
  </si>
  <si>
    <t>Space</t>
  </si>
  <si>
    <t>AGRICULTURE INSURANCE COMPANY OF INDIA LIMITED</t>
  </si>
  <si>
    <t>Polestar</t>
  </si>
  <si>
    <t>New India Assurance Co. Ltd.</t>
  </si>
  <si>
    <t>Torrent Power</t>
  </si>
  <si>
    <t>LIC HOUSING FINANCE LTD</t>
  </si>
  <si>
    <t>Avenue Supermart  (Dmart)</t>
  </si>
  <si>
    <t>Aviva</t>
  </si>
  <si>
    <t>HITPA</t>
  </si>
  <si>
    <t>Stock holding corporation of India</t>
  </si>
  <si>
    <t>KW</t>
  </si>
  <si>
    <t>SIMPLE TELECOM PVT LTD</t>
  </si>
  <si>
    <t>DC-1</t>
  </si>
  <si>
    <t>Vishal Megamart</t>
  </si>
  <si>
    <t>MEIKO CLEAN SOLUTIONS (INDIA) PRIVATE LIMITED</t>
  </si>
  <si>
    <t>CONTAQUE CLOUD PVT LTD</t>
  </si>
  <si>
    <t>U space</t>
  </si>
  <si>
    <t>CLINISYS INDIA PRIVATE LIMITED</t>
  </si>
  <si>
    <t>BAJAJ FINANCE LTD</t>
  </si>
  <si>
    <t>UNISYS INDIA PVT LTD</t>
  </si>
  <si>
    <t>Hindustan Pencil</t>
  </si>
  <si>
    <t>Yes</t>
  </si>
  <si>
    <t>J2 Global</t>
  </si>
  <si>
    <t>Ubona</t>
  </si>
  <si>
    <t>Ramco</t>
  </si>
  <si>
    <t>Sixth Energy (NEUREOL)</t>
  </si>
  <si>
    <t>Kluber</t>
  </si>
  <si>
    <t>Ozonetel</t>
  </si>
  <si>
    <t>SingTel</t>
  </si>
  <si>
    <t>Thane Cooperative Bank</t>
  </si>
  <si>
    <t>Knowlarity</t>
  </si>
  <si>
    <t>Gradatim</t>
  </si>
  <si>
    <t>INFIBEAM AVENUES LIMITED</t>
  </si>
  <si>
    <t>Maximus Infoware</t>
  </si>
  <si>
    <t>Avenue Ecommerce</t>
  </si>
  <si>
    <t>ESAB</t>
  </si>
  <si>
    <t>INSURANCE INFORMATION BUREAU OF INDIA</t>
  </si>
  <si>
    <t>NIXI</t>
  </si>
  <si>
    <t>UPPCL</t>
  </si>
  <si>
    <t>Max Bhupa</t>
  </si>
  <si>
    <t>L&amp;T infotech</t>
  </si>
  <si>
    <t>Hughes Communications</t>
  </si>
  <si>
    <t>Jubilant Motors</t>
  </si>
  <si>
    <t>GIC</t>
  </si>
  <si>
    <t>Happiest Mind</t>
  </si>
  <si>
    <t>Bajoria</t>
  </si>
  <si>
    <t>ACT Broad band</t>
  </si>
  <si>
    <t>Aspiration Images</t>
  </si>
  <si>
    <t>Vashi Electricals</t>
  </si>
  <si>
    <t>TCI Express</t>
  </si>
  <si>
    <t>PRAMERICA LIFE INSURANCE LIMITED</t>
  </si>
  <si>
    <t>NISM</t>
  </si>
  <si>
    <t>Wildcraft</t>
  </si>
  <si>
    <t>Bombay Merchantile Co Operative Bank Ltd IFTAS</t>
  </si>
  <si>
    <t>Triveni Engineering</t>
  </si>
  <si>
    <t>Coforge Ltd</t>
  </si>
  <si>
    <t>United brewaries LTD</t>
  </si>
  <si>
    <t>DBFS Securities Limited</t>
  </si>
  <si>
    <t>TELECMI Technologies</t>
  </si>
  <si>
    <t>Extreme</t>
  </si>
  <si>
    <t>Kansai Nerolac</t>
  </si>
  <si>
    <t>ISHAN</t>
  </si>
  <si>
    <t>Jiffy (SRI LAKSHMI NETWORKS PRIVATE LIMITED)</t>
  </si>
  <si>
    <t>Tech Solve Engine</t>
  </si>
  <si>
    <t>MMR-4</t>
  </si>
  <si>
    <t>LIGHTSTORM TELECOM CONNECTIVITY PRIVATE LIMITED</t>
  </si>
  <si>
    <t>IFB INDUSTRIES LIMITED</t>
  </si>
  <si>
    <t>CHEMPLAST SANMAR LTD</t>
  </si>
  <si>
    <t>MN WORLD ENTERPRISE PVT LTD</t>
  </si>
  <si>
    <t>SITA INC INDIA PVT LTD</t>
  </si>
  <si>
    <t>ACCUPAYD TECH PRIVATE LIMITED</t>
  </si>
  <si>
    <t>HITACHI ASTEMO GURUGRAM POWERTRAIN SYSTEMS PRIVATE LIMITED</t>
  </si>
  <si>
    <t>no of seats</t>
  </si>
  <si>
    <t xml:space="preserve">Cloud project 1 * 2 </t>
  </si>
  <si>
    <t>Managed services project</t>
  </si>
  <si>
    <t xml:space="preserve">NOC </t>
  </si>
  <si>
    <t>ESAF SMALL FINANCE BANK LIMITED</t>
  </si>
  <si>
    <t>MANGALORE REFINERY AND PETROCHEMICALS LTD</t>
  </si>
  <si>
    <t>SHIVTEL COMMUNICATIONS PRIVATE LIMITED</t>
  </si>
  <si>
    <t>TCI SUPPLY CHAIN SOLUTION A DIVISION OF TRANSPORT</t>
  </si>
  <si>
    <t>MAXIMUS INFOWARE(INDIA) PVT LTD</t>
  </si>
  <si>
    <t>ISHAN NETSOL PVT LTD</t>
  </si>
  <si>
    <t>AAPTTEKNOUS SERVICES PRIVATE LIMITED</t>
  </si>
  <si>
    <t>ALTIMAT DATA CENTER INDIA PRIVATE LIMITED</t>
  </si>
  <si>
    <t>INFRASOFT TECHNOLOGIES LIMITIED</t>
  </si>
  <si>
    <t>KARNATAKA FASTNET PRIVATE LIMITED</t>
  </si>
  <si>
    <t>CARE RATINGS LIMITED</t>
  </si>
  <si>
    <t>BRITANNIA</t>
  </si>
  <si>
    <t>VERSA NETWORKS INC</t>
  </si>
  <si>
    <t>THE AHMEDNAGAR DISTRICT CENTRAL CO OP BANK LTD</t>
  </si>
  <si>
    <t xml:space="preserve">Divisification </t>
  </si>
  <si>
    <t>Rated to Consumed</t>
  </si>
  <si>
    <t>Actual PUE</t>
  </si>
  <si>
    <t>Actual Unit Rate:</t>
  </si>
  <si>
    <t>Genset Hr/Mo</t>
  </si>
  <si>
    <t>Billing Model</t>
  </si>
  <si>
    <t>Power Capacity</t>
  </si>
  <si>
    <t>Power Usage</t>
  </si>
  <si>
    <t>Revenue (Monthly )</t>
  </si>
  <si>
    <t>Contract Information</t>
  </si>
  <si>
    <t>BESCOM</t>
  </si>
  <si>
    <t>Timesofmoney(Unimoni Enterprise Solutions Pvt. Ltd)</t>
  </si>
  <si>
    <t>TechM WAAS(ING)</t>
  </si>
  <si>
    <t>Shapoorji Pallonji</t>
  </si>
  <si>
    <t>FedBank</t>
  </si>
  <si>
    <t xml:space="preserve">Sungard </t>
  </si>
  <si>
    <t>Star union daichi</t>
  </si>
  <si>
    <t>India Post payment bank Ltd</t>
  </si>
  <si>
    <t>Disconnected on 15 March 2025</t>
  </si>
  <si>
    <t>BAJAJ FINANCIAL SECURITIES LTD</t>
  </si>
  <si>
    <t>UCO BANK 2 - Temp</t>
  </si>
  <si>
    <t>kfintek</t>
  </si>
  <si>
    <t>TECHNO TRUST SOLUTIONS</t>
  </si>
  <si>
    <t>ASB International</t>
  </si>
  <si>
    <t>Que Processing Service Ltd</t>
  </si>
  <si>
    <t>SH Kelkar</t>
  </si>
  <si>
    <t>AKSHAYAPATRA FOUNDATION</t>
  </si>
  <si>
    <t>DEEPIJA TELECOM PRIVATE LIMITED</t>
  </si>
  <si>
    <t>CITO INFOTECH PRIVATE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</si>
</sst>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00_);_(* \(#,##0.00\);_(* \-??_);_(@_)"/>
    <numFmt numFmtId="165" formatCode="0.00_);[Red]\(0.00\)"/>
    <numFmt numFmtId="166" formatCode="_(* #,##0_);_(* \(#,##0\);_(* \-??_);_(@_)"/>
    <numFmt numFmtId="167" formatCode="&quot;_ &quot;[$₹-4009]\ * #,##0.00&quot; _ &quot;;&quot;_ &quot;[$₹-4009]\ * \-#,##0.00&quot; _ &quot;;&quot;_ &quot;[$₹-4009]\ * \-??&quot; _ &quot;;_ @_ "/>
    <numFmt numFmtId="168" formatCode="0_);[Red]\(0\)"/>
    <numFmt numFmtId="169" formatCode="&quot;_ &quot;[$₹-4009]\ * #,##0&quot; _ &quot;;&quot;_ &quot;[$₹-4009]\ * \-#,##0&quot; _ &quot;;&quot;_ &quot;[$₹-4009]\ * \-??&quot; _ &quot;;_ @_ "/>
    <numFmt numFmtId="170" formatCode="_ [$₹-4009]\ * #,##0_ ;_ [$₹-4009]\ * \-#,##0_ ;_ [$₹-4009]\ * \-??_ ;_ @_ "/>
    <numFmt numFmtId="171" formatCode="mm/yy"/>
    <numFmt numFmtId="172" formatCode="_(* #,##0.0_);_(* \(#,##0.0\);_(* \-??_);_(@_)"/>
    <numFmt numFmtId="173" formatCode="_ * #,##0.00_ ;_ * \-#,##0.00_ ;_ * \-??_ ;_ @_ "/>
    <numFmt numFmtId="174" formatCode="0.0"/>
    <numFmt numFmtId="175" formatCode="_ [$₹-4009]\ * #,##0.00_ ;_ [$₹-4009]\ * \-#,##0.00_ ;_ [$₹-4009]\ * \-??_ ;_ @_ "/>
    <numFmt numFmtId="176" formatCode="[$-409]d/mmm/yy;@"/>
  </numFmts>
  <fonts count="29">
    <font>
      <sz val="10"/>
      <color rgb="FF000000"/>
      <name val="Calibri"/>
      <family val="2"/>
      <charset val="1"/>
    </font>
    <font>
      <u/>
      <sz val="11"/>
      <color rgb="FF0000FF"/>
      <name val="Calibri"/>
      <family val="2"/>
      <charset val="1"/>
    </font>
    <font>
      <sz val="11"/>
      <color rgb="FF000000"/>
      <name val="Calibri"/>
      <family val="2"/>
      <charset val="1"/>
    </font>
    <font>
      <sz val="10"/>
      <name val="Arial"/>
      <family val="2"/>
      <charset val="1"/>
    </font>
    <font>
      <b/>
      <sz val="10"/>
      <color rgb="FF000000"/>
      <name val="Calibri"/>
      <family val="2"/>
      <charset val="1"/>
    </font>
    <font>
      <b/>
      <sz val="9"/>
      <color rgb="FF000000"/>
      <name val="Calibri"/>
      <family val="2"/>
      <charset val="1"/>
    </font>
    <font>
      <sz val="9"/>
      <color rgb="FF000000"/>
      <name val="Calibri"/>
      <family val="2"/>
      <charset val="1"/>
    </font>
    <font>
      <b/>
      <sz val="10"/>
      <color rgb="FFC0504D"/>
      <name val="Calibri"/>
      <family val="2"/>
      <charset val="1"/>
    </font>
    <font>
      <sz val="10"/>
      <name val="Arial"/>
      <family val="2"/>
    </font>
    <font>
      <sz val="9"/>
      <color rgb="FF000000"/>
      <name val="Bookman Old Style"/>
      <family val="1"/>
      <charset val="1"/>
    </font>
    <font>
      <b/>
      <sz val="9"/>
      <color rgb="FF000000"/>
      <name val="Bookman Old Style"/>
      <family val="1"/>
      <charset val="1"/>
    </font>
    <font>
      <b/>
      <sz val="9"/>
      <name val="Bookman Old Style"/>
      <family val="1"/>
      <charset val="1"/>
    </font>
    <font>
      <sz val="9"/>
      <name val="Bookman Old Style"/>
      <family val="1"/>
      <charset val="1"/>
    </font>
    <font>
      <sz val="9"/>
      <color theme="1"/>
      <name val="Bookman Old Style"/>
      <family val="1"/>
      <charset val="1"/>
    </font>
    <font>
      <sz val="8"/>
      <color rgb="FF000000"/>
      <name val="Trebuchet MS"/>
      <family val="2"/>
      <charset val="1"/>
    </font>
    <font>
      <sz val="9"/>
      <color rgb="FFFF0000"/>
      <name val="Bookman Old Style"/>
      <family val="1"/>
      <charset val="1"/>
    </font>
    <font>
      <sz val="10.5"/>
      <color rgb="FF000000"/>
      <name val="Trebuchet MS"/>
      <family val="2"/>
      <charset val="1"/>
    </font>
    <font>
      <sz val="7"/>
      <color rgb="FF151920"/>
      <name val="Arial"/>
      <family val="2"/>
      <charset val="1"/>
    </font>
    <font>
      <sz val="9"/>
      <color rgb="FF151920"/>
      <name val="Bookman Old Style"/>
      <family val="1"/>
      <charset val="1"/>
    </font>
    <font>
      <sz val="9"/>
      <color rgb="FF000000"/>
      <name val="Tahoma"/>
      <family val="2"/>
      <charset val="1"/>
    </font>
    <font>
      <b/>
      <sz val="10"/>
      <color rgb="FF000000"/>
      <name val="Bookman Old Style"/>
      <family val="1"/>
      <charset val="1"/>
    </font>
    <font>
      <b/>
      <sz val="10"/>
      <name val="Bookman Old Style"/>
      <family val="1"/>
      <charset val="1"/>
    </font>
    <font>
      <b/>
      <sz val="10"/>
      <name val="Calibri"/>
      <family val="2"/>
      <charset val="1"/>
    </font>
    <font>
      <sz val="10.5"/>
      <name val="Calibri"/>
      <family val="2"/>
      <charset val="1"/>
    </font>
    <font>
      <sz val="10.5"/>
      <color rgb="FF000000"/>
      <name val="Calibri"/>
      <family val="2"/>
      <charset val="1"/>
    </font>
    <font>
      <sz val="10.5"/>
      <color theme="1"/>
      <name val="Calibri"/>
      <family val="2"/>
      <charset val="1"/>
    </font>
    <font>
      <sz val="10"/>
      <color rgb="FF000000"/>
      <name val="Calibri"/>
      <family val="2"/>
      <charset val="1"/>
    </font>
    <font>
      <b/>
      <sz val="9"/>
      <color indexed="81"/>
      <name val="Tahoma"/>
      <charset val="1"/>
    </font>
    <font>
      <sz val="9"/>
      <color indexed="81"/>
      <name val="Tahoma"/>
      <charset val="1"/>
    </font>
  </fonts>
  <fills count="8">
    <fill>
      <patternFill patternType="none"/>
    </fill>
    <fill>
      <patternFill patternType="gray125"/>
    </fill>
    <fill>
      <patternFill patternType="solid">
        <fgColor rgb="FF92D050"/>
        <bgColor rgb="FFA6A6A6"/>
      </patternFill>
    </fill>
    <fill>
      <patternFill patternType="solid">
        <fgColor rgb="FFFFFFFF"/>
        <bgColor rgb="FFFFFFCC"/>
      </patternFill>
    </fill>
    <fill>
      <patternFill patternType="solid">
        <fgColor rgb="FFFFC000"/>
        <bgColor rgb="FFFF9900"/>
      </patternFill>
    </fill>
    <fill>
      <patternFill patternType="solid">
        <fgColor rgb="FFA6A6A6"/>
        <bgColor rgb="FFC0C0C0"/>
      </patternFill>
    </fill>
    <fill>
      <patternFill patternType="solid">
        <fgColor rgb="FFFFFF00"/>
        <bgColor rgb="FFFFFF00"/>
      </patternFill>
    </fill>
    <fill>
      <patternFill patternType="solid">
        <fgColor theme="4" tint="0.79998168889431442"/>
        <bgColor indexed="64"/>
      </patternFill>
    </fill>
  </fills>
  <borders count="27">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thin">
        <color auto="1"/>
      </right>
      <top/>
      <bottom style="thin">
        <color auto="1"/>
      </bottom>
      <diagonal/>
    </border>
  </borders>
  <cellStyleXfs count="29">
    <xf numFmtId="0" fontId="0" fillId="0" borderId="0"/>
    <xf numFmtId="173" fontId="26" fillId="0" borderId="0" applyBorder="0" applyProtection="0"/>
    <xf numFmtId="9" fontId="26" fillId="0" borderId="0" applyBorder="0" applyProtection="0"/>
    <xf numFmtId="164" fontId="26" fillId="0" borderId="0" applyBorder="0" applyProtection="0"/>
    <xf numFmtId="0" fontId="1" fillId="0" borderId="0" applyBorder="0" applyProtection="0"/>
    <xf numFmtId="0" fontId="1" fillId="0" borderId="0" applyBorder="0" applyProtection="0"/>
    <xf numFmtId="0" fontId="1" fillId="0" borderId="0" applyBorder="0" applyProtection="0"/>
    <xf numFmtId="0" fontId="1" fillId="0" borderId="0" applyBorder="0" applyProtection="0"/>
    <xf numFmtId="0" fontId="26" fillId="0" borderId="0"/>
    <xf numFmtId="0" fontId="2" fillId="0" borderId="0"/>
    <xf numFmtId="0" fontId="3" fillId="0" borderId="0"/>
    <xf numFmtId="0" fontId="26" fillId="0" borderId="0"/>
    <xf numFmtId="0" fontId="3" fillId="0" borderId="0"/>
    <xf numFmtId="0" fontId="2" fillId="0" borderId="0"/>
    <xf numFmtId="0" fontId="26" fillId="0" borderId="0"/>
    <xf numFmtId="0" fontId="3" fillId="0" borderId="0"/>
    <xf numFmtId="0" fontId="3" fillId="0" borderId="0"/>
    <xf numFmtId="0" fontId="26" fillId="0" borderId="0"/>
    <xf numFmtId="0" fontId="2" fillId="0" borderId="0"/>
    <xf numFmtId="9" fontId="26" fillId="0" borderId="0" applyBorder="0" applyProtection="0"/>
    <xf numFmtId="9" fontId="26" fillId="0" borderId="0" applyBorder="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cellStyleXfs>
  <cellXfs count="256">
    <xf numFmtId="0" fontId="0" fillId="0" borderId="0" xfId="0"/>
    <xf numFmtId="0" fontId="4" fillId="2" borderId="1" xfId="22" applyFont="1" applyFill="1" applyBorder="1" applyAlignment="1">
      <alignment horizontal="center" vertical="center" wrapText="1"/>
    </xf>
    <xf numFmtId="2" fontId="4" fillId="2" borderId="1" xfId="22" applyNumberFormat="1" applyFont="1" applyFill="1" applyBorder="1" applyAlignment="1">
      <alignment horizontal="center" vertical="center" wrapText="1"/>
    </xf>
    <xf numFmtId="0" fontId="5" fillId="3" borderId="1" xfId="22" applyFont="1" applyFill="1" applyBorder="1" applyAlignment="1">
      <alignment horizontal="center" vertical="center" wrapText="1"/>
    </xf>
    <xf numFmtId="2" fontId="6" fillId="3" borderId="1" xfId="22" applyNumberFormat="1" applyFont="1" applyFill="1" applyBorder="1" applyAlignment="1">
      <alignment horizontal="center" vertical="center"/>
    </xf>
    <xf numFmtId="0" fontId="6" fillId="3" borderId="1" xfId="23" applyFont="1" applyFill="1" applyBorder="1" applyAlignment="1">
      <alignment horizontal="center" vertical="center"/>
    </xf>
    <xf numFmtId="0" fontId="6" fillId="0" borderId="1" xfId="0" applyFont="1" applyBorder="1"/>
    <xf numFmtId="0" fontId="5" fillId="3" borderId="1" xfId="22" applyFont="1" applyFill="1" applyBorder="1" applyAlignment="1">
      <alignment horizontal="center" vertical="center"/>
    </xf>
    <xf numFmtId="9" fontId="6" fillId="3" borderId="1" xfId="2" applyFont="1" applyFill="1" applyBorder="1" applyAlignment="1" applyProtection="1">
      <alignment horizontal="center" vertical="center"/>
    </xf>
    <xf numFmtId="0" fontId="6" fillId="3" borderId="1" xfId="22" applyFont="1" applyFill="1" applyBorder="1" applyAlignment="1">
      <alignment horizontal="center" vertical="center"/>
    </xf>
    <xf numFmtId="0" fontId="5" fillId="0" borderId="1" xfId="0" applyFont="1" applyBorder="1" applyAlignment="1">
      <alignment horizontal="center"/>
    </xf>
    <xf numFmtId="0" fontId="6" fillId="0" borderId="1" xfId="0" applyFont="1" applyBorder="1" applyAlignment="1">
      <alignment horizontal="center"/>
    </xf>
    <xf numFmtId="0" fontId="5" fillId="0" borderId="1" xfId="0" applyFont="1" applyBorder="1"/>
    <xf numFmtId="0" fontId="0" fillId="4" borderId="1" xfId="0" applyFill="1" applyBorder="1"/>
    <xf numFmtId="0" fontId="0" fillId="4" borderId="1" xfId="0" applyFill="1" applyBorder="1" applyAlignment="1">
      <alignment wrapText="1"/>
    </xf>
    <xf numFmtId="0" fontId="0" fillId="0" borderId="1" xfId="0" applyBorder="1"/>
    <xf numFmtId="0" fontId="0" fillId="0" borderId="1" xfId="0" applyBorder="1" applyAlignment="1">
      <alignment wrapText="1"/>
    </xf>
    <xf numFmtId="9" fontId="0" fillId="0" borderId="1" xfId="2" applyFont="1" applyBorder="1" applyProtection="1"/>
    <xf numFmtId="1" fontId="0" fillId="0" borderId="1" xfId="0" applyNumberFormat="1" applyBorder="1"/>
    <xf numFmtId="2" fontId="0" fillId="0" borderId="1" xfId="0" applyNumberFormat="1" applyBorder="1"/>
    <xf numFmtId="0" fontId="0" fillId="4" borderId="2" xfId="0" applyFill="1" applyBorder="1" applyAlignment="1">
      <alignment horizontal="center"/>
    </xf>
    <xf numFmtId="0" fontId="0" fillId="4" borderId="5" xfId="0" applyFill="1" applyBorder="1"/>
    <xf numFmtId="0" fontId="0" fillId="4" borderId="6" xfId="0" applyFill="1" applyBorder="1"/>
    <xf numFmtId="0" fontId="0" fillId="4" borderId="7" xfId="0" applyFill="1" applyBorder="1"/>
    <xf numFmtId="0" fontId="0" fillId="4" borderId="8" xfId="0" applyFill="1" applyBorder="1"/>
    <xf numFmtId="0" fontId="4" fillId="0" borderId="5" xfId="0" applyFont="1" applyBorder="1"/>
    <xf numFmtId="1" fontId="4" fillId="0" borderId="5" xfId="0" applyNumberFormat="1" applyFont="1" applyBorder="1"/>
    <xf numFmtId="1" fontId="4" fillId="0" borderId="1" xfId="0" applyNumberFormat="1" applyFont="1" applyBorder="1"/>
    <xf numFmtId="1" fontId="4" fillId="0" borderId="6" xfId="0" applyNumberFormat="1" applyFont="1" applyBorder="1"/>
    <xf numFmtId="1" fontId="4" fillId="0" borderId="7" xfId="0" applyNumberFormat="1" applyFont="1" applyBorder="1"/>
    <xf numFmtId="9" fontId="4" fillId="0" borderId="8" xfId="2" applyFont="1" applyBorder="1" applyProtection="1"/>
    <xf numFmtId="1" fontId="0" fillId="0" borderId="0" xfId="0" applyNumberFormat="1"/>
    <xf numFmtId="0" fontId="0" fillId="0" borderId="5" xfId="0" applyBorder="1"/>
    <xf numFmtId="0" fontId="0" fillId="0" borderId="6" xfId="0" applyBorder="1"/>
    <xf numFmtId="0" fontId="0" fillId="0" borderId="7" xfId="0" applyBorder="1"/>
    <xf numFmtId="0" fontId="0" fillId="0" borderId="8" xfId="0" applyBorder="1"/>
    <xf numFmtId="2" fontId="0" fillId="0" borderId="5" xfId="0" applyNumberFormat="1" applyBorder="1"/>
    <xf numFmtId="1" fontId="0" fillId="0" borderId="5" xfId="0" applyNumberFormat="1" applyBorder="1"/>
    <xf numFmtId="1" fontId="0" fillId="0" borderId="6" xfId="0" applyNumberFormat="1" applyBorder="1"/>
    <xf numFmtId="1" fontId="0" fillId="0" borderId="7" xfId="0" applyNumberFormat="1" applyBorder="1"/>
    <xf numFmtId="9" fontId="0" fillId="0" borderId="8" xfId="2" applyFont="1" applyBorder="1" applyProtection="1"/>
    <xf numFmtId="2" fontId="0" fillId="0" borderId="9" xfId="0" applyNumberFormat="1" applyBorder="1"/>
    <xf numFmtId="1" fontId="0" fillId="0" borderId="9" xfId="0" applyNumberFormat="1" applyBorder="1"/>
    <xf numFmtId="1" fontId="0" fillId="0" borderId="10" xfId="0" applyNumberFormat="1" applyBorder="1"/>
    <xf numFmtId="1" fontId="0" fillId="0" borderId="11" xfId="0" applyNumberFormat="1" applyBorder="1"/>
    <xf numFmtId="1" fontId="0" fillId="0" borderId="12" xfId="0" applyNumberFormat="1" applyBorder="1"/>
    <xf numFmtId="9" fontId="0" fillId="0" borderId="13" xfId="2" applyFont="1" applyBorder="1" applyProtection="1"/>
    <xf numFmtId="0" fontId="0" fillId="0" borderId="0" xfId="0" applyAlignment="1">
      <alignment horizontal="center" vertical="center"/>
    </xf>
    <xf numFmtId="0" fontId="4" fillId="2" borderId="14" xfId="22" applyFont="1" applyFill="1" applyBorder="1" applyAlignment="1">
      <alignment horizontal="center" vertical="center" wrapText="1"/>
    </xf>
    <xf numFmtId="2" fontId="4" fillId="2" borderId="15" xfId="22" applyNumberFormat="1" applyFont="1" applyFill="1" applyBorder="1" applyAlignment="1">
      <alignment horizontal="center" vertical="center" wrapText="1"/>
    </xf>
    <xf numFmtId="2" fontId="4" fillId="2" borderId="16" xfId="22" applyNumberFormat="1" applyFont="1" applyFill="1" applyBorder="1" applyAlignment="1">
      <alignment horizontal="center" vertical="center" wrapText="1"/>
    </xf>
    <xf numFmtId="2" fontId="4" fillId="3" borderId="7" xfId="22" applyNumberFormat="1" applyFont="1" applyFill="1" applyBorder="1" applyAlignment="1">
      <alignment horizontal="center" vertical="center"/>
    </xf>
    <xf numFmtId="2" fontId="4" fillId="3" borderId="1" xfId="22" applyNumberFormat="1" applyFont="1" applyFill="1" applyBorder="1" applyAlignment="1">
      <alignment horizontal="center" vertical="center"/>
    </xf>
    <xf numFmtId="2" fontId="0" fillId="3" borderId="1" xfId="23" applyNumberFormat="1" applyFont="1" applyFill="1" applyBorder="1" applyAlignment="1">
      <alignment horizontal="center" vertical="center"/>
    </xf>
    <xf numFmtId="2" fontId="0" fillId="3" borderId="0" xfId="23" applyNumberFormat="1" applyFont="1" applyFill="1" applyAlignment="1">
      <alignment horizontal="center" vertical="center"/>
    </xf>
    <xf numFmtId="0" fontId="4" fillId="3" borderId="5" xfId="22" applyFont="1" applyFill="1" applyBorder="1" applyAlignment="1">
      <alignment horizontal="center" vertical="center"/>
    </xf>
    <xf numFmtId="2" fontId="4" fillId="3" borderId="1" xfId="22" applyNumberFormat="1" applyFont="1" applyFill="1" applyBorder="1" applyAlignment="1">
      <alignment horizontal="center" vertical="center" wrapText="1"/>
    </xf>
    <xf numFmtId="2" fontId="4" fillId="3" borderId="6" xfId="22" applyNumberFormat="1" applyFont="1" applyFill="1" applyBorder="1" applyAlignment="1">
      <alignment horizontal="center" vertical="center" wrapText="1"/>
    </xf>
    <xf numFmtId="0" fontId="4" fillId="3" borderId="1" xfId="22" applyFont="1" applyFill="1" applyBorder="1" applyAlignment="1">
      <alignment horizontal="center" vertical="center" wrapText="1"/>
    </xf>
    <xf numFmtId="2" fontId="0" fillId="3" borderId="1" xfId="22" applyNumberFormat="1" applyFont="1" applyFill="1" applyBorder="1" applyAlignment="1">
      <alignment horizontal="center" vertical="center" wrapText="1"/>
    </xf>
    <xf numFmtId="9" fontId="0" fillId="3" borderId="1" xfId="22" applyNumberFormat="1" applyFont="1" applyFill="1" applyBorder="1" applyAlignment="1">
      <alignment horizontal="center" vertical="center"/>
    </xf>
    <xf numFmtId="0" fontId="4" fillId="3" borderId="17" xfId="22" applyFont="1" applyFill="1" applyBorder="1" applyAlignment="1">
      <alignment horizontal="center" vertical="center"/>
    </xf>
    <xf numFmtId="2" fontId="0" fillId="3" borderId="18" xfId="22" applyNumberFormat="1" applyFont="1" applyFill="1" applyBorder="1" applyAlignment="1">
      <alignment horizontal="center" vertical="center"/>
    </xf>
    <xf numFmtId="2" fontId="0" fillId="3" borderId="19" xfId="22" applyNumberFormat="1" applyFont="1" applyFill="1" applyBorder="1" applyAlignment="1">
      <alignment horizontal="center" vertical="center"/>
    </xf>
    <xf numFmtId="0" fontId="0" fillId="3" borderId="20" xfId="23" applyFont="1" applyFill="1" applyBorder="1" applyAlignment="1">
      <alignment horizontal="center" vertical="center"/>
    </xf>
    <xf numFmtId="0" fontId="0" fillId="3" borderId="18" xfId="23" applyFont="1" applyFill="1" applyBorder="1" applyAlignment="1">
      <alignment horizontal="center" vertical="center"/>
    </xf>
    <xf numFmtId="2" fontId="4" fillId="3" borderId="18" xfId="22" applyNumberFormat="1" applyFont="1" applyFill="1" applyBorder="1" applyAlignment="1">
      <alignment horizontal="center" vertical="center"/>
    </xf>
    <xf numFmtId="2" fontId="0" fillId="3" borderId="18" xfId="23" applyNumberFormat="1" applyFont="1" applyFill="1" applyBorder="1" applyAlignment="1">
      <alignment horizontal="center" vertical="center"/>
    </xf>
    <xf numFmtId="0" fontId="0" fillId="3" borderId="21" xfId="23" applyFont="1" applyFill="1" applyBorder="1" applyAlignment="1">
      <alignment horizontal="center" vertical="center"/>
    </xf>
    <xf numFmtId="0" fontId="4" fillId="2" borderId="22" xfId="22" applyFont="1" applyFill="1" applyBorder="1" applyAlignment="1">
      <alignment horizontal="center" vertical="center" wrapText="1"/>
    </xf>
    <xf numFmtId="2" fontId="4" fillId="2" borderId="23" xfId="22" applyNumberFormat="1" applyFont="1" applyFill="1" applyBorder="1" applyAlignment="1">
      <alignment horizontal="center" vertical="center" wrapText="1"/>
    </xf>
    <xf numFmtId="0" fontId="4" fillId="2" borderId="23" xfId="23" applyFont="1" applyFill="1" applyBorder="1" applyAlignment="1">
      <alignment horizontal="center" vertical="center" wrapText="1"/>
    </xf>
    <xf numFmtId="2" fontId="4" fillId="5" borderId="23" xfId="22" applyNumberFormat="1" applyFont="1" applyFill="1" applyBorder="1" applyAlignment="1">
      <alignment horizontal="center" vertical="center" wrapText="1"/>
    </xf>
    <xf numFmtId="2" fontId="4" fillId="2" borderId="24" xfId="22" applyNumberFormat="1" applyFont="1" applyFill="1" applyBorder="1" applyAlignment="1">
      <alignment horizontal="center" vertical="center" wrapText="1"/>
    </xf>
    <xf numFmtId="2" fontId="4" fillId="5" borderId="24" xfId="22" applyNumberFormat="1" applyFont="1" applyFill="1" applyBorder="1" applyAlignment="1">
      <alignment horizontal="center" vertical="center" wrapText="1"/>
    </xf>
    <xf numFmtId="2" fontId="4" fillId="2" borderId="25" xfId="22" applyNumberFormat="1" applyFont="1" applyFill="1" applyBorder="1" applyAlignment="1">
      <alignment horizontal="center" vertical="center" wrapText="1"/>
    </xf>
    <xf numFmtId="2" fontId="4" fillId="2" borderId="23" xfId="23" applyNumberFormat="1" applyFont="1" applyFill="1" applyBorder="1" applyAlignment="1">
      <alignment horizontal="center" vertical="center" wrapText="1"/>
    </xf>
    <xf numFmtId="2" fontId="4" fillId="2" borderId="24" xfId="23" applyNumberFormat="1" applyFont="1" applyFill="1" applyBorder="1" applyAlignment="1">
      <alignment horizontal="center" vertical="center" wrapText="1"/>
    </xf>
    <xf numFmtId="2" fontId="4" fillId="3" borderId="0" xfId="23" applyNumberFormat="1" applyFont="1" applyFill="1" applyAlignment="1">
      <alignment horizontal="center" vertical="center"/>
    </xf>
    <xf numFmtId="0" fontId="5" fillId="3" borderId="26" xfId="22" applyFont="1" applyFill="1" applyBorder="1" applyAlignment="1">
      <alignment horizontal="center" vertical="center"/>
    </xf>
    <xf numFmtId="2" fontId="6" fillId="3" borderId="26" xfId="23" applyNumberFormat="1" applyFont="1" applyFill="1" applyBorder="1" applyAlignment="1">
      <alignment horizontal="center" vertical="center"/>
    </xf>
    <xf numFmtId="2" fontId="6" fillId="3" borderId="0" xfId="23" applyNumberFormat="1" applyFont="1" applyFill="1" applyAlignment="1">
      <alignment horizontal="center" vertical="center"/>
    </xf>
    <xf numFmtId="0" fontId="0" fillId="3" borderId="1" xfId="22" applyFont="1" applyFill="1" applyBorder="1" applyAlignment="1">
      <alignment horizontal="center" vertical="center" wrapText="1"/>
    </xf>
    <xf numFmtId="0" fontId="0" fillId="6" borderId="1" xfId="23" applyFont="1" applyFill="1" applyBorder="1" applyAlignment="1">
      <alignment horizontal="center" vertical="center"/>
    </xf>
    <xf numFmtId="0" fontId="0" fillId="3" borderId="1" xfId="23" applyFont="1" applyFill="1" applyBorder="1" applyAlignment="1">
      <alignment horizontal="center" vertical="center" wrapText="1"/>
    </xf>
    <xf numFmtId="2" fontId="7" fillId="3" borderId="1" xfId="22" applyNumberFormat="1" applyFont="1" applyFill="1" applyBorder="1" applyAlignment="1">
      <alignment horizontal="center" vertical="center"/>
    </xf>
    <xf numFmtId="2" fontId="0" fillId="5" borderId="1" xfId="22" applyNumberFormat="1" applyFont="1" applyFill="1" applyBorder="1" applyAlignment="1">
      <alignment horizontal="center" vertical="center"/>
    </xf>
    <xf numFmtId="1" fontId="0" fillId="0" borderId="5" xfId="0" applyNumberFormat="1" applyBorder="1" applyAlignment="1">
      <alignment horizontal="center" vertical="center"/>
    </xf>
    <xf numFmtId="2" fontId="0" fillId="0" borderId="1" xfId="22" applyNumberFormat="1" applyFont="1" applyBorder="1" applyAlignment="1">
      <alignment horizontal="center" vertical="center"/>
    </xf>
    <xf numFmtId="1" fontId="0" fillId="0" borderId="1" xfId="0" applyNumberFormat="1" applyBorder="1" applyAlignment="1">
      <alignment horizontal="center" vertical="center"/>
    </xf>
    <xf numFmtId="2" fontId="0" fillId="3" borderId="1" xfId="22" applyNumberFormat="1" applyFont="1" applyFill="1" applyBorder="1" applyAlignment="1">
      <alignment horizontal="center" vertical="center"/>
    </xf>
    <xf numFmtId="0" fontId="4" fillId="5" borderId="1" xfId="22" applyFont="1" applyFill="1" applyBorder="1" applyAlignment="1">
      <alignment horizontal="center" vertical="center"/>
    </xf>
    <xf numFmtId="2" fontId="4" fillId="5" borderId="1" xfId="22" applyNumberFormat="1" applyFont="1" applyFill="1" applyBorder="1" applyAlignment="1">
      <alignment horizontal="center" vertical="center"/>
    </xf>
    <xf numFmtId="0" fontId="0" fillId="5" borderId="1" xfId="23" applyFont="1" applyFill="1" applyBorder="1" applyAlignment="1">
      <alignment horizontal="center" vertical="center"/>
    </xf>
    <xf numFmtId="2" fontId="4" fillId="2" borderId="1" xfId="22" applyNumberFormat="1" applyFont="1" applyFill="1" applyBorder="1" applyAlignment="1">
      <alignment horizontal="center" vertical="center"/>
    </xf>
    <xf numFmtId="2" fontId="0" fillId="0" borderId="0" xfId="0" applyNumberFormat="1" applyAlignment="1">
      <alignment horizontal="center" vertical="center"/>
    </xf>
    <xf numFmtId="0" fontId="9" fillId="0" borderId="0" xfId="24" applyFont="1" applyAlignment="1">
      <alignment vertical="center"/>
    </xf>
    <xf numFmtId="165" fontId="9" fillId="0" borderId="0" xfId="24" applyNumberFormat="1" applyFont="1" applyAlignment="1">
      <alignment vertical="center"/>
    </xf>
    <xf numFmtId="2" fontId="9" fillId="0" borderId="0" xfId="24" applyNumberFormat="1" applyFont="1" applyAlignment="1">
      <alignment vertical="center"/>
    </xf>
    <xf numFmtId="2" fontId="9" fillId="0" borderId="0" xfId="24" applyNumberFormat="1" applyFont="1" applyAlignment="1">
      <alignment horizontal="center" vertical="center"/>
    </xf>
    <xf numFmtId="166" fontId="9" fillId="0" borderId="0" xfId="3" applyNumberFormat="1" applyFont="1" applyBorder="1" applyAlignment="1" applyProtection="1">
      <alignment vertical="center"/>
    </xf>
    <xf numFmtId="0" fontId="9" fillId="0" borderId="0" xfId="24" applyFont="1" applyAlignment="1">
      <alignment horizontal="left" vertical="center"/>
    </xf>
    <xf numFmtId="0" fontId="10" fillId="4" borderId="1" xfId="24" applyFont="1" applyFill="1" applyBorder="1" applyAlignment="1">
      <alignment vertical="center"/>
    </xf>
    <xf numFmtId="0" fontId="10" fillId="4" borderId="1" xfId="25" applyFont="1" applyFill="1" applyBorder="1" applyAlignment="1">
      <alignment horizontal="center" vertical="center"/>
    </xf>
    <xf numFmtId="2" fontId="11" fillId="4" borderId="1" xfId="25" applyNumberFormat="1" applyFont="1" applyFill="1" applyBorder="1" applyAlignment="1">
      <alignment horizontal="center" vertical="center" wrapText="1"/>
    </xf>
    <xf numFmtId="165" fontId="10" fillId="4" borderId="1" xfId="25" applyNumberFormat="1" applyFont="1" applyFill="1" applyBorder="1" applyAlignment="1">
      <alignment horizontal="center" vertical="center" wrapText="1"/>
    </xf>
    <xf numFmtId="0" fontId="10" fillId="4" borderId="1" xfId="27" applyFont="1" applyFill="1" applyBorder="1" applyAlignment="1">
      <alignment horizontal="center" vertical="center" wrapText="1"/>
    </xf>
    <xf numFmtId="165" fontId="11" fillId="4" borderId="1" xfId="25" applyNumberFormat="1" applyFont="1" applyFill="1" applyBorder="1" applyAlignment="1">
      <alignment horizontal="center" vertical="center" wrapText="1"/>
    </xf>
    <xf numFmtId="0" fontId="10" fillId="4" borderId="1" xfId="24" applyFont="1" applyFill="1" applyBorder="1" applyAlignment="1">
      <alignment vertical="center" wrapText="1"/>
    </xf>
    <xf numFmtId="0" fontId="10" fillId="4" borderId="1" xfId="24" applyFont="1" applyFill="1" applyBorder="1" applyAlignment="1">
      <alignment horizontal="center" vertical="center" wrapText="1"/>
    </xf>
    <xf numFmtId="0" fontId="10" fillId="4" borderId="1" xfId="24" applyFont="1" applyFill="1" applyBorder="1" applyAlignment="1">
      <alignment horizontal="left" vertical="center" wrapText="1"/>
    </xf>
    <xf numFmtId="0" fontId="9" fillId="0" borderId="1" xfId="24" applyFont="1" applyBorder="1" applyAlignment="1">
      <alignment horizontal="left" vertical="center"/>
    </xf>
    <xf numFmtId="171" fontId="9" fillId="0" borderId="1" xfId="24" applyNumberFormat="1" applyFont="1" applyBorder="1" applyAlignment="1">
      <alignment horizontal="left" vertical="center"/>
    </xf>
    <xf numFmtId="0" fontId="13" fillId="0" borderId="1" xfId="0" applyFont="1" applyBorder="1" applyAlignment="1">
      <alignment horizontal="left" vertical="center"/>
    </xf>
    <xf numFmtId="0" fontId="9" fillId="0" borderId="1" xfId="23" applyFont="1" applyBorder="1" applyAlignment="1">
      <alignment horizontal="left" vertical="center"/>
    </xf>
    <xf numFmtId="171" fontId="12" fillId="0" borderId="1" xfId="23" applyNumberFormat="1" applyFont="1" applyBorder="1" applyAlignment="1">
      <alignment horizontal="left" vertical="center"/>
    </xf>
    <xf numFmtId="0" fontId="12" fillId="0" borderId="1" xfId="0" applyFont="1" applyBorder="1" applyAlignment="1">
      <alignment horizontal="left" vertical="center"/>
    </xf>
    <xf numFmtId="0" fontId="12" fillId="0" borderId="1" xfId="0" applyFont="1" applyBorder="1" applyAlignment="1">
      <alignment horizontal="left"/>
    </xf>
    <xf numFmtId="0" fontId="12" fillId="0" borderId="1" xfId="23" applyFont="1" applyBorder="1" applyAlignment="1">
      <alignment horizontal="left" vertical="center"/>
    </xf>
    <xf numFmtId="14" fontId="9" fillId="0" borderId="1" xfId="24" applyNumberFormat="1" applyFont="1" applyBorder="1" applyAlignment="1">
      <alignment horizontal="left" vertical="center"/>
    </xf>
    <xf numFmtId="0" fontId="20" fillId="4" borderId="0" xfId="24" applyFont="1" applyFill="1" applyAlignment="1">
      <alignment horizontal="left" vertical="center"/>
    </xf>
    <xf numFmtId="0" fontId="20" fillId="4" borderId="0" xfId="25" applyFont="1" applyFill="1" applyAlignment="1">
      <alignment horizontal="left" vertical="center"/>
    </xf>
    <xf numFmtId="0" fontId="21" fillId="4" borderId="0" xfId="25" applyFont="1" applyFill="1" applyAlignment="1">
      <alignment horizontal="left" vertical="center"/>
    </xf>
    <xf numFmtId="165" fontId="20" fillId="4" borderId="0" xfId="25" applyNumberFormat="1" applyFont="1" applyFill="1" applyAlignment="1">
      <alignment horizontal="left" vertical="center"/>
    </xf>
    <xf numFmtId="2" fontId="20" fillId="4" borderId="0" xfId="25" applyNumberFormat="1" applyFont="1" applyFill="1" applyAlignment="1">
      <alignment horizontal="left" vertical="center"/>
    </xf>
    <xf numFmtId="165" fontId="20" fillId="4" borderId="0" xfId="26" applyNumberFormat="1" applyFont="1" applyFill="1" applyAlignment="1">
      <alignment horizontal="left" vertical="center"/>
    </xf>
    <xf numFmtId="2" fontId="20" fillId="4" borderId="0" xfId="26" applyNumberFormat="1" applyFont="1" applyFill="1" applyAlignment="1">
      <alignment horizontal="left" vertical="center"/>
    </xf>
    <xf numFmtId="9" fontId="20" fillId="4" borderId="0" xfId="20" applyFont="1" applyFill="1" applyBorder="1" applyAlignment="1" applyProtection="1">
      <alignment horizontal="left" vertical="center"/>
    </xf>
    <xf numFmtId="167" fontId="20" fillId="4" borderId="18" xfId="24" applyNumberFormat="1" applyFont="1" applyFill="1" applyBorder="1" applyAlignment="1">
      <alignment horizontal="left" vertical="center"/>
    </xf>
    <xf numFmtId="166" fontId="20" fillId="4" borderId="0" xfId="3" applyNumberFormat="1" applyFont="1" applyFill="1" applyBorder="1" applyAlignment="1" applyProtection="1">
      <alignment horizontal="left" vertical="center"/>
    </xf>
    <xf numFmtId="0" fontId="4" fillId="4" borderId="1" xfId="25" applyFont="1" applyFill="1" applyBorder="1" applyAlignment="1">
      <alignment horizontal="left" vertical="center"/>
    </xf>
    <xf numFmtId="0" fontId="4" fillId="4" borderId="8" xfId="24" applyFont="1" applyFill="1" applyBorder="1" applyAlignment="1">
      <alignment horizontal="left" vertical="center"/>
    </xf>
    <xf numFmtId="0" fontId="6" fillId="0" borderId="0" xfId="24" applyFont="1" applyAlignment="1">
      <alignment vertical="center"/>
    </xf>
    <xf numFmtId="2" fontId="22" fillId="4" borderId="1" xfId="25" applyNumberFormat="1" applyFont="1" applyFill="1" applyBorder="1" applyAlignment="1">
      <alignment horizontal="left" vertical="center" wrapText="1"/>
    </xf>
    <xf numFmtId="165" fontId="4" fillId="4" borderId="1" xfId="25" applyNumberFormat="1" applyFont="1" applyFill="1" applyBorder="1" applyAlignment="1">
      <alignment horizontal="left" vertical="center" wrapText="1"/>
    </xf>
    <xf numFmtId="0" fontId="4" fillId="4" borderId="1" xfId="27" applyFont="1" applyFill="1" applyBorder="1" applyAlignment="1">
      <alignment horizontal="left" vertical="center" wrapText="1"/>
    </xf>
    <xf numFmtId="165" fontId="22" fillId="4" borderId="1" xfId="25" applyNumberFormat="1" applyFont="1" applyFill="1" applyBorder="1" applyAlignment="1">
      <alignment horizontal="left" vertical="center" wrapText="1"/>
    </xf>
    <xf numFmtId="0" fontId="4" fillId="4" borderId="1" xfId="24" applyFont="1" applyFill="1" applyBorder="1" applyAlignment="1">
      <alignment horizontal="left" vertical="center" wrapText="1"/>
    </xf>
    <xf numFmtId="0" fontId="23" fillId="0" borderId="1" xfId="17" applyFont="1" applyBorder="1" applyAlignment="1">
      <alignment horizontal="center" vertical="center"/>
    </xf>
    <xf numFmtId="0" fontId="24" fillId="0" borderId="1" xfId="25" applyFont="1" applyBorder="1" applyAlignment="1">
      <alignment horizontal="left" vertical="center"/>
    </xf>
    <xf numFmtId="0" fontId="24" fillId="0" borderId="1" xfId="25" applyFont="1" applyBorder="1" applyAlignment="1">
      <alignment horizontal="center" vertical="center"/>
    </xf>
    <xf numFmtId="0" fontId="24" fillId="0" borderId="1" xfId="25" applyFont="1" applyBorder="1" applyAlignment="1">
      <alignment horizontal="center" vertical="center" wrapText="1"/>
    </xf>
    <xf numFmtId="0" fontId="24" fillId="0" borderId="1" xfId="24" applyFont="1" applyBorder="1" applyAlignment="1">
      <alignment horizontal="center" vertical="center"/>
    </xf>
    <xf numFmtId="168" fontId="24" fillId="0" borderId="1" xfId="24" applyNumberFormat="1" applyFont="1" applyBorder="1" applyAlignment="1">
      <alignment horizontal="center" vertical="center"/>
    </xf>
    <xf numFmtId="0" fontId="24" fillId="0" borderId="1" xfId="27" applyFont="1" applyBorder="1" applyAlignment="1">
      <alignment horizontal="center" vertical="center"/>
    </xf>
    <xf numFmtId="2" fontId="23" fillId="0" borderId="1" xfId="25" applyNumberFormat="1" applyFont="1" applyBorder="1" applyAlignment="1">
      <alignment horizontal="center" vertical="center" wrapText="1"/>
    </xf>
    <xf numFmtId="165" fontId="23" fillId="0" borderId="1" xfId="25" applyNumberFormat="1" applyFont="1" applyBorder="1" applyAlignment="1">
      <alignment horizontal="center" vertical="center"/>
    </xf>
    <xf numFmtId="0" fontId="24" fillId="0" borderId="1" xfId="23" applyFont="1" applyBorder="1" applyAlignment="1">
      <alignment horizontal="left" vertical="center"/>
    </xf>
    <xf numFmtId="0" fontId="23" fillId="0" borderId="1" xfId="0" applyFont="1" applyBorder="1" applyAlignment="1">
      <alignment horizontal="left" vertical="center"/>
    </xf>
    <xf numFmtId="0" fontId="24" fillId="0" borderId="1" xfId="0" applyFont="1" applyBorder="1" applyAlignment="1">
      <alignment horizontal="left" vertical="center"/>
    </xf>
    <xf numFmtId="0" fontId="24" fillId="0" borderId="1" xfId="24" applyFont="1" applyBorder="1" applyAlignment="1">
      <alignment horizontal="left" vertical="center"/>
    </xf>
    <xf numFmtId="0" fontId="25" fillId="0" borderId="1" xfId="24" applyFont="1" applyBorder="1" applyAlignment="1">
      <alignment horizontal="center" vertical="center"/>
    </xf>
    <xf numFmtId="0" fontId="24" fillId="0" borderId="1" xfId="24" applyFont="1" applyBorder="1" applyAlignment="1">
      <alignment horizontal="center" vertical="center" wrapText="1"/>
    </xf>
    <xf numFmtId="2" fontId="24" fillId="0" borderId="1" xfId="24" applyNumberFormat="1" applyFont="1" applyBorder="1" applyAlignment="1">
      <alignment horizontal="center" vertical="center" wrapText="1"/>
    </xf>
    <xf numFmtId="0" fontId="23" fillId="0" borderId="1" xfId="7" applyFont="1" applyBorder="1" applyAlignment="1" applyProtection="1">
      <alignment horizontal="center" vertical="center"/>
    </xf>
    <xf numFmtId="169" fontId="24" fillId="0" borderId="1" xfId="24" applyNumberFormat="1" applyFont="1" applyBorder="1" applyAlignment="1">
      <alignment horizontal="center" vertical="center"/>
    </xf>
    <xf numFmtId="2" fontId="24" fillId="0" borderId="1" xfId="25" applyNumberFormat="1" applyFont="1" applyBorder="1" applyAlignment="1">
      <alignment horizontal="center" vertical="center"/>
    </xf>
    <xf numFmtId="2" fontId="23" fillId="0" borderId="1" xfId="17" applyNumberFormat="1" applyFont="1" applyBorder="1" applyAlignment="1">
      <alignment horizontal="center" vertical="center"/>
    </xf>
    <xf numFmtId="2" fontId="24" fillId="0" borderId="1" xfId="24" applyNumberFormat="1" applyFont="1" applyBorder="1" applyAlignment="1">
      <alignment horizontal="center" vertical="center"/>
    </xf>
    <xf numFmtId="165" fontId="24" fillId="0" borderId="1" xfId="24" applyNumberFormat="1" applyFont="1" applyBorder="1" applyAlignment="1">
      <alignment horizontal="center" vertical="center"/>
    </xf>
    <xf numFmtId="169" fontId="24" fillId="0" borderId="1" xfId="3" applyNumberFormat="1" applyFont="1" applyBorder="1" applyAlignment="1" applyProtection="1">
      <alignment horizontal="center" vertical="center"/>
    </xf>
    <xf numFmtId="166" fontId="24" fillId="0" borderId="1" xfId="3" applyNumberFormat="1" applyFont="1" applyBorder="1" applyAlignment="1" applyProtection="1">
      <alignment horizontal="center" vertical="center" wrapText="1"/>
    </xf>
    <xf numFmtId="167" fontId="24" fillId="0" borderId="1" xfId="3" applyNumberFormat="1" applyFont="1" applyBorder="1" applyAlignment="1" applyProtection="1">
      <alignment horizontal="center" vertical="center"/>
    </xf>
    <xf numFmtId="0" fontId="23" fillId="0" borderId="1" xfId="24" applyFont="1" applyBorder="1" applyAlignment="1">
      <alignment horizontal="center" vertical="center"/>
    </xf>
    <xf numFmtId="171" fontId="24" fillId="0" borderId="1" xfId="24" applyNumberFormat="1" applyFont="1" applyBorder="1" applyAlignment="1">
      <alignment horizontal="center" vertical="center"/>
    </xf>
    <xf numFmtId="0" fontId="24" fillId="0" borderId="1" xfId="7" applyFont="1" applyBorder="1" applyAlignment="1" applyProtection="1">
      <alignment horizontal="center" vertical="center"/>
    </xf>
    <xf numFmtId="0" fontId="23" fillId="0" borderId="1" xfId="23" applyFont="1" applyBorder="1" applyAlignment="1">
      <alignment horizontal="left" vertical="center"/>
    </xf>
    <xf numFmtId="0" fontId="24" fillId="0" borderId="1" xfId="23" applyFont="1" applyBorder="1" applyAlignment="1">
      <alignment horizontal="center" vertical="center"/>
    </xf>
    <xf numFmtId="170" fontId="24" fillId="0" borderId="1" xfId="1" applyNumberFormat="1" applyFont="1" applyBorder="1" applyAlignment="1" applyProtection="1">
      <alignment horizontal="center" vertical="center"/>
    </xf>
    <xf numFmtId="0" fontId="24" fillId="0" borderId="1" xfId="28" applyFont="1" applyBorder="1" applyAlignment="1">
      <alignment horizontal="center" vertical="center"/>
    </xf>
    <xf numFmtId="166" fontId="24" fillId="0" borderId="1" xfId="3" applyNumberFormat="1" applyFont="1" applyBorder="1" applyAlignment="1" applyProtection="1">
      <alignment horizontal="center" vertical="center"/>
    </xf>
    <xf numFmtId="1" fontId="24" fillId="0" borderId="1" xfId="23" applyNumberFormat="1" applyFont="1" applyBorder="1" applyAlignment="1">
      <alignment horizontal="center" vertical="center"/>
    </xf>
    <xf numFmtId="2" fontId="24" fillId="0" borderId="1" xfId="7" applyNumberFormat="1" applyFont="1" applyBorder="1" applyAlignment="1" applyProtection="1">
      <alignment horizontal="center" vertical="center"/>
    </xf>
    <xf numFmtId="0" fontId="24" fillId="0" borderId="1" xfId="0" applyFont="1" applyBorder="1" applyAlignment="1">
      <alignment horizontal="center"/>
    </xf>
    <xf numFmtId="170" fontId="24" fillId="0" borderId="1" xfId="24" applyNumberFormat="1" applyFont="1" applyBorder="1" applyAlignment="1">
      <alignment horizontal="center" vertical="center"/>
    </xf>
    <xf numFmtId="0" fontId="24" fillId="0" borderId="1" xfId="28" applyFont="1" applyBorder="1" applyAlignment="1">
      <alignment horizontal="center" vertical="center" wrapText="1"/>
    </xf>
    <xf numFmtId="0" fontId="23" fillId="0" borderId="1" xfId="0" applyFont="1" applyBorder="1" applyAlignment="1">
      <alignment horizontal="left"/>
    </xf>
    <xf numFmtId="165" fontId="9" fillId="0" borderId="1" xfId="24" applyNumberFormat="1" applyFont="1" applyBorder="1" applyAlignment="1">
      <alignment horizontal="left" vertical="center"/>
    </xf>
    <xf numFmtId="2" fontId="9" fillId="0" borderId="1" xfId="24" applyNumberFormat="1" applyFont="1" applyBorder="1" applyAlignment="1">
      <alignment horizontal="left" vertical="center"/>
    </xf>
    <xf numFmtId="166" fontId="9" fillId="0" borderId="1" xfId="3" applyNumberFormat="1" applyFont="1" applyBorder="1" applyAlignment="1" applyProtection="1">
      <alignment horizontal="left" vertical="center"/>
    </xf>
    <xf numFmtId="0" fontId="12" fillId="0" borderId="1" xfId="17" applyFont="1" applyBorder="1" applyAlignment="1">
      <alignment horizontal="left" vertical="center"/>
    </xf>
    <xf numFmtId="0" fontId="9" fillId="0" borderId="1" xfId="28" applyFont="1" applyBorder="1" applyAlignment="1">
      <alignment horizontal="left" vertical="center" wrapText="1"/>
    </xf>
    <xf numFmtId="0" fontId="9" fillId="0" borderId="1" xfId="24" applyFont="1" applyBorder="1" applyAlignment="1">
      <alignment horizontal="left" vertical="center" wrapText="1"/>
    </xf>
    <xf numFmtId="0" fontId="12" fillId="0" borderId="1" xfId="7" applyFont="1" applyBorder="1" applyAlignment="1" applyProtection="1">
      <alignment horizontal="left" vertical="center"/>
    </xf>
    <xf numFmtId="168" fontId="9" fillId="0" borderId="1" xfId="24" applyNumberFormat="1" applyFont="1" applyBorder="1" applyAlignment="1">
      <alignment horizontal="left" vertical="center"/>
    </xf>
    <xf numFmtId="169" fontId="9" fillId="0" borderId="1" xfId="24" applyNumberFormat="1" applyFont="1" applyBorder="1" applyAlignment="1">
      <alignment horizontal="left" vertical="center"/>
    </xf>
    <xf numFmtId="2" fontId="9" fillId="0" borderId="1" xfId="25" applyNumberFormat="1" applyFont="1" applyBorder="1" applyAlignment="1">
      <alignment horizontal="left" vertical="center"/>
    </xf>
    <xf numFmtId="2" fontId="12" fillId="0" borderId="1" xfId="17" applyNumberFormat="1" applyFont="1" applyBorder="1" applyAlignment="1">
      <alignment horizontal="left" vertical="center"/>
    </xf>
    <xf numFmtId="169" fontId="9" fillId="0" borderId="1" xfId="3" applyNumberFormat="1" applyFont="1" applyBorder="1" applyAlignment="1" applyProtection="1">
      <alignment horizontal="left" vertical="center"/>
    </xf>
    <xf numFmtId="2" fontId="11" fillId="0" borderId="1" xfId="25" applyNumberFormat="1" applyFont="1" applyBorder="1" applyAlignment="1">
      <alignment horizontal="left" vertical="center" wrapText="1"/>
    </xf>
    <xf numFmtId="2" fontId="9" fillId="0" borderId="1" xfId="24" applyNumberFormat="1" applyFont="1" applyBorder="1" applyAlignment="1">
      <alignment horizontal="left" vertical="center" wrapText="1"/>
    </xf>
    <xf numFmtId="166" fontId="9" fillId="0" borderId="1" xfId="3" applyNumberFormat="1" applyFont="1" applyBorder="1" applyAlignment="1" applyProtection="1">
      <alignment horizontal="left" vertical="center" wrapText="1"/>
    </xf>
    <xf numFmtId="170" fontId="9" fillId="0" borderId="1" xfId="24" applyNumberFormat="1" applyFont="1" applyBorder="1" applyAlignment="1">
      <alignment horizontal="left" vertical="center"/>
    </xf>
    <xf numFmtId="167" fontId="9" fillId="0" borderId="1" xfId="3" applyNumberFormat="1" applyFont="1" applyBorder="1" applyAlignment="1" applyProtection="1">
      <alignment horizontal="left" vertical="center"/>
    </xf>
    <xf numFmtId="169" fontId="10" fillId="0" borderId="1" xfId="3" applyNumberFormat="1" applyFont="1" applyBorder="1" applyAlignment="1" applyProtection="1">
      <alignment horizontal="left" vertical="center"/>
    </xf>
    <xf numFmtId="0" fontId="12" fillId="0" borderId="1" xfId="24" applyFont="1" applyBorder="1" applyAlignment="1">
      <alignment horizontal="left" vertical="center"/>
    </xf>
    <xf numFmtId="0" fontId="12" fillId="0" borderId="1" xfId="7" applyFont="1" applyBorder="1" applyAlignment="1" applyProtection="1">
      <alignment horizontal="left"/>
    </xf>
    <xf numFmtId="2" fontId="12" fillId="0" borderId="1" xfId="17" applyNumberFormat="1" applyFont="1" applyBorder="1" applyAlignment="1">
      <alignment horizontal="left"/>
    </xf>
    <xf numFmtId="172" fontId="9" fillId="0" borderId="1" xfId="3" applyNumberFormat="1" applyFont="1" applyBorder="1" applyAlignment="1" applyProtection="1">
      <alignment horizontal="left" vertical="center"/>
    </xf>
    <xf numFmtId="2" fontId="9" fillId="0" borderId="1" xfId="26" applyNumberFormat="1" applyFont="1" applyBorder="1" applyAlignment="1">
      <alignment horizontal="left" vertical="center"/>
    </xf>
    <xf numFmtId="1" fontId="9" fillId="0" borderId="1" xfId="24" applyNumberFormat="1" applyFont="1" applyBorder="1" applyAlignment="1">
      <alignment horizontal="left" vertical="center"/>
    </xf>
    <xf numFmtId="0" fontId="9" fillId="0" borderId="1" xfId="0" applyFont="1" applyBorder="1" applyAlignment="1">
      <alignment horizontal="left"/>
    </xf>
    <xf numFmtId="170" fontId="14" fillId="0" borderId="1" xfId="1" applyNumberFormat="1" applyFont="1" applyBorder="1" applyAlignment="1" applyProtection="1">
      <alignment horizontal="left" vertical="center"/>
    </xf>
    <xf numFmtId="169" fontId="14" fillId="0" borderId="1" xfId="24" applyNumberFormat="1" applyFont="1" applyBorder="1" applyAlignment="1">
      <alignment horizontal="left" vertical="center"/>
    </xf>
    <xf numFmtId="0" fontId="9" fillId="0" borderId="1" xfId="17" applyFont="1" applyBorder="1" applyAlignment="1">
      <alignment horizontal="left"/>
    </xf>
    <xf numFmtId="0" fontId="9" fillId="0" borderId="1" xfId="7" applyFont="1" applyBorder="1" applyAlignment="1" applyProtection="1">
      <alignment horizontal="left" vertical="center"/>
    </xf>
    <xf numFmtId="2" fontId="9" fillId="0" borderId="1" xfId="7" applyNumberFormat="1" applyFont="1" applyBorder="1" applyAlignment="1" applyProtection="1">
      <alignment horizontal="left" vertical="center"/>
    </xf>
    <xf numFmtId="170" fontId="14" fillId="0" borderId="1" xfId="28" applyNumberFormat="1" applyFont="1" applyBorder="1" applyAlignment="1">
      <alignment horizontal="left" vertical="center"/>
    </xf>
    <xf numFmtId="0" fontId="0" fillId="0" borderId="1" xfId="0" applyBorder="1" applyAlignment="1">
      <alignment horizontal="left"/>
    </xf>
    <xf numFmtId="0" fontId="12" fillId="0" borderId="1" xfId="0" applyFont="1" applyBorder="1" applyAlignment="1">
      <alignment horizontal="left" vertical="center" wrapText="1"/>
    </xf>
    <xf numFmtId="0" fontId="9" fillId="0" borderId="1" xfId="28" applyFont="1" applyBorder="1" applyAlignment="1">
      <alignment horizontal="left" vertical="center"/>
    </xf>
    <xf numFmtId="0" fontId="15" fillId="0" borderId="1" xfId="24" applyFont="1" applyBorder="1" applyAlignment="1">
      <alignment horizontal="left" vertical="center"/>
    </xf>
    <xf numFmtId="0" fontId="12" fillId="0" borderId="1" xfId="28" applyFont="1" applyBorder="1" applyAlignment="1">
      <alignment horizontal="left" vertical="center" wrapText="1"/>
    </xf>
    <xf numFmtId="0" fontId="16" fillId="0" borderId="1" xfId="0" applyFont="1" applyBorder="1" applyAlignment="1">
      <alignment horizontal="left"/>
    </xf>
    <xf numFmtId="0" fontId="17" fillId="0" borderId="1" xfId="0" applyFont="1" applyBorder="1" applyAlignment="1">
      <alignment horizontal="left"/>
    </xf>
    <xf numFmtId="170" fontId="9" fillId="0" borderId="1" xfId="3" applyNumberFormat="1" applyFont="1" applyBorder="1" applyAlignment="1" applyProtection="1">
      <alignment horizontal="left" vertical="center"/>
    </xf>
    <xf numFmtId="2" fontId="11" fillId="0" borderId="1" xfId="25" applyNumberFormat="1" applyFont="1" applyBorder="1" applyAlignment="1">
      <alignment horizontal="left" vertical="center"/>
    </xf>
    <xf numFmtId="175" fontId="9" fillId="0" borderId="1" xfId="24" applyNumberFormat="1" applyFont="1" applyBorder="1" applyAlignment="1">
      <alignment horizontal="left" vertical="center"/>
    </xf>
    <xf numFmtId="175" fontId="9" fillId="0" borderId="1" xfId="3" applyNumberFormat="1" applyFont="1" applyBorder="1" applyAlignment="1" applyProtection="1">
      <alignment horizontal="left" vertical="center"/>
    </xf>
    <xf numFmtId="170" fontId="10" fillId="0" borderId="1" xfId="3" applyNumberFormat="1" applyFont="1" applyBorder="1" applyAlignment="1" applyProtection="1">
      <alignment horizontal="left" vertical="center"/>
    </xf>
    <xf numFmtId="176" fontId="9" fillId="0" borderId="1" xfId="24" applyNumberFormat="1" applyFont="1" applyBorder="1" applyAlignment="1">
      <alignment horizontal="left" vertical="center"/>
    </xf>
    <xf numFmtId="0" fontId="18" fillId="0" borderId="1" xfId="0" applyFont="1" applyBorder="1" applyAlignment="1">
      <alignment horizontal="left"/>
    </xf>
    <xf numFmtId="174" fontId="9" fillId="0" borderId="0" xfId="24" applyNumberFormat="1" applyFont="1" applyAlignment="1">
      <alignment horizontal="left" vertical="center"/>
    </xf>
    <xf numFmtId="165" fontId="9" fillId="0" borderId="0" xfId="24" applyNumberFormat="1" applyFont="1" applyAlignment="1">
      <alignment horizontal="left" vertical="center"/>
    </xf>
    <xf numFmtId="2" fontId="9" fillId="0" borderId="0" xfId="24" applyNumberFormat="1" applyFont="1" applyAlignment="1">
      <alignment horizontal="left" vertical="center"/>
    </xf>
    <xf numFmtId="166" fontId="9" fillId="0" borderId="0" xfId="3" applyNumberFormat="1" applyFont="1" applyBorder="1" applyAlignment="1" applyProtection="1">
      <alignment horizontal="left" vertical="center"/>
    </xf>
    <xf numFmtId="0" fontId="0" fillId="0" borderId="1" xfId="0" applyBorder="1" applyAlignment="1">
      <alignment horizontal="center"/>
    </xf>
    <xf numFmtId="2" fontId="0" fillId="0" borderId="1" xfId="0" applyNumberFormat="1" applyBorder="1" applyAlignment="1">
      <alignment horizontal="center"/>
    </xf>
    <xf numFmtId="2" fontId="9" fillId="7" borderId="1" xfId="24" applyNumberFormat="1" applyFont="1" applyFill="1" applyBorder="1" applyAlignment="1">
      <alignment horizontal="left" vertical="center"/>
    </xf>
    <xf numFmtId="0" fontId="9" fillId="7" borderId="1" xfId="28" applyFont="1" applyFill="1" applyBorder="1" applyAlignment="1">
      <alignment horizontal="left" vertical="center"/>
    </xf>
    <xf numFmtId="1" fontId="9" fillId="7" borderId="1" xfId="23" applyNumberFormat="1" applyFont="1" applyFill="1" applyBorder="1" applyAlignment="1">
      <alignment horizontal="left" vertical="center"/>
    </xf>
    <xf numFmtId="0" fontId="9" fillId="7" borderId="1" xfId="23" applyFont="1" applyFill="1" applyBorder="1" applyAlignment="1">
      <alignment horizontal="left" vertical="center"/>
    </xf>
    <xf numFmtId="0" fontId="9" fillId="7" borderId="1" xfId="24" applyFont="1" applyFill="1" applyBorder="1" applyAlignment="1">
      <alignment horizontal="left" vertical="center"/>
    </xf>
    <xf numFmtId="2" fontId="9" fillId="0" borderId="1" xfId="28" applyNumberFormat="1" applyFont="1" applyBorder="1" applyAlignment="1">
      <alignment horizontal="left" vertical="center"/>
    </xf>
    <xf numFmtId="1" fontId="9" fillId="0" borderId="1" xfId="23" applyNumberFormat="1" applyFont="1" applyBorder="1" applyAlignment="1">
      <alignment horizontal="left" vertical="center"/>
    </xf>
    <xf numFmtId="2" fontId="9" fillId="0" borderId="1" xfId="23" applyNumberFormat="1" applyFont="1" applyBorder="1" applyAlignment="1">
      <alignment horizontal="left" vertical="center"/>
    </xf>
    <xf numFmtId="174" fontId="9" fillId="0" borderId="1" xfId="23" applyNumberFormat="1" applyFont="1" applyBorder="1" applyAlignment="1">
      <alignment horizontal="left" vertical="center"/>
    </xf>
    <xf numFmtId="0" fontId="24" fillId="0" borderId="1" xfId="7" applyFont="1" applyBorder="1" applyAlignment="1" applyProtection="1">
      <alignment horizontal="center"/>
    </xf>
    <xf numFmtId="0" fontId="9" fillId="0" borderId="1" xfId="7" applyFont="1" applyBorder="1" applyAlignment="1" applyProtection="1">
      <alignment horizontal="center"/>
    </xf>
    <xf numFmtId="0" fontId="9" fillId="0" borderId="1" xfId="24" applyFont="1" applyBorder="1" applyAlignment="1">
      <alignment horizontal="center"/>
    </xf>
    <xf numFmtId="2" fontId="5" fillId="3" borderId="26" xfId="22" applyNumberFormat="1" applyFont="1" applyFill="1" applyBorder="1" applyAlignment="1">
      <alignment horizontal="center" vertical="center" wrapText="1"/>
    </xf>
    <xf numFmtId="0" fontId="0" fillId="3" borderId="1" xfId="23" applyFont="1" applyFill="1" applyBorder="1" applyAlignment="1">
      <alignment horizontal="center" vertical="center"/>
    </xf>
    <xf numFmtId="0" fontId="10" fillId="4" borderId="1" xfId="25" applyFont="1" applyFill="1" applyBorder="1" applyAlignment="1">
      <alignment horizontal="center" vertical="center" wrapText="1"/>
    </xf>
    <xf numFmtId="0" fontId="4" fillId="4" borderId="1" xfId="24" applyFont="1" applyFill="1" applyBorder="1" applyAlignment="1">
      <alignment horizontal="left" vertical="center"/>
    </xf>
    <xf numFmtId="0" fontId="4" fillId="4" borderId="1" xfId="25" applyFont="1" applyFill="1" applyBorder="1" applyAlignment="1">
      <alignment horizontal="left" vertical="center" wrapText="1"/>
    </xf>
    <xf numFmtId="0" fontId="0" fillId="0" borderId="0" xfId="0"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4" fillId="5" borderId="1" xfId="22" applyFont="1" applyFill="1" applyBorder="1" applyAlignment="1">
      <alignment horizontal="center" vertical="center" wrapText="1"/>
    </xf>
    <xf numFmtId="2" fontId="5" fillId="3" borderId="26" xfId="22" applyNumberFormat="1" applyFont="1" applyFill="1" applyBorder="1" applyAlignment="1">
      <alignment horizontal="center" vertical="center" wrapText="1"/>
    </xf>
    <xf numFmtId="2" fontId="5" fillId="3" borderId="15" xfId="22" applyNumberFormat="1" applyFont="1" applyFill="1" applyBorder="1" applyAlignment="1">
      <alignment horizontal="center" vertical="center" wrapText="1"/>
    </xf>
    <xf numFmtId="0" fontId="0" fillId="3" borderId="1" xfId="23" applyFont="1" applyFill="1" applyBorder="1" applyAlignment="1">
      <alignment horizontal="center" vertical="center"/>
    </xf>
    <xf numFmtId="0" fontId="4" fillId="4" borderId="1" xfId="24" applyFont="1" applyFill="1" applyBorder="1" applyAlignment="1">
      <alignment horizontal="left" vertical="center"/>
    </xf>
    <xf numFmtId="0" fontId="4" fillId="4" borderId="1" xfId="25" applyFont="1" applyFill="1" applyBorder="1" applyAlignment="1">
      <alignment horizontal="left" vertical="center" wrapText="1"/>
    </xf>
    <xf numFmtId="0" fontId="22" fillId="4" borderId="1" xfId="25" applyFont="1" applyFill="1" applyBorder="1" applyAlignment="1">
      <alignment horizontal="left" vertical="center"/>
    </xf>
    <xf numFmtId="2" fontId="4" fillId="4" borderId="1" xfId="25" applyNumberFormat="1" applyFont="1" applyFill="1" applyBorder="1" applyAlignment="1">
      <alignment horizontal="left" vertical="center"/>
    </xf>
  </cellXfs>
  <cellStyles count="29">
    <cellStyle name="Comma" xfId="1" builtinId="3"/>
    <cellStyle name="Comma 2" xfId="3" xr:uid="{00000000-0005-0000-0000-000001000000}"/>
    <cellStyle name="Excel Built-in Normal" xfId="23" xr:uid="{00000000-0005-0000-0000-000002000000}"/>
    <cellStyle name="Excel Built-in Normal 1" xfId="22" xr:uid="{00000000-0005-0000-0000-000003000000}"/>
    <cellStyle name="Excel Built-in Normal 1 1 1" xfId="28" xr:uid="{00000000-0005-0000-0000-000004000000}"/>
    <cellStyle name="Excel Built-in Normal 1 1 1 1 1 2" xfId="27" xr:uid="{00000000-0005-0000-0000-000005000000}"/>
    <cellStyle name="Excel Built-in Normal 1 1 1 2" xfId="24" xr:uid="{00000000-0005-0000-0000-000006000000}"/>
    <cellStyle name="Excel Built-in Normal 1 2" xfId="25" xr:uid="{00000000-0005-0000-0000-000007000000}"/>
    <cellStyle name="Excel Built-in Normal 2 2" xfId="26" xr:uid="{00000000-0005-0000-0000-000008000000}"/>
    <cellStyle name="Hyperlink 2" xfId="4" xr:uid="{00000000-0005-0000-0000-000009000000}"/>
    <cellStyle name="Hyperlink 3" xfId="5" xr:uid="{00000000-0005-0000-0000-00000A000000}"/>
    <cellStyle name="Hyperlink 4" xfId="6" xr:uid="{00000000-0005-0000-0000-00000B000000}"/>
    <cellStyle name="Hyperlink 4 2" xfId="7" xr:uid="{00000000-0005-0000-0000-00000C000000}"/>
    <cellStyle name="Normal" xfId="0" builtinId="0"/>
    <cellStyle name="Normal 10" xfId="8" xr:uid="{00000000-0005-0000-0000-00000E000000}"/>
    <cellStyle name="Normal 11" xfId="9" xr:uid="{00000000-0005-0000-0000-00000F000000}"/>
    <cellStyle name="Normal 14" xfId="10" xr:uid="{00000000-0005-0000-0000-000010000000}"/>
    <cellStyle name="Normal 2" xfId="11" xr:uid="{00000000-0005-0000-0000-000011000000}"/>
    <cellStyle name="Normal 3" xfId="12" xr:uid="{00000000-0005-0000-0000-000012000000}"/>
    <cellStyle name="Normal 4" xfId="13" xr:uid="{00000000-0005-0000-0000-000013000000}"/>
    <cellStyle name="Normal 5" xfId="14" xr:uid="{00000000-0005-0000-0000-000014000000}"/>
    <cellStyle name="Normal 6" xfId="15" xr:uid="{00000000-0005-0000-0000-000015000000}"/>
    <cellStyle name="Normal 6 2" xfId="16" xr:uid="{00000000-0005-0000-0000-000016000000}"/>
    <cellStyle name="Normal 7" xfId="17" xr:uid="{00000000-0005-0000-0000-000017000000}"/>
    <cellStyle name="Normal 8" xfId="18" xr:uid="{00000000-0005-0000-0000-000018000000}"/>
    <cellStyle name="Per cent" xfId="2" builtinId="5"/>
    <cellStyle name="Percent 2" xfId="19" xr:uid="{00000000-0005-0000-0000-00001A000000}"/>
    <cellStyle name="Percent 3" xfId="20" xr:uid="{00000000-0005-0000-0000-00001B000000}"/>
    <cellStyle name="TableStyleLight1" xfId="21" xr:uid="{00000000-0005-0000-0000-00001C000000}"/>
  </cellStyles>
  <dxfs count="20">
    <dxf>
      <font>
        <color rgb="FF000000"/>
        <name val="Calibri"/>
      </font>
      <fill>
        <patternFill>
          <bgColor theme="9" tint="-0.249977111117893"/>
        </patternFill>
      </fill>
    </dxf>
    <dxf>
      <font>
        <color rgb="FF000000"/>
        <name val="Calibri"/>
      </font>
      <fill>
        <patternFill>
          <bgColor theme="9" tint="0.59959715567491678"/>
        </patternFill>
      </fill>
    </dxf>
    <dxf>
      <font>
        <color rgb="FF000000"/>
        <name val="Calibri"/>
      </font>
      <fill>
        <patternFill>
          <bgColor theme="9" tint="-0.249977111117893"/>
        </patternFill>
      </fill>
    </dxf>
    <dxf>
      <font>
        <color rgb="FF000000"/>
        <name val="Calibri"/>
      </font>
      <fill>
        <patternFill>
          <bgColor theme="9" tint="0.59959715567491678"/>
        </patternFill>
      </fill>
    </dxf>
    <dxf>
      <font>
        <color rgb="FF000000"/>
        <name val="Calibri"/>
      </font>
      <fill>
        <patternFill>
          <bgColor theme="9" tint="-0.249977111117893"/>
        </patternFill>
      </fill>
    </dxf>
    <dxf>
      <font>
        <color rgb="FF000000"/>
        <name val="Calibri"/>
      </font>
      <fill>
        <patternFill>
          <bgColor theme="9" tint="0.59959715567491678"/>
        </patternFill>
      </fill>
    </dxf>
    <dxf>
      <font>
        <color rgb="FF000000"/>
        <name val="Calibri"/>
      </font>
      <fill>
        <patternFill>
          <bgColor rgb="FFE46C0A"/>
        </patternFill>
      </fill>
    </dxf>
    <dxf>
      <font>
        <color rgb="FF000000"/>
        <name val="Calibri"/>
      </font>
      <fill>
        <patternFill>
          <bgColor rgb="FFFCD5B5"/>
        </patternFill>
      </fill>
    </dxf>
    <dxf>
      <font>
        <color rgb="FF000000"/>
        <name val="Calibri"/>
      </font>
      <fill>
        <patternFill>
          <bgColor rgb="FFE46C0A"/>
        </patternFill>
      </fill>
    </dxf>
    <dxf>
      <font>
        <color rgb="FF000000"/>
        <name val="Calibri"/>
      </font>
      <fill>
        <patternFill>
          <bgColor rgb="FFFCD5B5"/>
        </patternFill>
      </fill>
    </dxf>
    <dxf>
      <font>
        <color rgb="FF000000"/>
        <name val="Calibri"/>
      </font>
      <fill>
        <patternFill>
          <bgColor theme="9" tint="-0.249977111117893"/>
        </patternFill>
      </fill>
    </dxf>
    <dxf>
      <font>
        <color rgb="FF000000"/>
        <name val="Calibri"/>
      </font>
      <fill>
        <patternFill>
          <bgColor theme="9" tint="0.59959715567491678"/>
        </patternFill>
      </fill>
    </dxf>
    <dxf>
      <font>
        <color rgb="FF000000"/>
        <name val="Calibri"/>
      </font>
      <fill>
        <patternFill>
          <bgColor rgb="FFE46C0A"/>
        </patternFill>
      </fill>
    </dxf>
    <dxf>
      <font>
        <color rgb="FF000000"/>
        <name val="Calibri"/>
      </font>
      <fill>
        <patternFill>
          <bgColor rgb="FFFCD5B5"/>
        </patternFill>
      </fill>
    </dxf>
    <dxf>
      <font>
        <color rgb="FF000000"/>
        <name val="Calibri"/>
      </font>
      <fill>
        <patternFill>
          <bgColor theme="9" tint="-0.249977111117893"/>
        </patternFill>
      </fill>
    </dxf>
    <dxf>
      <font>
        <color rgb="FF000000"/>
        <name val="Calibri"/>
      </font>
      <fill>
        <patternFill>
          <bgColor theme="9" tint="0.59959715567491678"/>
        </patternFill>
      </fill>
    </dxf>
    <dxf>
      <font>
        <color rgb="FF000000"/>
        <name val="Calibri"/>
      </font>
      <fill>
        <patternFill>
          <bgColor theme="9" tint="-0.249977111117893"/>
        </patternFill>
      </fill>
    </dxf>
    <dxf>
      <font>
        <color rgb="FF000000"/>
        <name val="Calibri"/>
      </font>
      <fill>
        <patternFill>
          <bgColor theme="9" tint="0.59959715567491678"/>
        </patternFill>
      </fill>
    </dxf>
    <dxf>
      <font>
        <color rgb="FF000000"/>
        <name val="Calibri"/>
      </font>
      <fill>
        <patternFill>
          <bgColor rgb="FFE46C0A"/>
        </patternFill>
      </fill>
    </dxf>
    <dxf>
      <font>
        <color rgb="FF000000"/>
        <name val="Calibri"/>
      </font>
      <fill>
        <patternFill>
          <bgColor rgb="FFFCD5B5"/>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C0504D"/>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09F9E"/>
      <rgbColor rgb="FFCC99FF"/>
      <rgbColor rgb="FFFCD5B5"/>
      <rgbColor rgb="FF3366FF"/>
      <rgbColor rgb="FF33CCCC"/>
      <rgbColor rgb="FF92D050"/>
      <rgbColor rgb="FFFFC000"/>
      <rgbColor rgb="FFFF9900"/>
      <rgbColor rgb="FFE46C0A"/>
      <rgbColor rgb="FF666699"/>
      <rgbColor rgb="FFA6A6A6"/>
      <rgbColor rgb="FF003366"/>
      <rgbColor rgb="FF339966"/>
      <rgbColor rgb="FF151920"/>
      <rgbColor rgb="FF333300"/>
      <rgbColor rgb="FF971916"/>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Types" Target="richData/rdRichValueTyp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Rudra\Monthly%20Reports\Rudra\Downloads\Bangalore%20Capacity%20Master%20June-2025%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Rudra\Monthly%20Reports\Monthly%20Reports\C17254\Downloads\Bangalore%20Capacity%20Master%20OCT--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details"/>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NEW SUMMARY"/>
      <sheetName val="Facility details "/>
      <sheetName val="Customer details"/>
      <sheetName val="Disconnection details"/>
    </sheetNames>
    <sheetDataSet>
      <sheetData sheetId="0"/>
      <sheetData sheetId="1"/>
      <sheetData sheetId="2"/>
      <sheetData sheetId="3">
        <row r="1">
          <cell r="V1">
            <v>0.5</v>
          </cell>
        </row>
      </sheetData>
      <sheetData sheetId="4"/>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9</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zoomScale="115" zoomScaleNormal="115" workbookViewId="0">
      <selection sqref="A1:XFD1"/>
    </sheetView>
  </sheetViews>
  <sheetFormatPr defaultColWidth="11.42578125" defaultRowHeight="12.75" customHeight="1"/>
  <cols>
    <col min="1" max="1" width="34.140625" customWidth="1"/>
    <col min="2" max="2" width="24.140625" customWidth="1"/>
    <col min="3" max="3" width="29.5703125" customWidth="1"/>
    <col min="4" max="4" width="38.85546875" customWidth="1"/>
    <col min="5" max="5" width="51" customWidth="1"/>
  </cols>
  <sheetData>
    <row r="1" spans="1:5" ht="12.75" customHeight="1">
      <c r="A1" s="1" t="s">
        <v>0</v>
      </c>
      <c r="B1" s="1" t="s">
        <v>1</v>
      </c>
      <c r="C1" s="2" t="s">
        <v>2</v>
      </c>
      <c r="D1" s="2" t="s">
        <v>3</v>
      </c>
      <c r="E1" s="2" t="s">
        <v>4</v>
      </c>
    </row>
    <row r="2" spans="1:5" ht="12.75" customHeight="1">
      <c r="A2" s="3" t="s">
        <v>5</v>
      </c>
      <c r="B2" s="3" t="s">
        <v>6</v>
      </c>
      <c r="C2" s="4">
        <v>4000</v>
      </c>
      <c r="D2" s="5">
        <v>2798</v>
      </c>
      <c r="E2" s="6"/>
    </row>
    <row r="3" spans="1:5" ht="12.75" customHeight="1">
      <c r="A3" s="7"/>
      <c r="B3" s="7"/>
      <c r="C3" s="8"/>
      <c r="D3" s="9"/>
      <c r="E3" s="6"/>
    </row>
    <row r="4" spans="1:5" ht="12.75" customHeight="1">
      <c r="A4" s="3" t="s">
        <v>7</v>
      </c>
      <c r="B4" s="3" t="s">
        <v>6</v>
      </c>
      <c r="C4" s="4">
        <v>0</v>
      </c>
      <c r="D4" s="5">
        <v>0</v>
      </c>
      <c r="E4" s="6"/>
    </row>
    <row r="5" spans="1:5" ht="12.75" customHeight="1">
      <c r="A5" s="7"/>
      <c r="B5" s="7"/>
      <c r="C5" s="8"/>
      <c r="D5" s="9"/>
      <c r="E5" s="6"/>
    </row>
    <row r="6" spans="1:5" ht="12.75" customHeight="1">
      <c r="A6" s="10" t="s">
        <v>8</v>
      </c>
      <c r="B6" s="10" t="s">
        <v>6</v>
      </c>
      <c r="C6" s="11"/>
      <c r="D6" s="6"/>
      <c r="E6" s="6"/>
    </row>
    <row r="7" spans="1:5" ht="12.75" customHeight="1">
      <c r="A7" s="12"/>
      <c r="B7" s="10"/>
      <c r="C7" s="11"/>
      <c r="D7" s="6"/>
      <c r="E7" s="6"/>
    </row>
    <row r="11" spans="1:5" ht="12.75" customHeight="1">
      <c r="B11" s="245"/>
      <c r="C11" s="245"/>
      <c r="D11" s="245"/>
      <c r="E11" s="245"/>
    </row>
  </sheetData>
  <mergeCells count="2">
    <mergeCell ref="B11:C11"/>
    <mergeCell ref="D11:E11"/>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M15"/>
  <sheetViews>
    <sheetView topLeftCell="A4" zoomScale="145" zoomScaleNormal="145" workbookViewId="0">
      <selection activeCell="B7" sqref="B7"/>
    </sheetView>
  </sheetViews>
  <sheetFormatPr defaultColWidth="8.5703125" defaultRowHeight="12.75" customHeight="1"/>
  <cols>
    <col min="1" max="1" width="20.140625" customWidth="1"/>
    <col min="2" max="2" width="8.140625" customWidth="1"/>
    <col min="5" max="5" width="18.28515625" customWidth="1"/>
    <col min="6" max="6" width="10.85546875" customWidth="1"/>
    <col min="7" max="7" width="9.85546875" customWidth="1"/>
    <col min="8" max="8" width="10.85546875" customWidth="1"/>
    <col min="9" max="9" width="6.28515625" customWidth="1"/>
    <col min="10" max="10" width="9.42578125" customWidth="1"/>
  </cols>
  <sheetData>
    <row r="2" spans="1:13" ht="39">
      <c r="A2" s="13" t="s">
        <v>9</v>
      </c>
      <c r="B2" s="14" t="s">
        <v>10</v>
      </c>
      <c r="C2" s="14" t="s">
        <v>11</v>
      </c>
      <c r="D2" s="14" t="s">
        <v>12</v>
      </c>
      <c r="E2" s="14" t="s">
        <v>13</v>
      </c>
      <c r="F2" s="14" t="s">
        <v>14</v>
      </c>
    </row>
    <row r="3" spans="1:13" ht="12.95">
      <c r="A3" s="15" t="s">
        <v>15</v>
      </c>
      <c r="B3" s="16">
        <v>4000</v>
      </c>
      <c r="C3" s="16">
        <v>2798</v>
      </c>
      <c r="D3" s="17">
        <f>+C3/B3</f>
        <v>0.69950000000000001</v>
      </c>
      <c r="E3" s="16"/>
      <c r="F3" s="16"/>
    </row>
    <row r="4" spans="1:13" ht="12.95">
      <c r="A4" s="15"/>
      <c r="B4" s="16">
        <v>0</v>
      </c>
      <c r="C4" s="16">
        <v>0</v>
      </c>
      <c r="D4" s="17" t="e">
        <f>+C4/B4</f>
        <v>#DIV/0!</v>
      </c>
      <c r="E4" s="16"/>
      <c r="F4" s="16"/>
    </row>
    <row r="5" spans="1:13" ht="12.95">
      <c r="A5" s="15" t="s">
        <v>16</v>
      </c>
      <c r="B5" s="18">
        <f>B3+B4</f>
        <v>4000</v>
      </c>
      <c r="C5" s="15">
        <f>C3</f>
        <v>2798</v>
      </c>
      <c r="D5" s="17">
        <f>+C5/B5</f>
        <v>0.69950000000000001</v>
      </c>
      <c r="E5" s="18">
        <v>1574</v>
      </c>
      <c r="F5" s="19">
        <f>C5/E5</f>
        <v>1.7776365946632782</v>
      </c>
    </row>
    <row r="9" spans="1:13" ht="12.95">
      <c r="A9" s="20" t="s">
        <v>17</v>
      </c>
      <c r="B9" s="246" t="s">
        <v>18</v>
      </c>
      <c r="C9" s="246"/>
      <c r="D9" s="246"/>
      <c r="E9" s="247" t="s">
        <v>19</v>
      </c>
      <c r="F9" s="247"/>
      <c r="G9" s="246" t="s">
        <v>20</v>
      </c>
      <c r="H9" s="246"/>
      <c r="I9" s="246"/>
      <c r="J9" s="246"/>
    </row>
    <row r="10" spans="1:13" ht="12.95">
      <c r="A10" s="21"/>
      <c r="B10" s="21" t="s">
        <v>21</v>
      </c>
      <c r="C10" s="13" t="s">
        <v>22</v>
      </c>
      <c r="D10" s="22" t="s">
        <v>23</v>
      </c>
      <c r="E10" s="23" t="s">
        <v>24</v>
      </c>
      <c r="F10" s="24" t="s">
        <v>25</v>
      </c>
      <c r="G10" s="21" t="s">
        <v>21</v>
      </c>
      <c r="H10" s="13" t="s">
        <v>26</v>
      </c>
      <c r="I10" s="13" t="s">
        <v>22</v>
      </c>
      <c r="J10" s="22" t="s">
        <v>23</v>
      </c>
    </row>
    <row r="11" spans="1:13" ht="12.95">
      <c r="A11" s="25" t="s">
        <v>16</v>
      </c>
      <c r="B11" s="26">
        <v>4860</v>
      </c>
      <c r="C11" s="27">
        <f>'Facility details '!O14</f>
        <v>2891</v>
      </c>
      <c r="D11" s="28">
        <f>+'NEW SUMMARY'!B11-'NEW SUMMARY'!C11</f>
        <v>1969</v>
      </c>
      <c r="E11" s="29">
        <f>'Facility details '!P14</f>
        <v>2124.6000000000004</v>
      </c>
      <c r="F11" s="30">
        <f>+E11/C11</f>
        <v>0.73490141819439658</v>
      </c>
      <c r="G11" s="26">
        <f>'Facility details '!T11+'Facility details '!T12+'Facility details '!T13</f>
        <v>925</v>
      </c>
      <c r="H11" s="27">
        <v>2153</v>
      </c>
      <c r="I11" s="27">
        <f>'Facility details '!U11+'Facility details '!U12+'Facility details '!U13</f>
        <v>720</v>
      </c>
      <c r="J11" s="28">
        <f>'Facility details '!W11+'Facility details '!W12+'Facility details '!W13</f>
        <v>137</v>
      </c>
      <c r="M11" s="31"/>
    </row>
    <row r="12" spans="1:13" ht="12.95">
      <c r="A12" s="32" t="s">
        <v>27</v>
      </c>
      <c r="B12" s="32"/>
      <c r="C12" s="15"/>
      <c r="D12" s="33"/>
      <c r="E12" s="34"/>
      <c r="F12" s="35"/>
      <c r="G12" s="32"/>
      <c r="H12" s="15"/>
      <c r="I12" s="15"/>
      <c r="J12" s="33"/>
    </row>
    <row r="13" spans="1:13" ht="12.95">
      <c r="A13" s="36" t="s">
        <v>28</v>
      </c>
      <c r="B13" s="37">
        <v>540</v>
      </c>
      <c r="C13" s="18">
        <f>'Facility details '!O11</f>
        <v>305</v>
      </c>
      <c r="D13" s="38">
        <f>+'NEW SUMMARY'!B13-'NEW SUMMARY'!C13</f>
        <v>235</v>
      </c>
      <c r="E13" s="39">
        <f>'Facility details '!P11</f>
        <v>91.5</v>
      </c>
      <c r="F13" s="40">
        <f>+E13/C13</f>
        <v>0.3</v>
      </c>
      <c r="G13" s="37">
        <f>'Facility details '!T11</f>
        <v>130</v>
      </c>
      <c r="H13" s="18">
        <f>+G13-'Facility details '!V11</f>
        <v>82</v>
      </c>
      <c r="I13" s="18">
        <f>'Facility details '!U11</f>
        <v>63</v>
      </c>
      <c r="J13" s="38">
        <f>+'NEW SUMMARY'!H13-'NEW SUMMARY'!I13</f>
        <v>19</v>
      </c>
    </row>
    <row r="14" spans="1:13" ht="12.95">
      <c r="A14" s="36" t="s">
        <v>29</v>
      </c>
      <c r="B14" s="37">
        <v>1620</v>
      </c>
      <c r="C14" s="18">
        <f>'Facility details '!O12</f>
        <v>1566</v>
      </c>
      <c r="D14" s="38">
        <f>+'NEW SUMMARY'!B14-'NEW SUMMARY'!C14</f>
        <v>54</v>
      </c>
      <c r="E14" s="39">
        <f>'Facility details '!P12</f>
        <v>1075.4000000000001</v>
      </c>
      <c r="F14" s="40">
        <f>+E14/C14</f>
        <v>0.68671775223499365</v>
      </c>
      <c r="G14" s="37">
        <f>'Facility details '!T12</f>
        <v>540</v>
      </c>
      <c r="H14" s="18">
        <f>+G14-'Facility details '!V12</f>
        <v>520</v>
      </c>
      <c r="I14" s="18">
        <f>'Facility details '!U12</f>
        <v>402</v>
      </c>
      <c r="J14" s="38">
        <f>+'NEW SUMMARY'!H14-'NEW SUMMARY'!I14</f>
        <v>118</v>
      </c>
    </row>
    <row r="15" spans="1:13" ht="12.95">
      <c r="A15" s="41" t="s">
        <v>30</v>
      </c>
      <c r="B15" s="42">
        <v>1080</v>
      </c>
      <c r="C15" s="43">
        <f>'Facility details '!O13</f>
        <v>1020</v>
      </c>
      <c r="D15" s="44">
        <f>+'NEW SUMMARY'!B15-'NEW SUMMARY'!C15</f>
        <v>60</v>
      </c>
      <c r="E15" s="45">
        <f>'Facility details '!P13</f>
        <v>957.7</v>
      </c>
      <c r="F15" s="46">
        <f>+E15/C15</f>
        <v>0.93892156862745102</v>
      </c>
      <c r="G15" s="42">
        <f>'Facility details '!T13</f>
        <v>255</v>
      </c>
      <c r="H15" s="43">
        <f>+G15-'Facility details '!V13</f>
        <v>255</v>
      </c>
      <c r="I15" s="43">
        <f>'Facility details '!U13</f>
        <v>255</v>
      </c>
      <c r="J15" s="44">
        <f>+'NEW SUMMARY'!H15-'NEW SUMMARY'!I15</f>
        <v>0</v>
      </c>
    </row>
  </sheetData>
  <mergeCells count="3">
    <mergeCell ref="B9:D9"/>
    <mergeCell ref="E9:F9"/>
    <mergeCell ref="G9:J9"/>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8"/>
  <sheetViews>
    <sheetView zoomScale="115" zoomScaleNormal="115" workbookViewId="0">
      <selection activeCell="T12" sqref="T12:BI44"/>
    </sheetView>
  </sheetViews>
  <sheetFormatPr defaultColWidth="9" defaultRowHeight="12.75" customHeight="1"/>
  <cols>
    <col min="1" max="1" width="24.140625" style="47" customWidth="1"/>
    <col min="2" max="6" width="15" style="47" customWidth="1"/>
    <col min="7" max="7" width="17.85546875" style="47" customWidth="1"/>
    <col min="8" max="11" width="15" style="47" customWidth="1"/>
    <col min="12" max="12" width="23.28515625" style="47" customWidth="1"/>
    <col min="13" max="13" width="15" style="47" customWidth="1"/>
    <col min="14" max="14" width="17.85546875" style="47" customWidth="1"/>
    <col min="15" max="15" width="18.140625" style="47" customWidth="1"/>
    <col min="16" max="19" width="15" style="47" customWidth="1"/>
    <col min="20" max="23" width="17.85546875" style="47" customWidth="1"/>
    <col min="24" max="24" width="18" style="47" customWidth="1"/>
    <col min="25" max="25" width="12.7109375" style="47" customWidth="1"/>
    <col min="26" max="26" width="15" style="47" customWidth="1"/>
    <col min="27" max="27" width="10.140625" style="47" customWidth="1"/>
    <col min="28" max="16384" width="9" style="47"/>
  </cols>
  <sheetData>
    <row r="1" spans="1:28" ht="12.95">
      <c r="A1" s="48" t="s">
        <v>0</v>
      </c>
      <c r="B1" s="49" t="s">
        <v>2</v>
      </c>
      <c r="C1" s="50" t="s">
        <v>3</v>
      </c>
      <c r="D1" s="51"/>
      <c r="E1" s="52"/>
      <c r="F1" s="52"/>
      <c r="G1" s="52"/>
      <c r="H1" s="52"/>
      <c r="I1" s="241"/>
      <c r="J1" s="241"/>
      <c r="K1" s="241"/>
      <c r="L1" s="241"/>
      <c r="M1" s="52"/>
      <c r="N1" s="52"/>
      <c r="O1" s="52"/>
      <c r="P1" s="52"/>
      <c r="Q1" s="52"/>
      <c r="R1" s="52"/>
      <c r="S1" s="52"/>
      <c r="T1" s="52"/>
      <c r="U1" s="52"/>
      <c r="V1" s="52"/>
      <c r="W1" s="52"/>
      <c r="X1" s="53"/>
      <c r="Y1" s="53"/>
      <c r="Z1" s="53"/>
      <c r="AA1" s="54"/>
      <c r="AB1" s="54"/>
    </row>
    <row r="2" spans="1:28" ht="39">
      <c r="A2" s="55"/>
      <c r="B2" s="56" t="s">
        <v>31</v>
      </c>
      <c r="C2" s="57" t="s">
        <v>32</v>
      </c>
      <c r="D2" s="51"/>
      <c r="E2" s="52"/>
      <c r="F2" s="52"/>
      <c r="G2" s="52"/>
      <c r="H2" s="52"/>
      <c r="I2" s="241"/>
      <c r="J2" s="241"/>
      <c r="K2" s="241"/>
      <c r="L2" s="241"/>
      <c r="M2" s="52"/>
      <c r="N2" s="52"/>
      <c r="O2" s="52"/>
      <c r="P2" s="52"/>
      <c r="Q2" s="52"/>
      <c r="R2" s="52"/>
      <c r="S2" s="52"/>
      <c r="T2" s="52"/>
      <c r="U2" s="52"/>
      <c r="V2" s="52"/>
      <c r="W2" s="52"/>
      <c r="X2" s="53"/>
      <c r="Y2" s="53"/>
      <c r="Z2" s="53"/>
      <c r="AA2" s="54"/>
      <c r="AB2" s="54"/>
    </row>
    <row r="3" spans="1:28" ht="12.95">
      <c r="A3" s="58" t="s">
        <v>33</v>
      </c>
      <c r="B3" s="59" t="s">
        <v>34</v>
      </c>
      <c r="C3" s="241">
        <v>2573</v>
      </c>
      <c r="D3" s="241"/>
      <c r="E3" s="241"/>
      <c r="F3" s="241"/>
      <c r="G3" s="52"/>
      <c r="H3" s="52"/>
      <c r="I3" s="241"/>
      <c r="J3" s="241"/>
      <c r="K3" s="52"/>
      <c r="L3" s="241"/>
      <c r="M3" s="52"/>
      <c r="N3" s="52"/>
      <c r="O3" s="52"/>
      <c r="P3" s="52"/>
      <c r="Q3" s="52"/>
      <c r="R3" s="52"/>
      <c r="S3" s="52"/>
      <c r="T3" s="52"/>
      <c r="U3" s="52"/>
      <c r="V3" s="52"/>
      <c r="W3" s="52"/>
      <c r="X3" s="53"/>
      <c r="Y3" s="53"/>
      <c r="Z3" s="53"/>
      <c r="AA3" s="54"/>
      <c r="AB3" s="54"/>
    </row>
    <row r="4" spans="1:28" ht="26.1">
      <c r="A4" s="58" t="s">
        <v>35</v>
      </c>
      <c r="B4" s="59">
        <v>100</v>
      </c>
      <c r="C4" s="60">
        <f>2573/4000</f>
        <v>0.64324999999999999</v>
      </c>
      <c r="D4" s="241"/>
      <c r="E4" s="241"/>
      <c r="F4" s="241"/>
      <c r="G4" s="52"/>
      <c r="H4" s="52"/>
      <c r="I4" s="241"/>
      <c r="J4" s="241"/>
      <c r="K4" s="52"/>
      <c r="L4" s="241"/>
      <c r="M4" s="52"/>
      <c r="N4" s="52"/>
      <c r="O4" s="52"/>
      <c r="P4" s="52"/>
      <c r="Q4" s="52"/>
      <c r="R4" s="52"/>
      <c r="S4" s="52"/>
      <c r="T4" s="52"/>
      <c r="U4" s="52"/>
      <c r="V4" s="52"/>
      <c r="W4" s="52"/>
      <c r="X4" s="53"/>
      <c r="Y4" s="53"/>
      <c r="Z4" s="53"/>
      <c r="AA4" s="54"/>
      <c r="AB4" s="54"/>
    </row>
    <row r="5" spans="1:28" ht="12.95">
      <c r="A5" s="58" t="s">
        <v>33</v>
      </c>
      <c r="B5" s="59">
        <v>0</v>
      </c>
      <c r="C5" s="241">
        <v>0</v>
      </c>
      <c r="D5" s="241"/>
      <c r="E5" s="241"/>
      <c r="F5" s="241"/>
      <c r="G5" s="52"/>
      <c r="H5" s="52"/>
      <c r="I5" s="241"/>
      <c r="J5" s="241"/>
      <c r="K5" s="52"/>
      <c r="L5" s="241"/>
      <c r="M5" s="52"/>
      <c r="N5" s="52"/>
      <c r="O5" s="52"/>
      <c r="P5" s="52"/>
      <c r="Q5" s="52"/>
      <c r="R5" s="52"/>
      <c r="S5" s="52"/>
      <c r="T5" s="52"/>
      <c r="U5" s="52"/>
      <c r="V5" s="52">
        <f>13503</f>
        <v>13503</v>
      </c>
      <c r="W5" s="52"/>
      <c r="X5" s="53"/>
      <c r="Y5" s="53"/>
      <c r="Z5" s="53"/>
      <c r="AA5" s="54"/>
      <c r="AB5" s="54"/>
    </row>
    <row r="6" spans="1:28" ht="26.1">
      <c r="A6" s="58" t="s">
        <v>35</v>
      </c>
      <c r="B6" s="59">
        <v>0</v>
      </c>
      <c r="C6" s="59">
        <v>0</v>
      </c>
      <c r="D6" s="241"/>
      <c r="E6" s="241"/>
      <c r="F6" s="241"/>
      <c r="G6" s="52"/>
      <c r="H6" s="52"/>
      <c r="I6" s="241"/>
      <c r="J6" s="241"/>
      <c r="K6" s="52"/>
      <c r="L6" s="241"/>
      <c r="M6" s="52"/>
      <c r="N6" s="52"/>
      <c r="O6" s="52"/>
      <c r="P6" s="52"/>
      <c r="Q6" s="52"/>
      <c r="R6" s="52"/>
      <c r="S6" s="52"/>
      <c r="T6" s="52"/>
      <c r="U6" s="52"/>
      <c r="V6" s="52"/>
      <c r="W6" s="52"/>
      <c r="X6" s="53"/>
      <c r="Y6" s="53"/>
      <c r="Z6" s="53"/>
      <c r="AA6" s="54"/>
      <c r="AB6" s="54"/>
    </row>
    <row r="7" spans="1:28" ht="12.95">
      <c r="A7" s="61"/>
      <c r="B7" s="62"/>
      <c r="C7" s="63"/>
      <c r="D7" s="64"/>
      <c r="E7" s="65"/>
      <c r="F7" s="65"/>
      <c r="G7" s="66"/>
      <c r="H7" s="66"/>
      <c r="I7" s="65"/>
      <c r="J7" s="65"/>
      <c r="K7" s="66"/>
      <c r="L7" s="65"/>
      <c r="M7" s="66"/>
      <c r="N7" s="66"/>
      <c r="O7" s="66"/>
      <c r="P7" s="66"/>
      <c r="Q7" s="66"/>
      <c r="R7" s="66"/>
      <c r="S7" s="66"/>
      <c r="T7" s="66"/>
      <c r="U7" s="66"/>
      <c r="V7" s="66"/>
      <c r="W7" s="66"/>
      <c r="X7" s="67"/>
      <c r="Y7" s="67"/>
      <c r="Z7" s="67"/>
      <c r="AA7" s="54"/>
      <c r="AB7" s="54"/>
    </row>
    <row r="8" spans="1:28" ht="12.95">
      <c r="A8" s="61"/>
      <c r="B8" s="66"/>
      <c r="C8" s="68"/>
      <c r="D8" s="64"/>
      <c r="E8" s="65"/>
      <c r="F8" s="65"/>
      <c r="G8" s="66"/>
      <c r="H8" s="66"/>
      <c r="I8" s="65"/>
      <c r="J8" s="65"/>
      <c r="K8" s="66"/>
      <c r="L8" s="65"/>
      <c r="M8" s="66"/>
      <c r="N8" s="66"/>
      <c r="O8" s="66"/>
      <c r="P8" s="66"/>
      <c r="Q8" s="66"/>
      <c r="R8" s="66"/>
      <c r="S8" s="66"/>
      <c r="T8" s="66"/>
      <c r="U8" s="66"/>
      <c r="V8" s="66"/>
      <c r="W8" s="66"/>
      <c r="X8" s="67"/>
      <c r="Y8" s="67"/>
      <c r="Z8" s="67"/>
      <c r="AA8" s="54"/>
      <c r="AB8" s="54"/>
    </row>
    <row r="9" spans="1:28" ht="78">
      <c r="A9" s="69" t="s">
        <v>36</v>
      </c>
      <c r="B9" s="70" t="s">
        <v>37</v>
      </c>
      <c r="C9" s="71" t="s">
        <v>38</v>
      </c>
      <c r="D9" s="71" t="s">
        <v>39</v>
      </c>
      <c r="E9" s="71" t="s">
        <v>40</v>
      </c>
      <c r="F9" s="71" t="s">
        <v>41</v>
      </c>
      <c r="G9" s="70" t="s">
        <v>42</v>
      </c>
      <c r="H9" s="71" t="s">
        <v>43</v>
      </c>
      <c r="I9" s="71" t="s">
        <v>44</v>
      </c>
      <c r="J9" s="71" t="s">
        <v>40</v>
      </c>
      <c r="K9" s="70" t="s">
        <v>45</v>
      </c>
      <c r="L9" s="71" t="s">
        <v>46</v>
      </c>
      <c r="M9" s="70" t="s">
        <v>47</v>
      </c>
      <c r="N9" s="72" t="s">
        <v>48</v>
      </c>
      <c r="O9" s="72" t="s">
        <v>49</v>
      </c>
      <c r="P9" s="70" t="s">
        <v>50</v>
      </c>
      <c r="Q9" s="70" t="s">
        <v>51</v>
      </c>
      <c r="R9" s="73" t="s">
        <v>52</v>
      </c>
      <c r="S9" s="74" t="s">
        <v>53</v>
      </c>
      <c r="T9" s="75" t="s">
        <v>54</v>
      </c>
      <c r="U9" s="75" t="s">
        <v>55</v>
      </c>
      <c r="V9" s="75" t="s">
        <v>56</v>
      </c>
      <c r="W9" s="75" t="s">
        <v>57</v>
      </c>
      <c r="X9" s="76" t="s">
        <v>58</v>
      </c>
      <c r="Y9" s="76" t="s">
        <v>59</v>
      </c>
      <c r="Z9" s="77" t="s">
        <v>60</v>
      </c>
      <c r="AA9" s="78"/>
      <c r="AB9" s="78"/>
    </row>
    <row r="10" spans="1:28" ht="30" customHeight="1">
      <c r="A10" s="79"/>
      <c r="B10" s="249" t="s">
        <v>61</v>
      </c>
      <c r="C10" s="249"/>
      <c r="D10" s="249"/>
      <c r="E10" s="249"/>
      <c r="F10" s="249"/>
      <c r="G10" s="250" t="s">
        <v>62</v>
      </c>
      <c r="H10" s="250"/>
      <c r="I10" s="250"/>
      <c r="J10" s="250"/>
      <c r="K10" s="249" t="s">
        <v>63</v>
      </c>
      <c r="L10" s="249"/>
      <c r="M10" s="240" t="s">
        <v>64</v>
      </c>
      <c r="N10" s="240" t="s">
        <v>65</v>
      </c>
      <c r="O10" s="240" t="s">
        <v>66</v>
      </c>
      <c r="P10" s="240" t="s">
        <v>67</v>
      </c>
      <c r="Q10" s="240" t="s">
        <v>67</v>
      </c>
      <c r="R10" s="240" t="s">
        <v>67</v>
      </c>
      <c r="S10" s="240" t="s">
        <v>67</v>
      </c>
      <c r="T10" s="240"/>
      <c r="U10" s="240"/>
      <c r="V10" s="240"/>
      <c r="W10" s="240"/>
      <c r="X10" s="80"/>
      <c r="Y10" s="80"/>
      <c r="Z10" s="80"/>
      <c r="AA10" s="81"/>
      <c r="AB10" s="81"/>
    </row>
    <row r="11" spans="1:28" ht="39">
      <c r="A11" s="82" t="s">
        <v>28</v>
      </c>
      <c r="B11" s="59">
        <v>1600</v>
      </c>
      <c r="C11" s="241">
        <v>1</v>
      </c>
      <c r="D11" s="251">
        <v>1600</v>
      </c>
      <c r="E11" s="251">
        <v>1</v>
      </c>
      <c r="F11" s="83">
        <v>135.5</v>
      </c>
      <c r="G11" s="59">
        <v>1600</v>
      </c>
      <c r="H11" s="241">
        <v>1</v>
      </c>
      <c r="I11" s="251">
        <v>1600</v>
      </c>
      <c r="J11" s="251">
        <v>1</v>
      </c>
      <c r="K11" s="59">
        <f>600*0.9</f>
        <v>540</v>
      </c>
      <c r="L11" s="84" t="s">
        <v>68</v>
      </c>
      <c r="M11" s="59">
        <v>540</v>
      </c>
      <c r="N11" s="59">
        <v>305</v>
      </c>
      <c r="O11" s="59">
        <v>305</v>
      </c>
      <c r="P11" s="85">
        <v>91.5</v>
      </c>
      <c r="Q11" s="59">
        <f>M11-P11</f>
        <v>448.5</v>
      </c>
      <c r="R11" s="59">
        <f>M11-N11</f>
        <v>235</v>
      </c>
      <c r="S11" s="86">
        <f>M11-O11</f>
        <v>235</v>
      </c>
      <c r="T11" s="87">
        <v>130</v>
      </c>
      <c r="U11" s="88">
        <v>63</v>
      </c>
      <c r="V11" s="88">
        <v>48</v>
      </c>
      <c r="W11" s="88">
        <f>T11-(U11+V11)</f>
        <v>19</v>
      </c>
      <c r="X11" s="53">
        <v>3300</v>
      </c>
      <c r="Y11" s="53">
        <v>2857</v>
      </c>
      <c r="Z11" s="59">
        <f>X11-Y11</f>
        <v>443</v>
      </c>
      <c r="AA11" s="54"/>
      <c r="AB11" s="54"/>
    </row>
    <row r="12" spans="1:28" ht="39">
      <c r="A12" s="82" t="s">
        <v>29</v>
      </c>
      <c r="B12" s="59">
        <v>1600</v>
      </c>
      <c r="C12" s="241">
        <v>1</v>
      </c>
      <c r="D12" s="251"/>
      <c r="E12" s="251"/>
      <c r="F12" s="83">
        <v>1460</v>
      </c>
      <c r="G12" s="59">
        <v>1600</v>
      </c>
      <c r="H12" s="241">
        <v>1</v>
      </c>
      <c r="I12" s="251"/>
      <c r="J12" s="251"/>
      <c r="K12" s="59">
        <v>1620</v>
      </c>
      <c r="L12" s="84" t="s">
        <v>69</v>
      </c>
      <c r="M12" s="59">
        <v>1620</v>
      </c>
      <c r="N12" s="59">
        <v>2106.5</v>
      </c>
      <c r="O12" s="59">
        <v>1566</v>
      </c>
      <c r="P12" s="85">
        <v>1075.4000000000001</v>
      </c>
      <c r="Q12" s="59">
        <f>M12-P12</f>
        <v>544.59999999999991</v>
      </c>
      <c r="R12" s="59">
        <f>M12-N12</f>
        <v>-486.5</v>
      </c>
      <c r="S12" s="86">
        <f>M12-O12</f>
        <v>54</v>
      </c>
      <c r="T12" s="87">
        <v>540</v>
      </c>
      <c r="U12" s="89">
        <v>402</v>
      </c>
      <c r="V12" s="88">
        <v>20</v>
      </c>
      <c r="W12" s="88">
        <f>T12-(U12+V12)</f>
        <v>118</v>
      </c>
      <c r="X12" s="53">
        <v>13820</v>
      </c>
      <c r="Y12" s="47">
        <v>9844</v>
      </c>
      <c r="Z12" s="59">
        <f>X12-Y12</f>
        <v>3976</v>
      </c>
      <c r="AA12" s="54"/>
      <c r="AB12" s="54"/>
    </row>
    <row r="13" spans="1:28" ht="39">
      <c r="A13" s="82" t="s">
        <v>30</v>
      </c>
      <c r="B13" s="90">
        <v>1800</v>
      </c>
      <c r="C13" s="241">
        <v>1</v>
      </c>
      <c r="D13" s="241">
        <v>1800</v>
      </c>
      <c r="E13" s="241">
        <v>1</v>
      </c>
      <c r="F13" s="83">
        <v>823</v>
      </c>
      <c r="G13" s="90">
        <v>1800</v>
      </c>
      <c r="H13" s="241">
        <v>1</v>
      </c>
      <c r="I13" s="241">
        <v>1800</v>
      </c>
      <c r="J13" s="241">
        <v>1</v>
      </c>
      <c r="K13" s="90">
        <v>1080</v>
      </c>
      <c r="L13" s="84" t="s">
        <v>70</v>
      </c>
      <c r="M13" s="90">
        <v>1080</v>
      </c>
      <c r="N13" s="90">
        <v>1020</v>
      </c>
      <c r="O13" s="90">
        <v>1020</v>
      </c>
      <c r="P13" s="85">
        <v>957.7</v>
      </c>
      <c r="Q13" s="90">
        <f>M13-P13</f>
        <v>122.29999999999995</v>
      </c>
      <c r="R13" s="90">
        <f>M13-N13</f>
        <v>60</v>
      </c>
      <c r="S13" s="86">
        <f>M13-O13</f>
        <v>60</v>
      </c>
      <c r="T13" s="87">
        <v>255</v>
      </c>
      <c r="U13" s="89">
        <v>255</v>
      </c>
      <c r="V13" s="88">
        <v>0</v>
      </c>
      <c r="W13" s="88">
        <f>T13-(U13+V13)</f>
        <v>0</v>
      </c>
      <c r="X13" s="53">
        <v>6120</v>
      </c>
      <c r="Y13" s="53">
        <v>6120</v>
      </c>
      <c r="Z13" s="90">
        <f>X13-Y13</f>
        <v>0</v>
      </c>
      <c r="AA13" s="54"/>
      <c r="AB13" s="54"/>
    </row>
    <row r="14" spans="1:28" ht="12.75" customHeight="1">
      <c r="A14" s="248" t="s">
        <v>71</v>
      </c>
      <c r="B14" s="248"/>
      <c r="C14" s="248"/>
      <c r="D14" s="248"/>
      <c r="E14" s="248"/>
      <c r="F14" s="248"/>
      <c r="G14" s="248"/>
      <c r="H14" s="248"/>
      <c r="I14" s="248"/>
      <c r="J14" s="91"/>
      <c r="K14" s="92">
        <f>SUM(K11:K13)</f>
        <v>3240</v>
      </c>
      <c r="L14" s="93"/>
      <c r="M14" s="94">
        <f t="shared" ref="M14:Z14" si="0">SUM(M11:M13)</f>
        <v>3240</v>
      </c>
      <c r="N14" s="92">
        <f t="shared" si="0"/>
        <v>3431.5</v>
      </c>
      <c r="O14" s="92">
        <f t="shared" si="0"/>
        <v>2891</v>
      </c>
      <c r="P14" s="92">
        <f t="shared" si="0"/>
        <v>2124.6000000000004</v>
      </c>
      <c r="Q14" s="92">
        <f t="shared" si="0"/>
        <v>1115.3999999999999</v>
      </c>
      <c r="R14" s="92">
        <f t="shared" si="0"/>
        <v>-191.5</v>
      </c>
      <c r="S14" s="92">
        <f t="shared" si="0"/>
        <v>349</v>
      </c>
      <c r="T14" s="92">
        <f t="shared" si="0"/>
        <v>925</v>
      </c>
      <c r="U14" s="92">
        <f t="shared" si="0"/>
        <v>720</v>
      </c>
      <c r="V14" s="92">
        <f t="shared" si="0"/>
        <v>68</v>
      </c>
      <c r="W14" s="92">
        <f t="shared" si="0"/>
        <v>137</v>
      </c>
      <c r="X14" s="92">
        <f t="shared" si="0"/>
        <v>23240</v>
      </c>
      <c r="Y14" s="92">
        <f t="shared" si="0"/>
        <v>18821</v>
      </c>
      <c r="Z14" s="92">
        <f t="shared" si="0"/>
        <v>4419</v>
      </c>
      <c r="AA14" s="54"/>
      <c r="AB14" s="54"/>
    </row>
    <row r="18" spans="25:25" ht="12.95">
      <c r="Y18" s="95"/>
    </row>
  </sheetData>
  <mergeCells count="8">
    <mergeCell ref="A14:I14"/>
    <mergeCell ref="B10:F10"/>
    <mergeCell ref="G10:J10"/>
    <mergeCell ref="K10:L10"/>
    <mergeCell ref="D11:D12"/>
    <mergeCell ref="E11:E12"/>
    <mergeCell ref="I11:I12"/>
    <mergeCell ref="J11:J12"/>
  </mergeCells>
  <pageMargins left="0.7" right="0.7" top="0.75" bottom="0.75" header="0.511811023622047" footer="0.511811023622047"/>
  <pageSetup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FD100"/>
  <sheetViews>
    <sheetView tabSelected="1" zoomScale="85" zoomScaleNormal="85" workbookViewId="0">
      <pane ySplit="1" topLeftCell="A2" activePane="bottomLeft" state="frozen"/>
      <selection pane="bottomLeft" sqref="A1:XFD2"/>
      <selection activeCell="AC1" sqref="AC1"/>
    </sheetView>
  </sheetViews>
  <sheetFormatPr defaultColWidth="20.140625" defaultRowHeight="12.75" customHeight="1"/>
  <cols>
    <col min="1" max="1" width="20.140625" style="101"/>
    <col min="2" max="2" width="16.5703125" style="101" customWidth="1"/>
    <col min="3" max="3" width="70.140625" style="101" customWidth="1"/>
    <col min="4" max="4" width="13.85546875" style="101" hidden="1" customWidth="1"/>
    <col min="5" max="5" width="30.28515625" style="101" hidden="1" customWidth="1"/>
    <col min="6" max="6" width="25.140625" style="101" hidden="1" customWidth="1"/>
    <col min="7" max="7" width="23.85546875" style="101" hidden="1" customWidth="1"/>
    <col min="8" max="8" width="21.5703125" style="101" hidden="1" customWidth="1"/>
    <col min="9" max="9" width="11.42578125" style="101" customWidth="1"/>
    <col min="10" max="10" width="17.85546875" style="101" customWidth="1"/>
    <col min="11" max="11" width="12.140625" style="101" customWidth="1"/>
    <col min="12" max="12" width="21.42578125" style="223" hidden="1" customWidth="1"/>
    <col min="13" max="13" width="11.5703125" style="224" hidden="1" customWidth="1"/>
    <col min="14" max="14" width="29.85546875" style="224" hidden="1" customWidth="1"/>
    <col min="15" max="15" width="16.140625" style="224" hidden="1" customWidth="1"/>
    <col min="16" max="16" width="24.42578125" style="224" customWidth="1"/>
    <col min="17" max="17" width="8.7109375" style="224" customWidth="1"/>
    <col min="18" max="18" width="28.85546875" style="224" customWidth="1"/>
    <col min="19" max="19" width="17.28515625" style="101" customWidth="1"/>
    <col min="20" max="20" width="25.5703125" style="223" customWidth="1"/>
    <col min="21" max="21" width="20.85546875" style="101" customWidth="1"/>
    <col min="22" max="23" width="28.140625" style="101" customWidth="1"/>
    <col min="24" max="24" width="17.85546875" style="101" customWidth="1"/>
    <col min="25" max="25" width="18" style="101" customWidth="1"/>
    <col min="26" max="26" width="23.5703125" style="101" customWidth="1"/>
    <col min="27" max="27" width="24.85546875" style="101" customWidth="1"/>
    <col min="28" max="28" width="18" style="101" customWidth="1"/>
    <col min="29" max="29" width="12.85546875" style="101" customWidth="1"/>
    <col min="30" max="30" width="18.42578125" style="101" customWidth="1"/>
    <col min="31" max="31" width="21.42578125" style="101" customWidth="1"/>
    <col min="32" max="32" width="17.140625" style="225" customWidth="1"/>
    <col min="33" max="33" width="20.85546875" style="225" customWidth="1"/>
    <col min="34" max="34" width="9.140625" style="225" customWidth="1"/>
    <col min="35" max="35" width="15.28515625" style="101" customWidth="1"/>
    <col min="36" max="36" width="10.140625" style="101" customWidth="1"/>
    <col min="37" max="37" width="17.28515625" style="101" customWidth="1"/>
    <col min="38" max="38" width="9.85546875" style="101" customWidth="1"/>
    <col min="39" max="39" width="24.7109375" style="101" customWidth="1"/>
    <col min="40" max="40" width="15.140625" style="101" customWidth="1"/>
    <col min="41" max="41" width="21.5703125" style="101" customWidth="1"/>
    <col min="42" max="42" width="18.42578125" style="101" customWidth="1"/>
    <col min="43" max="43" width="20.42578125" style="101" customWidth="1"/>
    <col min="44" max="44" width="14" style="101" customWidth="1"/>
    <col min="45" max="45" width="15.85546875" style="101" customWidth="1"/>
    <col min="46" max="46" width="15.28515625" style="101" customWidth="1"/>
    <col min="47" max="47" width="17" style="101" customWidth="1"/>
    <col min="48" max="48" width="17.42578125" style="101" customWidth="1"/>
    <col min="49" max="49" width="18" style="101" customWidth="1"/>
    <col min="50" max="50" width="21.7109375" style="101" customWidth="1"/>
    <col min="51" max="51" width="18.7109375" style="101" customWidth="1"/>
    <col min="52" max="52" width="32.140625" style="101" customWidth="1"/>
    <col min="53" max="54" width="20.140625" style="101"/>
    <col min="55" max="16384" width="20.140625" style="96"/>
  </cols>
  <sheetData>
    <row r="1" spans="1:54" s="96" customFormat="1" ht="24">
      <c r="A1" s="102" t="s">
        <v>72</v>
      </c>
      <c r="B1" s="103" t="s">
        <v>73</v>
      </c>
      <c r="C1" s="103" t="s">
        <v>74</v>
      </c>
      <c r="D1" s="103" t="s">
        <v>75</v>
      </c>
      <c r="E1" s="242" t="s">
        <v>76</v>
      </c>
      <c r="F1" s="242" t="s">
        <v>77</v>
      </c>
      <c r="G1" s="242" t="s">
        <v>78</v>
      </c>
      <c r="H1" s="242" t="s">
        <v>79</v>
      </c>
      <c r="I1" s="104" t="s">
        <v>80</v>
      </c>
      <c r="J1" s="242" t="s">
        <v>81</v>
      </c>
      <c r="K1" s="103" t="s">
        <v>82</v>
      </c>
      <c r="L1" s="105" t="s">
        <v>83</v>
      </c>
      <c r="M1" s="242" t="s">
        <v>84</v>
      </c>
      <c r="N1" s="242" t="s">
        <v>85</v>
      </c>
      <c r="O1" s="242" t="s">
        <v>86</v>
      </c>
      <c r="P1" s="106" t="s">
        <v>87</v>
      </c>
      <c r="Q1" s="104" t="s">
        <v>80</v>
      </c>
      <c r="R1" s="104" t="s">
        <v>88</v>
      </c>
      <c r="S1" s="104" t="s">
        <v>89</v>
      </c>
      <c r="T1" s="107" t="s">
        <v>90</v>
      </c>
      <c r="U1" s="242" t="s">
        <v>91</v>
      </c>
      <c r="V1" s="104" t="s">
        <v>92</v>
      </c>
      <c r="W1" s="104" t="s">
        <v>93</v>
      </c>
      <c r="X1" s="104" t="s">
        <v>94</v>
      </c>
      <c r="Y1" s="104" t="s">
        <v>95</v>
      </c>
      <c r="Z1" s="104" t="s">
        <v>96</v>
      </c>
      <c r="AA1" s="104" t="s">
        <v>97</v>
      </c>
      <c r="AB1" s="104" t="s">
        <v>98</v>
      </c>
      <c r="AC1" s="102" t="s">
        <v>99</v>
      </c>
      <c r="AD1" s="108" t="s">
        <v>100</v>
      </c>
      <c r="AE1" s="108" t="s">
        <v>101</v>
      </c>
      <c r="AF1" s="108" t="s">
        <v>102</v>
      </c>
      <c r="AG1" s="108" t="s">
        <v>87</v>
      </c>
      <c r="AH1" s="108" t="s">
        <v>80</v>
      </c>
      <c r="AI1" s="108" t="s">
        <v>81</v>
      </c>
      <c r="AJ1" s="108" t="s">
        <v>82</v>
      </c>
      <c r="AK1" s="108" t="s">
        <v>103</v>
      </c>
      <c r="AL1" s="109" t="s">
        <v>84</v>
      </c>
      <c r="AM1" s="108" t="s">
        <v>91</v>
      </c>
      <c r="AN1" s="108" t="s">
        <v>104</v>
      </c>
      <c r="AO1" s="108" t="s">
        <v>105</v>
      </c>
      <c r="AP1" s="108" t="s">
        <v>106</v>
      </c>
      <c r="AQ1" s="108" t="s">
        <v>107</v>
      </c>
      <c r="AR1" s="108" t="s">
        <v>108</v>
      </c>
      <c r="AS1" s="108" t="s">
        <v>109</v>
      </c>
      <c r="AT1" s="108" t="s">
        <v>110</v>
      </c>
      <c r="AU1" s="108" t="s">
        <v>111</v>
      </c>
      <c r="AV1" s="110" t="s">
        <v>112</v>
      </c>
      <c r="AW1" s="110" t="s">
        <v>113</v>
      </c>
      <c r="AX1" s="110" t="s">
        <v>114</v>
      </c>
      <c r="AY1" s="110" t="s">
        <v>115</v>
      </c>
      <c r="AZ1" s="102" t="s">
        <v>116</v>
      </c>
      <c r="BA1" s="102" t="s">
        <v>117</v>
      </c>
      <c r="BB1" s="102"/>
    </row>
    <row r="2" spans="1:54" s="96" customFormat="1" ht="12.95">
      <c r="A2" s="180" t="s">
        <v>28</v>
      </c>
      <c r="B2" s="180" t="s">
        <v>28</v>
      </c>
      <c r="C2" s="114" t="s">
        <v>118</v>
      </c>
      <c r="D2" s="111" t="s">
        <v>119</v>
      </c>
      <c r="E2" s="181" t="s">
        <v>120</v>
      </c>
      <c r="F2" s="114" t="s">
        <v>121</v>
      </c>
      <c r="G2" s="182" t="s">
        <v>122</v>
      </c>
      <c r="H2" s="182" t="s">
        <v>123</v>
      </c>
      <c r="I2" s="111" t="str">
        <f t="shared" ref="I2:I33" si="0">IF(G2="Rack","No of Racks",(IF(G2="Space","Sq Ft","U Space")))</f>
        <v>No of Racks</v>
      </c>
      <c r="J2" s="183">
        <v>50</v>
      </c>
      <c r="K2" s="183">
        <v>50</v>
      </c>
      <c r="L2" s="184">
        <f t="shared" ref="L2:L33" si="1">J2-K2</f>
        <v>0</v>
      </c>
      <c r="M2" s="111">
        <f t="shared" ref="M2:M33" si="2">J2</f>
        <v>50</v>
      </c>
      <c r="N2" s="111">
        <f t="shared" ref="N2:N33" si="3">J2-M2</f>
        <v>0</v>
      </c>
      <c r="O2" s="185">
        <f>316000/12</f>
        <v>26333.333333333332</v>
      </c>
      <c r="P2" s="186" t="str">
        <f t="shared" ref="P2:P33" si="4">E2</f>
        <v>Subscribed</v>
      </c>
      <c r="Q2" s="182" t="s">
        <v>124</v>
      </c>
      <c r="R2" s="187">
        <v>305</v>
      </c>
      <c r="S2" s="178">
        <f>AF2/672</f>
        <v>63.639211309523816</v>
      </c>
      <c r="T2" s="177">
        <f>R2-S2</f>
        <v>241.36078869047617</v>
      </c>
      <c r="U2" s="111">
        <v>0</v>
      </c>
      <c r="V2" s="178">
        <f>IF(T2&lt;=0,0,(IF(P2="Rated",(T2+U2)*#REF!,(T2+U2))))</f>
        <v>241.36078869047617</v>
      </c>
      <c r="W2" s="178">
        <f>IF(P2="Rated",R2*#REF!,R2)</f>
        <v>305</v>
      </c>
      <c r="X2" s="178">
        <f t="shared" ref="X2:X33" si="5">S2</f>
        <v>63.639211309523816</v>
      </c>
      <c r="Y2" s="178">
        <f t="shared" ref="Y2:Y33" si="6">S2</f>
        <v>63.639211309523816</v>
      </c>
      <c r="Z2" s="178">
        <f t="shared" ref="Z2:Z33" si="7">T2*-1</f>
        <v>-241.36078869047617</v>
      </c>
      <c r="AA2" s="188"/>
      <c r="AB2" s="189" t="s">
        <v>121</v>
      </c>
      <c r="AC2" s="111">
        <v>1.6</v>
      </c>
      <c r="AD2" s="190" t="s">
        <v>125</v>
      </c>
      <c r="AE2" s="111"/>
      <c r="AF2" s="226">
        <v>42765.55</v>
      </c>
      <c r="AG2" s="191" t="s">
        <v>126</v>
      </c>
      <c r="AH2" s="111" t="s">
        <v>127</v>
      </c>
      <c r="AI2" s="111">
        <v>5</v>
      </c>
      <c r="AJ2" s="111">
        <v>5</v>
      </c>
      <c r="AK2" s="111">
        <f t="shared" ref="AK2:AK33" si="8">AI2-AJ2</f>
        <v>0</v>
      </c>
      <c r="AL2" s="111">
        <f t="shared" ref="AL2:AL33" si="9">AI2</f>
        <v>5</v>
      </c>
      <c r="AM2" s="111">
        <v>0</v>
      </c>
      <c r="AN2" s="192"/>
      <c r="AO2" s="193">
        <f t="shared" ref="AO2:AO36" si="10">O2*M2</f>
        <v>1316666.6666666665</v>
      </c>
      <c r="AP2" s="188"/>
      <c r="AQ2" s="188">
        <f t="shared" ref="AQ2:AQ36" si="11">AF2*AE2*AC2</f>
        <v>0</v>
      </c>
      <c r="AR2" s="188">
        <f t="shared" ref="AR2:AR36" si="12">AN2*AL2</f>
        <v>0</v>
      </c>
      <c r="AS2" s="185"/>
      <c r="AT2" s="194">
        <f t="shared" ref="AT2:AT36" si="13">SUBTOTAL(9,AO2:AS2)</f>
        <v>1316666.6666666665</v>
      </c>
      <c r="AU2" s="194"/>
      <c r="AV2" s="195"/>
      <c r="AW2" s="112"/>
      <c r="AX2" s="111"/>
      <c r="AY2" s="112"/>
      <c r="AZ2" s="111"/>
      <c r="BA2" s="111"/>
      <c r="BB2" s="111"/>
    </row>
    <row r="3" spans="1:54" s="96" customFormat="1" ht="12.95">
      <c r="A3" s="180" t="s">
        <v>30</v>
      </c>
      <c r="B3" s="180" t="s">
        <v>30</v>
      </c>
      <c r="C3" s="111" t="s">
        <v>128</v>
      </c>
      <c r="D3" s="111" t="s">
        <v>119</v>
      </c>
      <c r="E3" s="182" t="s">
        <v>120</v>
      </c>
      <c r="F3" s="190" t="s">
        <v>121</v>
      </c>
      <c r="G3" s="182" t="s">
        <v>122</v>
      </c>
      <c r="H3" s="182" t="s">
        <v>123</v>
      </c>
      <c r="I3" s="111" t="str">
        <f t="shared" si="0"/>
        <v>No of Racks</v>
      </c>
      <c r="J3" s="183">
        <v>255</v>
      </c>
      <c r="K3" s="183">
        <v>255</v>
      </c>
      <c r="L3" s="184">
        <f t="shared" si="1"/>
        <v>0</v>
      </c>
      <c r="M3" s="111">
        <f t="shared" si="2"/>
        <v>255</v>
      </c>
      <c r="N3" s="111">
        <f t="shared" si="3"/>
        <v>0</v>
      </c>
      <c r="O3" s="185">
        <f>((280000)+(81840))/12</f>
        <v>30153.333333333332</v>
      </c>
      <c r="P3" s="186" t="str">
        <f t="shared" si="4"/>
        <v>Subscribed</v>
      </c>
      <c r="Q3" s="182" t="s">
        <v>6</v>
      </c>
      <c r="R3" s="187">
        <v>1020</v>
      </c>
      <c r="S3" s="178">
        <f t="shared" ref="S3:S5" si="14">AF3/672</f>
        <v>530.03111607142853</v>
      </c>
      <c r="T3" s="177">
        <f t="shared" ref="T3:T33" si="15">R3-S3</f>
        <v>489.96888392857147</v>
      </c>
      <c r="U3" s="111">
        <v>0</v>
      </c>
      <c r="V3" s="178">
        <f>IF(T3&lt;=0,0,(IF(P3="Rated",(T3+U3)*#REF!,(T3+U3))))</f>
        <v>489.96888392857147</v>
      </c>
      <c r="W3" s="178">
        <f>IF(P3="Rated",R3*#REF!,R3)</f>
        <v>1020</v>
      </c>
      <c r="X3" s="178">
        <f t="shared" si="5"/>
        <v>530.03111607142853</v>
      </c>
      <c r="Y3" s="178">
        <f t="shared" si="6"/>
        <v>530.03111607142853</v>
      </c>
      <c r="Z3" s="178">
        <f t="shared" si="7"/>
        <v>-489.96888392857147</v>
      </c>
      <c r="AA3" s="188"/>
      <c r="AB3" s="189" t="s">
        <v>121</v>
      </c>
      <c r="AC3" s="111">
        <v>1.75</v>
      </c>
      <c r="AD3" s="190" t="s">
        <v>129</v>
      </c>
      <c r="AE3" s="111"/>
      <c r="AF3" s="227">
        <v>356180.91</v>
      </c>
      <c r="AG3" s="191" t="s">
        <v>126</v>
      </c>
      <c r="AH3" s="111" t="s">
        <v>127</v>
      </c>
      <c r="AI3" s="111">
        <v>28</v>
      </c>
      <c r="AJ3" s="111">
        <v>28</v>
      </c>
      <c r="AK3" s="111">
        <f t="shared" si="8"/>
        <v>0</v>
      </c>
      <c r="AL3" s="111">
        <f t="shared" si="9"/>
        <v>28</v>
      </c>
      <c r="AM3" s="111">
        <v>0</v>
      </c>
      <c r="AN3" s="192">
        <v>4112</v>
      </c>
      <c r="AO3" s="193">
        <f t="shared" si="10"/>
        <v>7689100</v>
      </c>
      <c r="AP3" s="188"/>
      <c r="AQ3" s="188">
        <f t="shared" si="11"/>
        <v>0</v>
      </c>
      <c r="AR3" s="188">
        <f t="shared" si="12"/>
        <v>115136</v>
      </c>
      <c r="AS3" s="185">
        <v>875306</v>
      </c>
      <c r="AT3" s="194">
        <f t="shared" si="13"/>
        <v>8679542</v>
      </c>
      <c r="AU3" s="194"/>
      <c r="AV3" s="195"/>
      <c r="AW3" s="112"/>
      <c r="AX3" s="111"/>
      <c r="AY3" s="112"/>
      <c r="AZ3" s="111"/>
      <c r="BA3" s="111"/>
      <c r="BB3" s="111"/>
    </row>
    <row r="4" spans="1:54" s="96" customFormat="1" ht="12.95">
      <c r="A4" s="180" t="s">
        <v>29</v>
      </c>
      <c r="B4" s="180" t="s">
        <v>130</v>
      </c>
      <c r="C4" s="111" t="s">
        <v>131</v>
      </c>
      <c r="D4" s="111" t="s">
        <v>119</v>
      </c>
      <c r="E4" s="182" t="s">
        <v>120</v>
      </c>
      <c r="F4" s="190" t="s">
        <v>121</v>
      </c>
      <c r="G4" s="182" t="s">
        <v>122</v>
      </c>
      <c r="H4" s="182" t="s">
        <v>123</v>
      </c>
      <c r="I4" s="111" t="str">
        <f t="shared" si="0"/>
        <v>No of Racks</v>
      </c>
      <c r="J4" s="183">
        <v>55</v>
      </c>
      <c r="K4" s="183">
        <v>55</v>
      </c>
      <c r="L4" s="184">
        <f t="shared" si="1"/>
        <v>0</v>
      </c>
      <c r="M4" s="111">
        <f t="shared" si="2"/>
        <v>55</v>
      </c>
      <c r="N4" s="111">
        <f t="shared" si="3"/>
        <v>0</v>
      </c>
      <c r="O4" s="185">
        <v>38896</v>
      </c>
      <c r="P4" s="186" t="str">
        <f t="shared" si="4"/>
        <v>Subscribed</v>
      </c>
      <c r="Q4" s="182" t="s">
        <v>6</v>
      </c>
      <c r="R4" s="187">
        <v>452</v>
      </c>
      <c r="S4" s="178">
        <f t="shared" si="14"/>
        <v>173.07907738095238</v>
      </c>
      <c r="T4" s="177">
        <f t="shared" si="15"/>
        <v>278.92092261904759</v>
      </c>
      <c r="U4" s="111">
        <v>0</v>
      </c>
      <c r="V4" s="178">
        <f>IF(T4&lt;=0,0,(IF(P4="Rated",(T4+U4)*#REF!,(T4+U4))))</f>
        <v>278.92092261904759</v>
      </c>
      <c r="W4" s="178">
        <f>IF(P4="Rated",R4*#REF!,R4)</f>
        <v>452</v>
      </c>
      <c r="X4" s="178">
        <f t="shared" si="5"/>
        <v>173.07907738095238</v>
      </c>
      <c r="Y4" s="178">
        <f t="shared" si="6"/>
        <v>173.07907738095238</v>
      </c>
      <c r="Z4" s="178">
        <f t="shared" si="7"/>
        <v>-278.92092261904759</v>
      </c>
      <c r="AA4" s="188"/>
      <c r="AB4" s="189" t="s">
        <v>121</v>
      </c>
      <c r="AC4" s="111">
        <v>1.8</v>
      </c>
      <c r="AD4" s="178"/>
      <c r="AE4" s="111"/>
      <c r="AF4" s="227">
        <v>116309.14</v>
      </c>
      <c r="AG4" s="191" t="s">
        <v>126</v>
      </c>
      <c r="AH4" s="111" t="s">
        <v>127</v>
      </c>
      <c r="AI4" s="111">
        <v>8</v>
      </c>
      <c r="AJ4" s="111">
        <v>8</v>
      </c>
      <c r="AK4" s="111">
        <f t="shared" si="8"/>
        <v>0</v>
      </c>
      <c r="AL4" s="111">
        <f t="shared" si="9"/>
        <v>8</v>
      </c>
      <c r="AM4" s="111">
        <v>0</v>
      </c>
      <c r="AN4" s="192"/>
      <c r="AO4" s="193">
        <f t="shared" si="10"/>
        <v>2139280</v>
      </c>
      <c r="AP4" s="188"/>
      <c r="AQ4" s="188">
        <f t="shared" si="11"/>
        <v>0</v>
      </c>
      <c r="AR4" s="188">
        <f t="shared" si="12"/>
        <v>0</v>
      </c>
      <c r="AS4" s="185"/>
      <c r="AT4" s="194">
        <f t="shared" si="13"/>
        <v>2139280</v>
      </c>
      <c r="AU4" s="194"/>
      <c r="AV4" s="195"/>
      <c r="AW4" s="112"/>
      <c r="AX4" s="111"/>
      <c r="AY4" s="112"/>
      <c r="AZ4" s="111"/>
      <c r="BA4" s="111"/>
      <c r="BB4" s="111"/>
    </row>
    <row r="5" spans="1:54" s="96" customFormat="1" ht="12.95">
      <c r="A5" s="180" t="s">
        <v>29</v>
      </c>
      <c r="B5" s="180" t="s">
        <v>130</v>
      </c>
      <c r="C5" s="111" t="s">
        <v>132</v>
      </c>
      <c r="D5" s="111" t="s">
        <v>133</v>
      </c>
      <c r="E5" s="182" t="s">
        <v>120</v>
      </c>
      <c r="F5" s="190" t="s">
        <v>121</v>
      </c>
      <c r="G5" s="182" t="s">
        <v>122</v>
      </c>
      <c r="H5" s="182" t="s">
        <v>134</v>
      </c>
      <c r="I5" s="111" t="str">
        <f t="shared" si="0"/>
        <v>No of Racks</v>
      </c>
      <c r="J5" s="183">
        <v>5</v>
      </c>
      <c r="K5" s="183">
        <v>5</v>
      </c>
      <c r="L5" s="184">
        <f t="shared" si="1"/>
        <v>0</v>
      </c>
      <c r="M5" s="111">
        <f t="shared" si="2"/>
        <v>5</v>
      </c>
      <c r="N5" s="111">
        <f t="shared" si="3"/>
        <v>0</v>
      </c>
      <c r="O5" s="185">
        <f>1232624/12/5</f>
        <v>20543.733333333334</v>
      </c>
      <c r="P5" s="186" t="str">
        <f t="shared" si="4"/>
        <v>Subscribed</v>
      </c>
      <c r="Q5" s="182" t="s">
        <v>6</v>
      </c>
      <c r="R5" s="187">
        <v>45</v>
      </c>
      <c r="S5" s="178">
        <f t="shared" si="14"/>
        <v>17.058184523809523</v>
      </c>
      <c r="T5" s="177">
        <f t="shared" si="15"/>
        <v>27.941815476190477</v>
      </c>
      <c r="U5" s="111">
        <v>0</v>
      </c>
      <c r="V5" s="178">
        <f>IF(T5&lt;=0,0,(IF(P5="Rated",(T5+U5)*#REF!,(T5+U5))))</f>
        <v>27.941815476190477</v>
      </c>
      <c r="W5" s="178">
        <f>IF(P5="Rated",R5*#REF!,R5)</f>
        <v>45</v>
      </c>
      <c r="X5" s="178">
        <f t="shared" si="5"/>
        <v>17.058184523809523</v>
      </c>
      <c r="Y5" s="178">
        <f t="shared" si="6"/>
        <v>17.058184523809523</v>
      </c>
      <c r="Z5" s="178">
        <f t="shared" si="7"/>
        <v>-27.941815476190477</v>
      </c>
      <c r="AA5" s="188"/>
      <c r="AB5" s="189" t="s">
        <v>121</v>
      </c>
      <c r="AC5" s="111">
        <v>1.8</v>
      </c>
      <c r="AD5" s="178"/>
      <c r="AE5" s="111"/>
      <c r="AF5" s="227">
        <v>11463.1</v>
      </c>
      <c r="AG5" s="191" t="s">
        <v>126</v>
      </c>
      <c r="AH5" s="111" t="s">
        <v>127</v>
      </c>
      <c r="AI5" s="111">
        <v>0</v>
      </c>
      <c r="AJ5" s="111">
        <v>0</v>
      </c>
      <c r="AK5" s="111">
        <f t="shared" si="8"/>
        <v>0</v>
      </c>
      <c r="AL5" s="111">
        <f t="shared" si="9"/>
        <v>0</v>
      </c>
      <c r="AM5" s="111">
        <v>0</v>
      </c>
      <c r="AN5" s="192"/>
      <c r="AO5" s="193">
        <f t="shared" si="10"/>
        <v>102718.66666666667</v>
      </c>
      <c r="AP5" s="188"/>
      <c r="AQ5" s="188">
        <f t="shared" si="11"/>
        <v>0</v>
      </c>
      <c r="AR5" s="188">
        <f t="shared" si="12"/>
        <v>0</v>
      </c>
      <c r="AS5" s="185"/>
      <c r="AT5" s="194">
        <f t="shared" si="13"/>
        <v>102718.66666666667</v>
      </c>
      <c r="AU5" s="194"/>
      <c r="AV5" s="195"/>
      <c r="AW5" s="112"/>
      <c r="AX5" s="111"/>
      <c r="AY5" s="112"/>
      <c r="AZ5" s="111"/>
      <c r="BA5" s="111"/>
      <c r="BB5" s="111"/>
    </row>
    <row r="6" spans="1:54" s="96" customFormat="1" ht="11.45">
      <c r="A6" s="180" t="s">
        <v>29</v>
      </c>
      <c r="B6" s="180" t="s">
        <v>130</v>
      </c>
      <c r="C6" s="195" t="s">
        <v>135</v>
      </c>
      <c r="D6" s="111" t="s">
        <v>133</v>
      </c>
      <c r="E6" s="182" t="s">
        <v>136</v>
      </c>
      <c r="F6" s="190" t="s">
        <v>137</v>
      </c>
      <c r="G6" s="182" t="s">
        <v>122</v>
      </c>
      <c r="H6" s="182" t="s">
        <v>134</v>
      </c>
      <c r="I6" s="111" t="str">
        <f t="shared" si="0"/>
        <v>No of Racks</v>
      </c>
      <c r="J6" s="196">
        <v>1</v>
      </c>
      <c r="K6" s="196">
        <v>1</v>
      </c>
      <c r="L6" s="184">
        <f t="shared" si="1"/>
        <v>0</v>
      </c>
      <c r="M6" s="111">
        <f t="shared" si="2"/>
        <v>1</v>
      </c>
      <c r="N6" s="111">
        <f t="shared" si="3"/>
        <v>0</v>
      </c>
      <c r="O6" s="185"/>
      <c r="P6" s="186" t="str">
        <f t="shared" si="4"/>
        <v>Rated</v>
      </c>
      <c r="Q6" s="182" t="s">
        <v>6</v>
      </c>
      <c r="R6" s="197">
        <v>12</v>
      </c>
      <c r="S6" s="178">
        <v>11.61</v>
      </c>
      <c r="T6" s="177">
        <f t="shared" si="15"/>
        <v>0.39000000000000057</v>
      </c>
      <c r="U6" s="111">
        <v>0</v>
      </c>
      <c r="V6" s="178" t="e">
        <f>IF(T6&lt;=0,0,(IF(P6="Rated",(T6+U6)*#REF!,(T6+U6))))</f>
        <v>#REF!</v>
      </c>
      <c r="W6" s="178" t="e">
        <f>IF(P6="Rated",R6*#REF!,R6)</f>
        <v>#REF!</v>
      </c>
      <c r="X6" s="178">
        <f t="shared" si="5"/>
        <v>11.61</v>
      </c>
      <c r="Y6" s="178">
        <f t="shared" si="6"/>
        <v>11.61</v>
      </c>
      <c r="Z6" s="178">
        <f t="shared" si="7"/>
        <v>-0.39000000000000057</v>
      </c>
      <c r="AA6" s="188">
        <f>90000/12</f>
        <v>7500</v>
      </c>
      <c r="AB6" s="189" t="s">
        <v>136</v>
      </c>
      <c r="AC6" s="111">
        <v>1.8</v>
      </c>
      <c r="AD6" s="178"/>
      <c r="AE6" s="198"/>
      <c r="AF6" s="198"/>
      <c r="AG6" s="191" t="s">
        <v>126</v>
      </c>
      <c r="AH6" s="111" t="s">
        <v>127</v>
      </c>
      <c r="AI6" s="111">
        <v>0</v>
      </c>
      <c r="AJ6" s="111">
        <v>0</v>
      </c>
      <c r="AK6" s="111">
        <f t="shared" si="8"/>
        <v>0</v>
      </c>
      <c r="AL6" s="111">
        <f t="shared" si="9"/>
        <v>0</v>
      </c>
      <c r="AM6" s="111">
        <v>0</v>
      </c>
      <c r="AN6" s="192"/>
      <c r="AO6" s="193">
        <f t="shared" si="10"/>
        <v>0</v>
      </c>
      <c r="AP6" s="188"/>
      <c r="AQ6" s="188">
        <f t="shared" si="11"/>
        <v>0</v>
      </c>
      <c r="AR6" s="188">
        <f t="shared" si="12"/>
        <v>0</v>
      </c>
      <c r="AS6" s="185"/>
      <c r="AT6" s="194">
        <f t="shared" si="13"/>
        <v>0</v>
      </c>
      <c r="AU6" s="194"/>
      <c r="AV6" s="195"/>
      <c r="AW6" s="112"/>
      <c r="AX6" s="111"/>
      <c r="AY6" s="112"/>
      <c r="AZ6" s="111"/>
      <c r="BA6" s="111"/>
      <c r="BB6" s="111"/>
    </row>
    <row r="7" spans="1:54" s="96" customFormat="1" ht="12.95">
      <c r="A7" s="180" t="s">
        <v>29</v>
      </c>
      <c r="B7" s="180" t="s">
        <v>138</v>
      </c>
      <c r="C7" s="113" t="s">
        <v>139</v>
      </c>
      <c r="D7" s="111" t="s">
        <v>119</v>
      </c>
      <c r="E7" s="182" t="s">
        <v>120</v>
      </c>
      <c r="F7" s="190" t="s">
        <v>121</v>
      </c>
      <c r="G7" s="182" t="s">
        <v>140</v>
      </c>
      <c r="H7" s="182" t="s">
        <v>123</v>
      </c>
      <c r="I7" s="111" t="str">
        <f t="shared" si="0"/>
        <v>Sq Ft</v>
      </c>
      <c r="J7" s="196">
        <v>600</v>
      </c>
      <c r="K7" s="196">
        <v>600</v>
      </c>
      <c r="L7" s="184">
        <f t="shared" si="1"/>
        <v>0</v>
      </c>
      <c r="M7" s="111">
        <f t="shared" si="2"/>
        <v>600</v>
      </c>
      <c r="N7" s="111">
        <f t="shared" si="3"/>
        <v>0</v>
      </c>
      <c r="O7" s="185">
        <v>736</v>
      </c>
      <c r="P7" s="186" t="str">
        <f t="shared" si="4"/>
        <v>Subscribed</v>
      </c>
      <c r="Q7" s="182" t="s">
        <v>6</v>
      </c>
      <c r="R7" s="197">
        <v>60</v>
      </c>
      <c r="S7" s="178">
        <f t="shared" ref="S7:S12" si="16">AF7/672</f>
        <v>58.063288690476192</v>
      </c>
      <c r="T7" s="177">
        <f t="shared" si="15"/>
        <v>1.9367113095238082</v>
      </c>
      <c r="U7" s="178">
        <v>0</v>
      </c>
      <c r="V7" s="178">
        <f>IF(T7&lt;=0,0,(IF(P7="Rated",(T7+U7)*#REF!,(T7+U7))))</f>
        <v>1.9367113095238082</v>
      </c>
      <c r="W7" s="178">
        <f>IF(P7="Rated",R7*#REF!,R7)</f>
        <v>60</v>
      </c>
      <c r="X7" s="178">
        <f t="shared" si="5"/>
        <v>58.063288690476192</v>
      </c>
      <c r="Y7" s="178">
        <f t="shared" si="6"/>
        <v>58.063288690476192</v>
      </c>
      <c r="Z7" s="178">
        <f t="shared" si="7"/>
        <v>-1.9367113095238082</v>
      </c>
      <c r="AA7" s="188"/>
      <c r="AB7" s="199" t="s">
        <v>121</v>
      </c>
      <c r="AC7" s="111">
        <v>1.8</v>
      </c>
      <c r="AD7" s="178"/>
      <c r="AE7" s="111"/>
      <c r="AF7" s="227">
        <v>39018.53</v>
      </c>
      <c r="AG7" s="191" t="s">
        <v>126</v>
      </c>
      <c r="AH7" s="111" t="s">
        <v>127</v>
      </c>
      <c r="AI7" s="200">
        <v>10</v>
      </c>
      <c r="AJ7" s="200">
        <v>10</v>
      </c>
      <c r="AK7" s="111">
        <f t="shared" si="8"/>
        <v>0</v>
      </c>
      <c r="AL7" s="200">
        <f t="shared" si="9"/>
        <v>10</v>
      </c>
      <c r="AM7" s="111">
        <v>0</v>
      </c>
      <c r="AN7" s="192"/>
      <c r="AO7" s="193">
        <f t="shared" si="10"/>
        <v>441600</v>
      </c>
      <c r="AP7" s="188"/>
      <c r="AQ7" s="188">
        <f t="shared" si="11"/>
        <v>0</v>
      </c>
      <c r="AR7" s="188">
        <f t="shared" si="12"/>
        <v>0</v>
      </c>
      <c r="AS7" s="185"/>
      <c r="AT7" s="194">
        <f t="shared" si="13"/>
        <v>441600</v>
      </c>
      <c r="AU7" s="194"/>
      <c r="AV7" s="195"/>
      <c r="AW7" s="112"/>
      <c r="AX7" s="111"/>
      <c r="AY7" s="112"/>
      <c r="AZ7" s="111"/>
      <c r="BA7" s="111"/>
      <c r="BB7" s="111"/>
    </row>
    <row r="8" spans="1:54" s="96" customFormat="1" ht="12.95">
      <c r="A8" s="180" t="s">
        <v>29</v>
      </c>
      <c r="B8" s="180" t="s">
        <v>138</v>
      </c>
      <c r="C8" s="117" t="s">
        <v>141</v>
      </c>
      <c r="D8" s="111" t="s">
        <v>119</v>
      </c>
      <c r="E8" s="182" t="s">
        <v>120</v>
      </c>
      <c r="F8" s="190" t="s">
        <v>121</v>
      </c>
      <c r="G8" s="182" t="s">
        <v>122</v>
      </c>
      <c r="H8" s="182" t="s">
        <v>134</v>
      </c>
      <c r="I8" s="111" t="str">
        <f t="shared" si="0"/>
        <v>No of Racks</v>
      </c>
      <c r="J8" s="196">
        <v>14</v>
      </c>
      <c r="K8" s="196">
        <v>14</v>
      </c>
      <c r="L8" s="184">
        <f t="shared" si="1"/>
        <v>0</v>
      </c>
      <c r="M8" s="111">
        <f t="shared" si="2"/>
        <v>14</v>
      </c>
      <c r="N8" s="111">
        <f t="shared" si="3"/>
        <v>0</v>
      </c>
      <c r="O8" s="185">
        <f>160000/12</f>
        <v>13333.333333333334</v>
      </c>
      <c r="P8" s="186" t="str">
        <f t="shared" si="4"/>
        <v>Subscribed</v>
      </c>
      <c r="Q8" s="182" t="s">
        <v>6</v>
      </c>
      <c r="R8" s="197">
        <v>102.5</v>
      </c>
      <c r="S8" s="178">
        <f t="shared" si="16"/>
        <v>26.249747023809526</v>
      </c>
      <c r="T8" s="177">
        <f t="shared" si="15"/>
        <v>76.250252976190467</v>
      </c>
      <c r="U8" s="178">
        <v>0</v>
      </c>
      <c r="V8" s="178">
        <f>IF(T8&lt;=0,0,(IF(P8="Rated",(T8+U8)*#REF!,(T8+U8))))</f>
        <v>76.250252976190467</v>
      </c>
      <c r="W8" s="178">
        <f>IF(P8="Rated",R8*#REF!,R8)</f>
        <v>102.5</v>
      </c>
      <c r="X8" s="178">
        <f t="shared" si="5"/>
        <v>26.249747023809526</v>
      </c>
      <c r="Y8" s="178">
        <f t="shared" si="6"/>
        <v>26.249747023809526</v>
      </c>
      <c r="Z8" s="178">
        <f t="shared" si="7"/>
        <v>-76.250252976190467</v>
      </c>
      <c r="AA8" s="188"/>
      <c r="AB8" s="199" t="s">
        <v>121</v>
      </c>
      <c r="AC8" s="178">
        <v>1.8</v>
      </c>
      <c r="AD8" s="178"/>
      <c r="AE8" s="111"/>
      <c r="AF8" s="227">
        <v>17639.830000000002</v>
      </c>
      <c r="AG8" s="191" t="s">
        <v>126</v>
      </c>
      <c r="AH8" s="111" t="s">
        <v>127</v>
      </c>
      <c r="AI8" s="200">
        <v>3</v>
      </c>
      <c r="AJ8" s="200">
        <v>3</v>
      </c>
      <c r="AK8" s="111">
        <f t="shared" si="8"/>
        <v>0</v>
      </c>
      <c r="AL8" s="200">
        <f t="shared" si="9"/>
        <v>3</v>
      </c>
      <c r="AM8" s="178">
        <v>0</v>
      </c>
      <c r="AN8" s="192"/>
      <c r="AO8" s="193">
        <f t="shared" si="10"/>
        <v>186666.66666666669</v>
      </c>
      <c r="AP8" s="188"/>
      <c r="AQ8" s="188">
        <f t="shared" si="11"/>
        <v>0</v>
      </c>
      <c r="AR8" s="188">
        <f t="shared" si="12"/>
        <v>0</v>
      </c>
      <c r="AS8" s="185"/>
      <c r="AT8" s="194">
        <f t="shared" si="13"/>
        <v>186666.66666666669</v>
      </c>
      <c r="AU8" s="194"/>
      <c r="AV8" s="195"/>
      <c r="AW8" s="112"/>
      <c r="AX8" s="111"/>
      <c r="AY8" s="112"/>
      <c r="AZ8" s="111"/>
      <c r="BA8" s="111"/>
      <c r="BB8" s="111"/>
    </row>
    <row r="9" spans="1:54" s="96" customFormat="1" ht="12.95">
      <c r="A9" s="180" t="s">
        <v>29</v>
      </c>
      <c r="B9" s="180" t="s">
        <v>138</v>
      </c>
      <c r="C9" s="201" t="s">
        <v>142</v>
      </c>
      <c r="D9" s="111" t="s">
        <v>119</v>
      </c>
      <c r="E9" s="182" t="s">
        <v>120</v>
      </c>
      <c r="F9" s="190" t="s">
        <v>121</v>
      </c>
      <c r="G9" s="182" t="s">
        <v>122</v>
      </c>
      <c r="H9" s="182" t="s">
        <v>123</v>
      </c>
      <c r="I9" s="111" t="str">
        <f t="shared" si="0"/>
        <v>No of Racks</v>
      </c>
      <c r="J9" s="183">
        <v>5</v>
      </c>
      <c r="K9" s="183">
        <v>5</v>
      </c>
      <c r="L9" s="184">
        <f t="shared" si="1"/>
        <v>0</v>
      </c>
      <c r="M9" s="111">
        <f t="shared" si="2"/>
        <v>5</v>
      </c>
      <c r="N9" s="111">
        <f t="shared" si="3"/>
        <v>0</v>
      </c>
      <c r="O9" s="185">
        <v>46250</v>
      </c>
      <c r="P9" s="186" t="str">
        <f t="shared" si="4"/>
        <v>Subscribed</v>
      </c>
      <c r="Q9" s="182" t="s">
        <v>6</v>
      </c>
      <c r="R9" s="187">
        <v>12.5</v>
      </c>
      <c r="S9" s="178">
        <f t="shared" si="16"/>
        <v>10.335580357142858</v>
      </c>
      <c r="T9" s="177">
        <f t="shared" si="15"/>
        <v>2.1644196428571423</v>
      </c>
      <c r="U9" s="178">
        <v>0</v>
      </c>
      <c r="V9" s="178">
        <f>IF(T9&lt;=0,0,(IF(P9="Rated",(T9+U9)*#REF!,(T9+U9))))</f>
        <v>2.1644196428571423</v>
      </c>
      <c r="W9" s="178">
        <f>IF(P9="Rated",R9*#REF!,R9)</f>
        <v>12.5</v>
      </c>
      <c r="X9" s="178">
        <f t="shared" si="5"/>
        <v>10.335580357142858</v>
      </c>
      <c r="Y9" s="178">
        <f t="shared" si="6"/>
        <v>10.335580357142858</v>
      </c>
      <c r="Z9" s="178">
        <f t="shared" si="7"/>
        <v>-2.1644196428571423</v>
      </c>
      <c r="AA9" s="202">
        <f>80000/12</f>
        <v>6666.666666666667</v>
      </c>
      <c r="AB9" s="189" t="s">
        <v>121</v>
      </c>
      <c r="AC9" s="178">
        <v>1.8</v>
      </c>
      <c r="AD9" s="178"/>
      <c r="AE9" s="111"/>
      <c r="AF9" s="227">
        <v>6945.51</v>
      </c>
      <c r="AG9" s="191" t="s">
        <v>126</v>
      </c>
      <c r="AH9" s="111" t="s">
        <v>127</v>
      </c>
      <c r="AI9" s="200">
        <v>1</v>
      </c>
      <c r="AJ9" s="200">
        <v>1</v>
      </c>
      <c r="AK9" s="111">
        <f t="shared" si="8"/>
        <v>0</v>
      </c>
      <c r="AL9" s="200">
        <f t="shared" si="9"/>
        <v>1</v>
      </c>
      <c r="AM9" s="178">
        <v>0</v>
      </c>
      <c r="AN9" s="192"/>
      <c r="AO9" s="193">
        <f t="shared" si="10"/>
        <v>231250</v>
      </c>
      <c r="AP9" s="188"/>
      <c r="AQ9" s="188">
        <f t="shared" si="11"/>
        <v>0</v>
      </c>
      <c r="AR9" s="188">
        <f t="shared" si="12"/>
        <v>0</v>
      </c>
      <c r="AS9" s="185"/>
      <c r="AT9" s="194">
        <f t="shared" si="13"/>
        <v>231250</v>
      </c>
      <c r="AU9" s="194"/>
      <c r="AV9" s="195"/>
      <c r="AW9" s="112"/>
      <c r="AX9" s="111"/>
      <c r="AY9" s="112"/>
      <c r="AZ9" s="111"/>
      <c r="BA9" s="111"/>
      <c r="BB9" s="111"/>
    </row>
    <row r="10" spans="1:54" s="96" customFormat="1" ht="12.95">
      <c r="A10" s="180" t="s">
        <v>29</v>
      </c>
      <c r="B10" s="180" t="s">
        <v>138</v>
      </c>
      <c r="C10" s="114" t="s">
        <v>143</v>
      </c>
      <c r="D10" s="111" t="s">
        <v>119</v>
      </c>
      <c r="E10" s="182" t="s">
        <v>120</v>
      </c>
      <c r="F10" s="190" t="s">
        <v>121</v>
      </c>
      <c r="G10" s="182" t="s">
        <v>122</v>
      </c>
      <c r="H10" s="182" t="s">
        <v>123</v>
      </c>
      <c r="I10" s="111" t="str">
        <f t="shared" si="0"/>
        <v>No of Racks</v>
      </c>
      <c r="J10" s="183">
        <v>18</v>
      </c>
      <c r="K10" s="183">
        <v>18</v>
      </c>
      <c r="L10" s="184">
        <f t="shared" si="1"/>
        <v>0</v>
      </c>
      <c r="M10" s="111">
        <f t="shared" si="2"/>
        <v>18</v>
      </c>
      <c r="N10" s="111">
        <f t="shared" si="3"/>
        <v>0</v>
      </c>
      <c r="O10" s="185">
        <f>3200004/12/18</f>
        <v>14814.833333333334</v>
      </c>
      <c r="P10" s="186" t="str">
        <f t="shared" si="4"/>
        <v>Subscribed</v>
      </c>
      <c r="Q10" s="182" t="s">
        <v>6</v>
      </c>
      <c r="R10" s="187">
        <v>88</v>
      </c>
      <c r="S10" s="178">
        <f t="shared" si="16"/>
        <v>68.001562500000006</v>
      </c>
      <c r="T10" s="177">
        <f t="shared" si="15"/>
        <v>19.998437499999994</v>
      </c>
      <c r="U10" s="178">
        <v>0</v>
      </c>
      <c r="V10" s="178">
        <f>IF(T10&lt;=0,0,(IF(P10="Rated",(T10+U10)*#REF!,(T10+U10))))</f>
        <v>19.998437499999994</v>
      </c>
      <c r="W10" s="178">
        <f>IF(P10="Rated",R10*#REF!,R10)</f>
        <v>88</v>
      </c>
      <c r="X10" s="178">
        <f t="shared" si="5"/>
        <v>68.001562500000006</v>
      </c>
      <c r="Y10" s="178">
        <f t="shared" si="6"/>
        <v>68.001562500000006</v>
      </c>
      <c r="Z10" s="178">
        <f t="shared" si="7"/>
        <v>-19.998437499999994</v>
      </c>
      <c r="AA10" s="188"/>
      <c r="AB10" s="189" t="s">
        <v>121</v>
      </c>
      <c r="AC10" s="178">
        <v>1.8</v>
      </c>
      <c r="AD10" s="178"/>
      <c r="AE10" s="178"/>
      <c r="AF10" s="227">
        <v>45697.05</v>
      </c>
      <c r="AG10" s="191" t="s">
        <v>126</v>
      </c>
      <c r="AH10" s="111" t="s">
        <v>127</v>
      </c>
      <c r="AI10" s="178">
        <v>3</v>
      </c>
      <c r="AJ10" s="178">
        <v>3</v>
      </c>
      <c r="AK10" s="111">
        <f t="shared" si="8"/>
        <v>0</v>
      </c>
      <c r="AL10" s="178">
        <f t="shared" si="9"/>
        <v>3</v>
      </c>
      <c r="AM10" s="178">
        <v>0</v>
      </c>
      <c r="AN10" s="192"/>
      <c r="AO10" s="193">
        <f t="shared" si="10"/>
        <v>266667</v>
      </c>
      <c r="AP10" s="188"/>
      <c r="AQ10" s="188">
        <f t="shared" si="11"/>
        <v>0</v>
      </c>
      <c r="AR10" s="188">
        <f t="shared" si="12"/>
        <v>0</v>
      </c>
      <c r="AS10" s="185"/>
      <c r="AT10" s="194">
        <f t="shared" si="13"/>
        <v>266667</v>
      </c>
      <c r="AU10" s="194"/>
      <c r="AV10" s="195"/>
      <c r="AW10" s="112"/>
      <c r="AX10" s="111"/>
      <c r="AY10" s="112"/>
      <c r="AZ10" s="111"/>
      <c r="BA10" s="111"/>
      <c r="BB10" s="111"/>
    </row>
    <row r="11" spans="1:54" s="96" customFormat="1" ht="12.95">
      <c r="A11" s="180" t="s">
        <v>29</v>
      </c>
      <c r="B11" s="180" t="s">
        <v>138</v>
      </c>
      <c r="C11" s="114" t="s">
        <v>144</v>
      </c>
      <c r="D11" s="111" t="s">
        <v>133</v>
      </c>
      <c r="E11" s="182" t="s">
        <v>120</v>
      </c>
      <c r="F11" s="190" t="s">
        <v>121</v>
      </c>
      <c r="G11" s="182" t="s">
        <v>122</v>
      </c>
      <c r="H11" s="182" t="s">
        <v>134</v>
      </c>
      <c r="I11" s="111" t="str">
        <f t="shared" si="0"/>
        <v>No of Racks</v>
      </c>
      <c r="J11" s="183">
        <v>4</v>
      </c>
      <c r="K11" s="183">
        <v>4</v>
      </c>
      <c r="L11" s="184">
        <f t="shared" si="1"/>
        <v>0</v>
      </c>
      <c r="M11" s="111">
        <f t="shared" si="2"/>
        <v>4</v>
      </c>
      <c r="N11" s="111">
        <f t="shared" si="3"/>
        <v>0</v>
      </c>
      <c r="O11" s="202">
        <f>776000/12/2</f>
        <v>32333.333333333332</v>
      </c>
      <c r="P11" s="186" t="str">
        <f t="shared" si="4"/>
        <v>Subscribed</v>
      </c>
      <c r="Q11" s="182" t="s">
        <v>6</v>
      </c>
      <c r="R11" s="187">
        <v>19</v>
      </c>
      <c r="S11" s="178">
        <f t="shared" si="16"/>
        <v>13.320952380952381</v>
      </c>
      <c r="T11" s="177">
        <f t="shared" si="15"/>
        <v>5.6790476190476191</v>
      </c>
      <c r="U11" s="178">
        <v>0</v>
      </c>
      <c r="V11" s="178">
        <f>IF(T11&lt;=0,0,(IF(P11="Rated",(T11+U11)*#REF!,(T11+U11))))</f>
        <v>5.6790476190476191</v>
      </c>
      <c r="W11" s="178">
        <f>IF(P11="Rated",R11*#REF!,R11)</f>
        <v>19</v>
      </c>
      <c r="X11" s="178">
        <f t="shared" si="5"/>
        <v>13.320952380952381</v>
      </c>
      <c r="Y11" s="178">
        <f t="shared" si="6"/>
        <v>13.320952380952381</v>
      </c>
      <c r="Z11" s="178">
        <f t="shared" si="7"/>
        <v>-5.6790476190476191</v>
      </c>
      <c r="AA11" s="188"/>
      <c r="AB11" s="189" t="s">
        <v>121</v>
      </c>
      <c r="AC11" s="111">
        <v>1.8</v>
      </c>
      <c r="AD11" s="178"/>
      <c r="AE11" s="178"/>
      <c r="AF11" s="227">
        <v>8951.68</v>
      </c>
      <c r="AG11" s="191" t="s">
        <v>126</v>
      </c>
      <c r="AH11" s="111" t="s">
        <v>127</v>
      </c>
      <c r="AI11" s="178">
        <v>0</v>
      </c>
      <c r="AJ11" s="178">
        <v>0</v>
      </c>
      <c r="AK11" s="111">
        <f t="shared" si="8"/>
        <v>0</v>
      </c>
      <c r="AL11" s="178">
        <f t="shared" si="9"/>
        <v>0</v>
      </c>
      <c r="AM11" s="178">
        <v>0</v>
      </c>
      <c r="AN11" s="192"/>
      <c r="AO11" s="193">
        <f t="shared" si="10"/>
        <v>129333.33333333333</v>
      </c>
      <c r="AP11" s="188"/>
      <c r="AQ11" s="188">
        <f t="shared" si="11"/>
        <v>0</v>
      </c>
      <c r="AR11" s="188">
        <f t="shared" si="12"/>
        <v>0</v>
      </c>
      <c r="AS11" s="185"/>
      <c r="AT11" s="194">
        <f t="shared" si="13"/>
        <v>129333.33333333333</v>
      </c>
      <c r="AU11" s="194"/>
      <c r="AV11" s="195"/>
      <c r="AW11" s="112"/>
      <c r="AX11" s="111"/>
      <c r="AY11" s="112"/>
      <c r="AZ11" s="111"/>
      <c r="BA11" s="111"/>
      <c r="BB11" s="111"/>
    </row>
    <row r="12" spans="1:54" s="96" customFormat="1" ht="12.95">
      <c r="A12" s="180" t="s">
        <v>29</v>
      </c>
      <c r="B12" s="180" t="s">
        <v>138</v>
      </c>
      <c r="C12" s="114" t="s">
        <v>145</v>
      </c>
      <c r="D12" s="111" t="s">
        <v>133</v>
      </c>
      <c r="E12" s="182" t="s">
        <v>120</v>
      </c>
      <c r="F12" s="190" t="s">
        <v>121</v>
      </c>
      <c r="G12" s="182" t="s">
        <v>122</v>
      </c>
      <c r="H12" s="182" t="s">
        <v>123</v>
      </c>
      <c r="I12" s="111" t="str">
        <f t="shared" si="0"/>
        <v>No of Racks</v>
      </c>
      <c r="J12" s="183">
        <v>10</v>
      </c>
      <c r="K12" s="183">
        <v>10</v>
      </c>
      <c r="L12" s="184">
        <f t="shared" si="1"/>
        <v>0</v>
      </c>
      <c r="M12" s="111">
        <f t="shared" si="2"/>
        <v>10</v>
      </c>
      <c r="N12" s="111">
        <f t="shared" si="3"/>
        <v>0</v>
      </c>
      <c r="O12" s="185">
        <f>4484415/12/10</f>
        <v>37370.125</v>
      </c>
      <c r="P12" s="186" t="str">
        <f t="shared" si="4"/>
        <v>Subscribed</v>
      </c>
      <c r="Q12" s="182" t="s">
        <v>6</v>
      </c>
      <c r="R12" s="187">
        <v>30</v>
      </c>
      <c r="S12" s="178">
        <f t="shared" si="16"/>
        <v>13.092113095238094</v>
      </c>
      <c r="T12" s="177">
        <f t="shared" si="15"/>
        <v>16.907886904761906</v>
      </c>
      <c r="U12" s="178">
        <v>0</v>
      </c>
      <c r="V12" s="178">
        <f>IF(T12&lt;=0,0,(IF(P12="Rated",(T12+U12)*#REF!,(T12+U12))))</f>
        <v>16.907886904761906</v>
      </c>
      <c r="W12" s="178">
        <f>IF(P12="Rated",R12*#REF!,R12)</f>
        <v>30</v>
      </c>
      <c r="X12" s="178">
        <f t="shared" si="5"/>
        <v>13.092113095238094</v>
      </c>
      <c r="Y12" s="178">
        <f t="shared" si="6"/>
        <v>13.092113095238094</v>
      </c>
      <c r="Z12" s="178">
        <f t="shared" si="7"/>
        <v>-16.907886904761906</v>
      </c>
      <c r="AA12" s="188"/>
      <c r="AB12" s="189" t="s">
        <v>121</v>
      </c>
      <c r="AC12" s="111">
        <v>1.8</v>
      </c>
      <c r="AD12" s="178"/>
      <c r="AE12" s="178"/>
      <c r="AF12" s="227">
        <v>8797.9</v>
      </c>
      <c r="AG12" s="191" t="s">
        <v>126</v>
      </c>
      <c r="AH12" s="111" t="s">
        <v>127</v>
      </c>
      <c r="AI12" s="178">
        <v>1</v>
      </c>
      <c r="AJ12" s="178">
        <v>1</v>
      </c>
      <c r="AK12" s="111">
        <f t="shared" si="8"/>
        <v>0</v>
      </c>
      <c r="AL12" s="178">
        <f t="shared" si="9"/>
        <v>1</v>
      </c>
      <c r="AM12" s="178">
        <v>0</v>
      </c>
      <c r="AN12" s="192"/>
      <c r="AO12" s="193">
        <f t="shared" si="10"/>
        <v>373701.25</v>
      </c>
      <c r="AP12" s="188"/>
      <c r="AQ12" s="188">
        <f t="shared" si="11"/>
        <v>0</v>
      </c>
      <c r="AR12" s="188">
        <f t="shared" si="12"/>
        <v>0</v>
      </c>
      <c r="AS12" s="185"/>
      <c r="AT12" s="194">
        <f t="shared" si="13"/>
        <v>373701.25</v>
      </c>
      <c r="AU12" s="194"/>
      <c r="AV12" s="195"/>
      <c r="AW12" s="112"/>
      <c r="AX12" s="111"/>
      <c r="AY12" s="112"/>
      <c r="AZ12" s="111"/>
      <c r="BA12" s="111"/>
      <c r="BB12" s="111"/>
    </row>
    <row r="13" spans="1:54" s="96" customFormat="1" ht="11.45">
      <c r="A13" s="180" t="s">
        <v>29</v>
      </c>
      <c r="B13" s="180" t="s">
        <v>138</v>
      </c>
      <c r="C13" s="115" t="s">
        <v>146</v>
      </c>
      <c r="D13" s="111" t="s">
        <v>133</v>
      </c>
      <c r="E13" s="182" t="s">
        <v>136</v>
      </c>
      <c r="F13" s="190" t="s">
        <v>137</v>
      </c>
      <c r="G13" s="182" t="s">
        <v>122</v>
      </c>
      <c r="H13" s="182" t="s">
        <v>134</v>
      </c>
      <c r="I13" s="111" t="str">
        <f t="shared" si="0"/>
        <v>No of Racks</v>
      </c>
      <c r="J13" s="183">
        <v>10</v>
      </c>
      <c r="K13" s="183">
        <v>10</v>
      </c>
      <c r="L13" s="184">
        <f t="shared" si="1"/>
        <v>0</v>
      </c>
      <c r="M13" s="111">
        <f t="shared" si="2"/>
        <v>10</v>
      </c>
      <c r="N13" s="111">
        <f t="shared" si="3"/>
        <v>0</v>
      </c>
      <c r="O13" s="185">
        <f>(3280006+90000)/12/6</f>
        <v>46805.638888888883</v>
      </c>
      <c r="P13" s="186" t="str">
        <f t="shared" si="4"/>
        <v>Rated</v>
      </c>
      <c r="Q13" s="182" t="s">
        <v>6</v>
      </c>
      <c r="R13" s="187">
        <v>83</v>
      </c>
      <c r="S13" s="178">
        <v>72.47</v>
      </c>
      <c r="T13" s="177">
        <f t="shared" si="15"/>
        <v>10.530000000000001</v>
      </c>
      <c r="U13" s="178">
        <v>0</v>
      </c>
      <c r="V13" s="178" t="e">
        <f>IF(T13&lt;=0,0,(IF(P13="Rated",(T13+U13)*#REF!,(T13+U13))))</f>
        <v>#REF!</v>
      </c>
      <c r="W13" s="178" t="e">
        <f>IF(P13="Rated",R13*#REF!,R13)</f>
        <v>#REF!</v>
      </c>
      <c r="X13" s="178">
        <f t="shared" si="5"/>
        <v>72.47</v>
      </c>
      <c r="Y13" s="178">
        <f t="shared" si="6"/>
        <v>72.47</v>
      </c>
      <c r="Z13" s="178">
        <f t="shared" si="7"/>
        <v>-10.530000000000001</v>
      </c>
      <c r="AA13" s="188">
        <f>90000/12</f>
        <v>7500</v>
      </c>
      <c r="AB13" s="189" t="s">
        <v>136</v>
      </c>
      <c r="AC13" s="178">
        <v>1.8</v>
      </c>
      <c r="AD13" s="178"/>
      <c r="AE13" s="178"/>
      <c r="AF13" s="178"/>
      <c r="AG13" s="191" t="s">
        <v>126</v>
      </c>
      <c r="AH13" s="111" t="s">
        <v>127</v>
      </c>
      <c r="AI13" s="178">
        <v>0</v>
      </c>
      <c r="AJ13" s="178">
        <v>0</v>
      </c>
      <c r="AK13" s="111">
        <f t="shared" si="8"/>
        <v>0</v>
      </c>
      <c r="AL13" s="178">
        <f t="shared" si="9"/>
        <v>0</v>
      </c>
      <c r="AM13" s="178">
        <v>0</v>
      </c>
      <c r="AN13" s="192"/>
      <c r="AO13" s="193">
        <f t="shared" si="10"/>
        <v>468056.38888888882</v>
      </c>
      <c r="AP13" s="188"/>
      <c r="AQ13" s="188">
        <f t="shared" si="11"/>
        <v>0</v>
      </c>
      <c r="AR13" s="188">
        <f t="shared" si="12"/>
        <v>0</v>
      </c>
      <c r="AS13" s="185"/>
      <c r="AT13" s="194">
        <f t="shared" si="13"/>
        <v>468056.38888888882</v>
      </c>
      <c r="AU13" s="194"/>
      <c r="AV13" s="195"/>
      <c r="AW13" s="112"/>
      <c r="AX13" s="111"/>
      <c r="AY13" s="112"/>
      <c r="AZ13" s="111"/>
      <c r="BA13" s="111"/>
      <c r="BB13" s="111"/>
    </row>
    <row r="14" spans="1:54" s="96" customFormat="1" ht="12">
      <c r="A14" s="180" t="s">
        <v>29</v>
      </c>
      <c r="B14" s="180" t="s">
        <v>138</v>
      </c>
      <c r="C14" s="117" t="s">
        <v>147</v>
      </c>
      <c r="D14" s="111" t="s">
        <v>119</v>
      </c>
      <c r="E14" s="182" t="s">
        <v>136</v>
      </c>
      <c r="F14" s="190" t="s">
        <v>137</v>
      </c>
      <c r="G14" s="182" t="s">
        <v>122</v>
      </c>
      <c r="H14" s="182" t="s">
        <v>123</v>
      </c>
      <c r="I14" s="111" t="str">
        <f t="shared" si="0"/>
        <v>No of Racks</v>
      </c>
      <c r="J14" s="183">
        <v>6</v>
      </c>
      <c r="K14" s="183">
        <v>6</v>
      </c>
      <c r="L14" s="184">
        <f t="shared" si="1"/>
        <v>0</v>
      </c>
      <c r="M14" s="111">
        <f t="shared" si="2"/>
        <v>6</v>
      </c>
      <c r="N14" s="111">
        <f t="shared" si="3"/>
        <v>0</v>
      </c>
      <c r="O14" s="203">
        <f>4113270/12/6</f>
        <v>57128.75</v>
      </c>
      <c r="P14" s="186" t="str">
        <f t="shared" si="4"/>
        <v>Rated</v>
      </c>
      <c r="Q14" s="182" t="s">
        <v>6</v>
      </c>
      <c r="R14" s="187">
        <v>36</v>
      </c>
      <c r="S14" s="178">
        <v>23.46</v>
      </c>
      <c r="T14" s="177">
        <f t="shared" si="15"/>
        <v>12.54</v>
      </c>
      <c r="U14" s="178">
        <v>0</v>
      </c>
      <c r="V14" s="178" t="e">
        <f>IF(T14&lt;=0,0,(IF(P14="Rated",(T14+U14)*#REF!,(T14+U14))))</f>
        <v>#REF!</v>
      </c>
      <c r="W14" s="178" t="e">
        <f>IF(P14="Rated",R14*#REF!,R14)</f>
        <v>#REF!</v>
      </c>
      <c r="X14" s="178">
        <f t="shared" si="5"/>
        <v>23.46</v>
      </c>
      <c r="Y14" s="178">
        <f t="shared" si="6"/>
        <v>23.46</v>
      </c>
      <c r="Z14" s="178">
        <f t="shared" si="7"/>
        <v>-12.54</v>
      </c>
      <c r="AA14" s="188"/>
      <c r="AB14" s="199" t="s">
        <v>136</v>
      </c>
      <c r="AC14" s="178">
        <v>1.8</v>
      </c>
      <c r="AD14" s="178"/>
      <c r="AE14" s="178"/>
      <c r="AF14" s="178"/>
      <c r="AG14" s="191" t="s">
        <v>126</v>
      </c>
      <c r="AH14" s="111" t="s">
        <v>127</v>
      </c>
      <c r="AI14" s="178">
        <v>1</v>
      </c>
      <c r="AJ14" s="178">
        <v>1</v>
      </c>
      <c r="AK14" s="111">
        <f t="shared" si="8"/>
        <v>0</v>
      </c>
      <c r="AL14" s="178">
        <f t="shared" si="9"/>
        <v>1</v>
      </c>
      <c r="AM14" s="178">
        <v>0</v>
      </c>
      <c r="AN14" s="192"/>
      <c r="AO14" s="193">
        <f t="shared" si="10"/>
        <v>342772.5</v>
      </c>
      <c r="AP14" s="188"/>
      <c r="AQ14" s="188">
        <f t="shared" si="11"/>
        <v>0</v>
      </c>
      <c r="AR14" s="188">
        <f t="shared" si="12"/>
        <v>0</v>
      </c>
      <c r="AS14" s="185"/>
      <c r="AT14" s="194">
        <f t="shared" si="13"/>
        <v>342772.5</v>
      </c>
      <c r="AU14" s="194"/>
      <c r="AV14" s="204"/>
      <c r="AW14" s="112"/>
      <c r="AX14" s="111"/>
      <c r="AY14" s="112"/>
      <c r="AZ14" s="111"/>
      <c r="BA14" s="111"/>
      <c r="BB14" s="111"/>
    </row>
    <row r="15" spans="1:54" s="96" customFormat="1" ht="12">
      <c r="A15" s="180" t="s">
        <v>29</v>
      </c>
      <c r="B15" s="180" t="s">
        <v>138</v>
      </c>
      <c r="C15" s="117" t="s">
        <v>148</v>
      </c>
      <c r="D15" s="111" t="s">
        <v>133</v>
      </c>
      <c r="E15" s="182" t="s">
        <v>136</v>
      </c>
      <c r="F15" s="190" t="s">
        <v>137</v>
      </c>
      <c r="G15" s="182" t="s">
        <v>122</v>
      </c>
      <c r="H15" s="182" t="s">
        <v>123</v>
      </c>
      <c r="I15" s="111" t="str">
        <f t="shared" si="0"/>
        <v>No of Racks</v>
      </c>
      <c r="J15" s="183">
        <v>7</v>
      </c>
      <c r="K15" s="183">
        <v>7</v>
      </c>
      <c r="L15" s="184">
        <f t="shared" si="1"/>
        <v>0</v>
      </c>
      <c r="M15" s="111">
        <f t="shared" si="2"/>
        <v>7</v>
      </c>
      <c r="N15" s="111">
        <f t="shared" si="3"/>
        <v>0</v>
      </c>
      <c r="O15" s="185">
        <f>4620000/7/12</f>
        <v>55000</v>
      </c>
      <c r="P15" s="186" t="str">
        <f t="shared" si="4"/>
        <v>Rated</v>
      </c>
      <c r="Q15" s="182" t="s">
        <v>6</v>
      </c>
      <c r="R15" s="187">
        <v>45</v>
      </c>
      <c r="S15" s="178">
        <v>23.18</v>
      </c>
      <c r="T15" s="177">
        <f t="shared" si="15"/>
        <v>21.82</v>
      </c>
      <c r="U15" s="178">
        <v>0</v>
      </c>
      <c r="V15" s="178" t="e">
        <f>IF(T15&lt;=0,0,(IF(P15="Rated",(T15+U15)*#REF!,(T15+U15))))</f>
        <v>#REF!</v>
      </c>
      <c r="W15" s="178" t="e">
        <f>IF(P15="Rated",R15*#REF!,R15)</f>
        <v>#REF!</v>
      </c>
      <c r="X15" s="178">
        <f t="shared" si="5"/>
        <v>23.18</v>
      </c>
      <c r="Y15" s="178">
        <f t="shared" si="6"/>
        <v>23.18</v>
      </c>
      <c r="Z15" s="178">
        <f t="shared" si="7"/>
        <v>-21.82</v>
      </c>
      <c r="AA15" s="202">
        <f>90000/12</f>
        <v>7500</v>
      </c>
      <c r="AB15" s="199" t="s">
        <v>136</v>
      </c>
      <c r="AC15" s="178">
        <v>1.8</v>
      </c>
      <c r="AD15" s="178"/>
      <c r="AE15" s="178"/>
      <c r="AF15" s="178"/>
      <c r="AG15" s="191" t="s">
        <v>126</v>
      </c>
      <c r="AH15" s="111" t="s">
        <v>127</v>
      </c>
      <c r="AI15" s="178">
        <v>0</v>
      </c>
      <c r="AJ15" s="178">
        <v>0</v>
      </c>
      <c r="AK15" s="111">
        <f t="shared" si="8"/>
        <v>0</v>
      </c>
      <c r="AL15" s="178">
        <f t="shared" si="9"/>
        <v>0</v>
      </c>
      <c r="AM15" s="178">
        <v>0</v>
      </c>
      <c r="AN15" s="192"/>
      <c r="AO15" s="193">
        <f t="shared" si="10"/>
        <v>385000</v>
      </c>
      <c r="AP15" s="188"/>
      <c r="AQ15" s="188">
        <f t="shared" si="11"/>
        <v>0</v>
      </c>
      <c r="AR15" s="188">
        <f t="shared" si="12"/>
        <v>0</v>
      </c>
      <c r="AS15" s="185"/>
      <c r="AT15" s="194">
        <f t="shared" si="13"/>
        <v>385000</v>
      </c>
      <c r="AU15" s="194"/>
      <c r="AV15" s="195"/>
      <c r="AW15" s="112"/>
      <c r="AX15" s="111"/>
      <c r="AY15" s="112"/>
      <c r="AZ15" s="111"/>
      <c r="BA15" s="111"/>
      <c r="BB15" s="111"/>
    </row>
    <row r="16" spans="1:54" s="96" customFormat="1" ht="12.95">
      <c r="A16" s="180" t="s">
        <v>29</v>
      </c>
      <c r="B16" s="180" t="s">
        <v>138</v>
      </c>
      <c r="C16" s="111" t="s">
        <v>149</v>
      </c>
      <c r="D16" s="111" t="s">
        <v>119</v>
      </c>
      <c r="E16" s="182" t="s">
        <v>120</v>
      </c>
      <c r="F16" s="190" t="s">
        <v>121</v>
      </c>
      <c r="G16" s="182" t="s">
        <v>122</v>
      </c>
      <c r="H16" s="182" t="s">
        <v>123</v>
      </c>
      <c r="I16" s="111" t="str">
        <f t="shared" si="0"/>
        <v>No of Racks</v>
      </c>
      <c r="J16" s="205">
        <v>13</v>
      </c>
      <c r="K16" s="205">
        <v>13</v>
      </c>
      <c r="L16" s="184">
        <f t="shared" si="1"/>
        <v>0</v>
      </c>
      <c r="M16" s="111">
        <f t="shared" si="2"/>
        <v>13</v>
      </c>
      <c r="N16" s="111">
        <f t="shared" si="3"/>
        <v>0</v>
      </c>
      <c r="O16" s="185">
        <f>598991/12</f>
        <v>49915.916666666664</v>
      </c>
      <c r="P16" s="186" t="str">
        <f t="shared" si="4"/>
        <v>Subscribed</v>
      </c>
      <c r="Q16" s="182" t="s">
        <v>150</v>
      </c>
      <c r="R16" s="206">
        <v>42</v>
      </c>
      <c r="S16" s="178">
        <f t="shared" ref="S16:S19" si="17">AF16/672</f>
        <v>23.768154761904764</v>
      </c>
      <c r="T16" s="177">
        <f t="shared" si="15"/>
        <v>18.231845238095236</v>
      </c>
      <c r="U16" s="178">
        <v>0</v>
      </c>
      <c r="V16" s="178">
        <f>IF(T16&lt;=0,0,(IF(P16="Rated",(T16+U16)*#REF!,(T16+U16))))</f>
        <v>18.231845238095236</v>
      </c>
      <c r="W16" s="178">
        <f>IF(P16="Rated",R16*#REF!,R16)</f>
        <v>42</v>
      </c>
      <c r="X16" s="178">
        <f t="shared" si="5"/>
        <v>23.768154761904764</v>
      </c>
      <c r="Y16" s="178">
        <f t="shared" si="6"/>
        <v>23.768154761904764</v>
      </c>
      <c r="Z16" s="178">
        <f t="shared" si="7"/>
        <v>-18.231845238095236</v>
      </c>
      <c r="AA16" s="188"/>
      <c r="AB16" s="189" t="s">
        <v>121</v>
      </c>
      <c r="AC16" s="178">
        <v>1.8</v>
      </c>
      <c r="AD16" s="178"/>
      <c r="AE16" s="178"/>
      <c r="AF16" s="227">
        <v>15972.2</v>
      </c>
      <c r="AG16" s="191" t="s">
        <v>126</v>
      </c>
      <c r="AH16" s="111" t="s">
        <v>127</v>
      </c>
      <c r="AI16" s="178">
        <v>5</v>
      </c>
      <c r="AJ16" s="178">
        <v>5</v>
      </c>
      <c r="AK16" s="111">
        <f t="shared" si="8"/>
        <v>0</v>
      </c>
      <c r="AL16" s="178">
        <f t="shared" si="9"/>
        <v>5</v>
      </c>
      <c r="AM16" s="178">
        <v>0</v>
      </c>
      <c r="AN16" s="192"/>
      <c r="AO16" s="193">
        <f t="shared" si="10"/>
        <v>648906.91666666663</v>
      </c>
      <c r="AP16" s="188"/>
      <c r="AQ16" s="188">
        <f t="shared" si="11"/>
        <v>0</v>
      </c>
      <c r="AR16" s="188">
        <f t="shared" si="12"/>
        <v>0</v>
      </c>
      <c r="AS16" s="185"/>
      <c r="AT16" s="194">
        <f t="shared" si="13"/>
        <v>648906.91666666663</v>
      </c>
      <c r="AU16" s="194"/>
      <c r="AV16" s="195"/>
      <c r="AW16" s="112"/>
      <c r="AX16" s="111"/>
      <c r="AY16" s="112"/>
      <c r="AZ16" s="111"/>
      <c r="BA16" s="111"/>
      <c r="BB16" s="111"/>
    </row>
    <row r="17" spans="1:54" s="96" customFormat="1" ht="12.95">
      <c r="A17" s="180" t="s">
        <v>29</v>
      </c>
      <c r="B17" s="180" t="s">
        <v>138</v>
      </c>
      <c r="C17" s="114" t="s">
        <v>151</v>
      </c>
      <c r="D17" s="111" t="s">
        <v>133</v>
      </c>
      <c r="E17" s="182" t="s">
        <v>120</v>
      </c>
      <c r="F17" s="190" t="s">
        <v>121</v>
      </c>
      <c r="G17" s="182" t="s">
        <v>122</v>
      </c>
      <c r="H17" s="182" t="s">
        <v>134</v>
      </c>
      <c r="I17" s="111" t="str">
        <f t="shared" si="0"/>
        <v>No of Racks</v>
      </c>
      <c r="J17" s="205">
        <v>1</v>
      </c>
      <c r="K17" s="205">
        <v>1</v>
      </c>
      <c r="L17" s="184">
        <f t="shared" si="1"/>
        <v>0</v>
      </c>
      <c r="M17" s="111">
        <f t="shared" si="2"/>
        <v>1</v>
      </c>
      <c r="N17" s="111">
        <f t="shared" si="3"/>
        <v>0</v>
      </c>
      <c r="O17" s="185">
        <f>210000/12</f>
        <v>17500</v>
      </c>
      <c r="P17" s="186" t="str">
        <f t="shared" si="4"/>
        <v>Subscribed</v>
      </c>
      <c r="Q17" s="182" t="s">
        <v>150</v>
      </c>
      <c r="R17" s="206">
        <v>2.5</v>
      </c>
      <c r="S17" s="178">
        <f t="shared" si="17"/>
        <v>0.84166666666666667</v>
      </c>
      <c r="T17" s="177">
        <f t="shared" si="15"/>
        <v>1.6583333333333332</v>
      </c>
      <c r="U17" s="178">
        <v>0</v>
      </c>
      <c r="V17" s="178">
        <f>IF(T17&lt;=0,0,(IF(P17="Rated",(T17+U17)*#REF!,(T17+U17))))</f>
        <v>1.6583333333333332</v>
      </c>
      <c r="W17" s="178">
        <f>IF(P17="Rated",R17*#REF!,R17)</f>
        <v>2.5</v>
      </c>
      <c r="X17" s="178">
        <f t="shared" si="5"/>
        <v>0.84166666666666667</v>
      </c>
      <c r="Y17" s="178">
        <f t="shared" si="6"/>
        <v>0.84166666666666667</v>
      </c>
      <c r="Z17" s="178">
        <f t="shared" si="7"/>
        <v>-1.6583333333333332</v>
      </c>
      <c r="AA17" s="188"/>
      <c r="AB17" s="199" t="s">
        <v>121</v>
      </c>
      <c r="AC17" s="178">
        <v>1.8</v>
      </c>
      <c r="AD17" s="178"/>
      <c r="AE17" s="178"/>
      <c r="AF17" s="227">
        <v>565.6</v>
      </c>
      <c r="AG17" s="191" t="s">
        <v>126</v>
      </c>
      <c r="AH17" s="111" t="s">
        <v>127</v>
      </c>
      <c r="AI17" s="178">
        <v>0</v>
      </c>
      <c r="AJ17" s="178">
        <v>0</v>
      </c>
      <c r="AK17" s="111">
        <f t="shared" si="8"/>
        <v>0</v>
      </c>
      <c r="AL17" s="178">
        <f t="shared" si="9"/>
        <v>0</v>
      </c>
      <c r="AM17" s="178">
        <v>0</v>
      </c>
      <c r="AN17" s="192"/>
      <c r="AO17" s="193">
        <f t="shared" si="10"/>
        <v>17500</v>
      </c>
      <c r="AP17" s="188"/>
      <c r="AQ17" s="188">
        <f t="shared" si="11"/>
        <v>0</v>
      </c>
      <c r="AR17" s="188">
        <f t="shared" si="12"/>
        <v>0</v>
      </c>
      <c r="AS17" s="185"/>
      <c r="AT17" s="194">
        <f t="shared" si="13"/>
        <v>17500</v>
      </c>
      <c r="AU17" s="194"/>
      <c r="AV17" s="195"/>
      <c r="AW17" s="112"/>
      <c r="AX17" s="111"/>
      <c r="AY17" s="112"/>
      <c r="AZ17" s="111"/>
      <c r="BA17" s="111"/>
      <c r="BB17" s="111"/>
    </row>
    <row r="18" spans="1:54" s="96" customFormat="1" ht="12.95">
      <c r="A18" s="180" t="s">
        <v>29</v>
      </c>
      <c r="B18" s="180" t="s">
        <v>152</v>
      </c>
      <c r="C18" s="116" t="s">
        <v>153</v>
      </c>
      <c r="D18" s="111" t="s">
        <v>133</v>
      </c>
      <c r="E18" s="182" t="s">
        <v>120</v>
      </c>
      <c r="F18" s="190" t="s">
        <v>121</v>
      </c>
      <c r="G18" s="182" t="s">
        <v>122</v>
      </c>
      <c r="H18" s="182" t="s">
        <v>134</v>
      </c>
      <c r="I18" s="111" t="str">
        <f t="shared" si="0"/>
        <v>No of Racks</v>
      </c>
      <c r="J18" s="205">
        <v>8</v>
      </c>
      <c r="K18" s="205">
        <v>8</v>
      </c>
      <c r="L18" s="184">
        <f t="shared" si="1"/>
        <v>0</v>
      </c>
      <c r="M18" s="111">
        <f t="shared" si="2"/>
        <v>8</v>
      </c>
      <c r="N18" s="111">
        <f t="shared" si="3"/>
        <v>0</v>
      </c>
      <c r="O18" s="207">
        <f>850000/12/4</f>
        <v>17708.333333333332</v>
      </c>
      <c r="P18" s="186" t="str">
        <f t="shared" si="4"/>
        <v>Subscribed</v>
      </c>
      <c r="Q18" s="182" t="s">
        <v>150</v>
      </c>
      <c r="R18" s="206">
        <v>32.5</v>
      </c>
      <c r="S18" s="178">
        <f t="shared" si="17"/>
        <v>27.698199404761901</v>
      </c>
      <c r="T18" s="177">
        <f t="shared" si="15"/>
        <v>4.8018005952380989</v>
      </c>
      <c r="U18" s="178">
        <v>0</v>
      </c>
      <c r="V18" s="178">
        <f>IF(T18&lt;=0,0,(IF(P18="Rated",(T18+U18)*#REF!,(T18+U18))))</f>
        <v>4.8018005952380989</v>
      </c>
      <c r="W18" s="178">
        <f>IF(P18="Rated",R18*#REF!,R18)</f>
        <v>32.5</v>
      </c>
      <c r="X18" s="178">
        <f t="shared" si="5"/>
        <v>27.698199404761901</v>
      </c>
      <c r="Y18" s="178">
        <f t="shared" si="6"/>
        <v>27.698199404761901</v>
      </c>
      <c r="Z18" s="178">
        <f t="shared" si="7"/>
        <v>-4.8018005952380989</v>
      </c>
      <c r="AA18" s="188"/>
      <c r="AB18" s="199" t="s">
        <v>121</v>
      </c>
      <c r="AC18" s="178">
        <v>1.8</v>
      </c>
      <c r="AD18" s="178"/>
      <c r="AE18" s="178"/>
      <c r="AF18" s="227">
        <v>18613.189999999999</v>
      </c>
      <c r="AG18" s="191" t="s">
        <v>126</v>
      </c>
      <c r="AH18" s="111" t="s">
        <v>127</v>
      </c>
      <c r="AI18" s="178">
        <v>0</v>
      </c>
      <c r="AJ18" s="178">
        <v>0</v>
      </c>
      <c r="AK18" s="111">
        <f t="shared" si="8"/>
        <v>0</v>
      </c>
      <c r="AL18" s="178">
        <f t="shared" si="9"/>
        <v>0</v>
      </c>
      <c r="AM18" s="178">
        <v>0</v>
      </c>
      <c r="AN18" s="192"/>
      <c r="AO18" s="193">
        <f t="shared" si="10"/>
        <v>141666.66666666666</v>
      </c>
      <c r="AP18" s="188"/>
      <c r="AQ18" s="188">
        <f t="shared" si="11"/>
        <v>0</v>
      </c>
      <c r="AR18" s="188">
        <f t="shared" si="12"/>
        <v>0</v>
      </c>
      <c r="AS18" s="185"/>
      <c r="AT18" s="194">
        <f t="shared" si="13"/>
        <v>141666.66666666666</v>
      </c>
      <c r="AU18" s="194"/>
      <c r="AV18" s="195"/>
      <c r="AW18" s="112"/>
      <c r="AX18" s="111"/>
      <c r="AY18" s="112"/>
      <c r="AZ18" s="111"/>
      <c r="BA18" s="111"/>
      <c r="BB18" s="111"/>
    </row>
    <row r="19" spans="1:54" s="96" customFormat="1" ht="12.95">
      <c r="A19" s="180" t="s">
        <v>29</v>
      </c>
      <c r="B19" s="180" t="s">
        <v>152</v>
      </c>
      <c r="C19" s="208" t="s">
        <v>154</v>
      </c>
      <c r="D19" s="111" t="s">
        <v>133</v>
      </c>
      <c r="E19" s="182" t="s">
        <v>120</v>
      </c>
      <c r="F19" s="190" t="s">
        <v>121</v>
      </c>
      <c r="G19" s="182" t="s">
        <v>122</v>
      </c>
      <c r="H19" s="182" t="s">
        <v>134</v>
      </c>
      <c r="I19" s="111" t="str">
        <f t="shared" si="0"/>
        <v>No of Racks</v>
      </c>
      <c r="J19" s="205">
        <v>1</v>
      </c>
      <c r="K19" s="205">
        <v>1</v>
      </c>
      <c r="L19" s="184">
        <f t="shared" si="1"/>
        <v>0</v>
      </c>
      <c r="M19" s="111">
        <f t="shared" si="2"/>
        <v>1</v>
      </c>
      <c r="N19" s="111">
        <f t="shared" si="3"/>
        <v>0</v>
      </c>
      <c r="O19" s="185"/>
      <c r="P19" s="186" t="str">
        <f t="shared" si="4"/>
        <v>Subscribed</v>
      </c>
      <c r="Q19" s="182" t="s">
        <v>6</v>
      </c>
      <c r="R19" s="206">
        <v>3</v>
      </c>
      <c r="S19" s="178">
        <f t="shared" si="17"/>
        <v>2.206532738095238</v>
      </c>
      <c r="T19" s="177">
        <f t="shared" si="15"/>
        <v>0.79346726190476202</v>
      </c>
      <c r="U19" s="178">
        <v>0</v>
      </c>
      <c r="V19" s="178">
        <f>IF(T19&lt;=0,0,(IF(P19="Rated",(T19+U19)*#REF!,(T19+U19))))</f>
        <v>0.79346726190476202</v>
      </c>
      <c r="W19" s="178">
        <f>IF(P19="Rated",R19*#REF!,R19)</f>
        <v>3</v>
      </c>
      <c r="X19" s="178">
        <f t="shared" si="5"/>
        <v>2.206532738095238</v>
      </c>
      <c r="Y19" s="178">
        <f t="shared" si="6"/>
        <v>2.206532738095238</v>
      </c>
      <c r="Z19" s="178">
        <f t="shared" si="7"/>
        <v>-0.79346726190476202</v>
      </c>
      <c r="AA19" s="188"/>
      <c r="AB19" s="189" t="s">
        <v>121</v>
      </c>
      <c r="AC19" s="178">
        <v>1.8</v>
      </c>
      <c r="AD19" s="178"/>
      <c r="AE19" s="178"/>
      <c r="AF19" s="227">
        <v>1482.79</v>
      </c>
      <c r="AG19" s="191" t="s">
        <v>126</v>
      </c>
      <c r="AH19" s="111" t="s">
        <v>127</v>
      </c>
      <c r="AI19" s="178">
        <v>0</v>
      </c>
      <c r="AJ19" s="178">
        <v>0</v>
      </c>
      <c r="AK19" s="111">
        <f t="shared" si="8"/>
        <v>0</v>
      </c>
      <c r="AL19" s="178">
        <f t="shared" si="9"/>
        <v>0</v>
      </c>
      <c r="AM19" s="178">
        <v>0</v>
      </c>
      <c r="AN19" s="192"/>
      <c r="AO19" s="193">
        <f t="shared" si="10"/>
        <v>0</v>
      </c>
      <c r="AP19" s="188"/>
      <c r="AQ19" s="188">
        <f t="shared" si="11"/>
        <v>0</v>
      </c>
      <c r="AR19" s="188">
        <f t="shared" si="12"/>
        <v>0</v>
      </c>
      <c r="AS19" s="185"/>
      <c r="AT19" s="194">
        <f t="shared" si="13"/>
        <v>0</v>
      </c>
      <c r="AU19" s="194"/>
      <c r="AV19" s="195"/>
      <c r="AW19" s="112"/>
      <c r="AX19" s="111"/>
      <c r="AY19" s="112"/>
      <c r="AZ19" s="111"/>
      <c r="BA19" s="111"/>
      <c r="BB19" s="111"/>
    </row>
    <row r="20" spans="1:54" s="96" customFormat="1" ht="11.45">
      <c r="A20" s="180" t="s">
        <v>29</v>
      </c>
      <c r="B20" s="180" t="s">
        <v>152</v>
      </c>
      <c r="C20" s="117" t="s">
        <v>155</v>
      </c>
      <c r="D20" s="111" t="s">
        <v>133</v>
      </c>
      <c r="E20" s="182" t="s">
        <v>136</v>
      </c>
      <c r="F20" s="190" t="s">
        <v>137</v>
      </c>
      <c r="G20" s="182" t="s">
        <v>156</v>
      </c>
      <c r="H20" s="182" t="s">
        <v>134</v>
      </c>
      <c r="I20" s="111" t="str">
        <f t="shared" si="0"/>
        <v>U Space</v>
      </c>
      <c r="J20" s="183">
        <v>21</v>
      </c>
      <c r="K20" s="183">
        <v>21</v>
      </c>
      <c r="L20" s="184">
        <f t="shared" si="1"/>
        <v>0</v>
      </c>
      <c r="M20" s="111">
        <f t="shared" si="2"/>
        <v>21</v>
      </c>
      <c r="N20" s="111">
        <f t="shared" si="3"/>
        <v>0</v>
      </c>
      <c r="O20" s="185"/>
      <c r="P20" s="186" t="str">
        <f t="shared" si="4"/>
        <v>Rated</v>
      </c>
      <c r="Q20" s="182" t="s">
        <v>150</v>
      </c>
      <c r="R20" s="187">
        <v>4</v>
      </c>
      <c r="S20" s="178">
        <v>4.29</v>
      </c>
      <c r="T20" s="177">
        <f t="shared" si="15"/>
        <v>-0.29000000000000004</v>
      </c>
      <c r="U20" s="178">
        <v>0</v>
      </c>
      <c r="V20" s="178">
        <f>IF(T20&lt;=0,0,(IF(P20="Rated",(T20+U20)*#REF!,(T20+U20))))</f>
        <v>0</v>
      </c>
      <c r="W20" s="178" t="e">
        <f>IF(P20="Rated",R20*#REF!,R20)</f>
        <v>#REF!</v>
      </c>
      <c r="X20" s="178">
        <f t="shared" si="5"/>
        <v>4.29</v>
      </c>
      <c r="Y20" s="178">
        <f t="shared" si="6"/>
        <v>4.29</v>
      </c>
      <c r="Z20" s="178">
        <f t="shared" si="7"/>
        <v>0.29000000000000004</v>
      </c>
      <c r="AA20" s="188"/>
      <c r="AB20" s="189" t="s">
        <v>136</v>
      </c>
      <c r="AC20" s="178">
        <v>1.8</v>
      </c>
      <c r="AD20" s="178"/>
      <c r="AE20" s="178"/>
      <c r="AF20" s="178"/>
      <c r="AG20" s="191" t="s">
        <v>126</v>
      </c>
      <c r="AH20" s="111" t="s">
        <v>127</v>
      </c>
      <c r="AI20" s="200">
        <v>0</v>
      </c>
      <c r="AJ20" s="200">
        <v>0</v>
      </c>
      <c r="AK20" s="111">
        <f t="shared" si="8"/>
        <v>0</v>
      </c>
      <c r="AL20" s="200">
        <f t="shared" si="9"/>
        <v>0</v>
      </c>
      <c r="AM20" s="178">
        <v>0</v>
      </c>
      <c r="AN20" s="192"/>
      <c r="AO20" s="193">
        <f t="shared" si="10"/>
        <v>0</v>
      </c>
      <c r="AP20" s="188"/>
      <c r="AQ20" s="188">
        <f t="shared" si="11"/>
        <v>0</v>
      </c>
      <c r="AR20" s="188">
        <f t="shared" si="12"/>
        <v>0</v>
      </c>
      <c r="AS20" s="185"/>
      <c r="AT20" s="194">
        <f t="shared" si="13"/>
        <v>0</v>
      </c>
      <c r="AU20" s="194"/>
      <c r="AV20" s="195"/>
      <c r="AW20" s="112"/>
      <c r="AX20" s="111"/>
      <c r="AY20" s="112"/>
      <c r="AZ20" s="111"/>
      <c r="BA20" s="111"/>
      <c r="BB20" s="111"/>
    </row>
    <row r="21" spans="1:54" s="96" customFormat="1" ht="12.95">
      <c r="A21" s="180" t="s">
        <v>29</v>
      </c>
      <c r="B21" s="180" t="s">
        <v>152</v>
      </c>
      <c r="C21" s="114" t="s">
        <v>155</v>
      </c>
      <c r="D21" s="111" t="s">
        <v>133</v>
      </c>
      <c r="E21" s="182" t="s">
        <v>120</v>
      </c>
      <c r="F21" s="190" t="s">
        <v>121</v>
      </c>
      <c r="G21" s="182" t="s">
        <v>122</v>
      </c>
      <c r="H21" s="182" t="s">
        <v>134</v>
      </c>
      <c r="I21" s="111" t="str">
        <f t="shared" si="0"/>
        <v>No of Racks</v>
      </c>
      <c r="J21" s="183">
        <v>1</v>
      </c>
      <c r="K21" s="183">
        <v>1</v>
      </c>
      <c r="L21" s="184">
        <f t="shared" si="1"/>
        <v>0</v>
      </c>
      <c r="M21" s="111">
        <f t="shared" si="2"/>
        <v>1</v>
      </c>
      <c r="N21" s="111">
        <f t="shared" si="3"/>
        <v>0</v>
      </c>
      <c r="O21" s="185"/>
      <c r="P21" s="186" t="str">
        <f t="shared" si="4"/>
        <v>Subscribed</v>
      </c>
      <c r="Q21" s="182" t="s">
        <v>150</v>
      </c>
      <c r="R21" s="187">
        <v>3</v>
      </c>
      <c r="S21" s="178">
        <f t="shared" ref="S21:S23" si="18">AF21/672</f>
        <v>1.8181994047619046</v>
      </c>
      <c r="T21" s="177">
        <f t="shared" si="15"/>
        <v>1.1818005952380954</v>
      </c>
      <c r="U21" s="178">
        <v>0</v>
      </c>
      <c r="V21" s="178">
        <f>IF(T21&lt;=0,0,(IF(P21="Rated",(T21+U21)*#REF!,(T21+U21))))</f>
        <v>1.1818005952380954</v>
      </c>
      <c r="W21" s="178">
        <f>IF(P21="Rated",R21*#REF!,R21)</f>
        <v>3</v>
      </c>
      <c r="X21" s="178">
        <f t="shared" si="5"/>
        <v>1.8181994047619046</v>
      </c>
      <c r="Y21" s="178">
        <f t="shared" si="6"/>
        <v>1.8181994047619046</v>
      </c>
      <c r="Z21" s="178">
        <f t="shared" si="7"/>
        <v>-1.1818005952380954</v>
      </c>
      <c r="AA21" s="188"/>
      <c r="AB21" s="189" t="s">
        <v>121</v>
      </c>
      <c r="AC21" s="178">
        <v>1.8</v>
      </c>
      <c r="AD21" s="178"/>
      <c r="AE21" s="178"/>
      <c r="AF21" s="227">
        <v>1221.83</v>
      </c>
      <c r="AG21" s="191" t="s">
        <v>126</v>
      </c>
      <c r="AH21" s="111" t="s">
        <v>127</v>
      </c>
      <c r="AI21" s="200">
        <v>0</v>
      </c>
      <c r="AJ21" s="200">
        <v>0</v>
      </c>
      <c r="AK21" s="111">
        <f t="shared" si="8"/>
        <v>0</v>
      </c>
      <c r="AL21" s="200">
        <f t="shared" si="9"/>
        <v>0</v>
      </c>
      <c r="AM21" s="178">
        <v>0</v>
      </c>
      <c r="AN21" s="192"/>
      <c r="AO21" s="193">
        <f t="shared" si="10"/>
        <v>0</v>
      </c>
      <c r="AP21" s="188"/>
      <c r="AQ21" s="188">
        <f t="shared" si="11"/>
        <v>0</v>
      </c>
      <c r="AR21" s="188">
        <f t="shared" si="12"/>
        <v>0</v>
      </c>
      <c r="AS21" s="185"/>
      <c r="AT21" s="194">
        <f t="shared" si="13"/>
        <v>0</v>
      </c>
      <c r="AU21" s="194"/>
      <c r="AV21" s="195"/>
      <c r="AW21" s="112"/>
      <c r="AX21" s="111"/>
      <c r="AY21" s="112"/>
      <c r="AZ21" s="111"/>
      <c r="BA21" s="111"/>
      <c r="BB21" s="111"/>
    </row>
    <row r="22" spans="1:54" s="96" customFormat="1" ht="12.95">
      <c r="A22" s="205" t="s">
        <v>29</v>
      </c>
      <c r="B22" s="205" t="s">
        <v>152</v>
      </c>
      <c r="C22" s="114" t="s">
        <v>157</v>
      </c>
      <c r="D22" s="182" t="s">
        <v>133</v>
      </c>
      <c r="E22" s="182" t="s">
        <v>120</v>
      </c>
      <c r="F22" s="190" t="s">
        <v>121</v>
      </c>
      <c r="G22" s="182" t="s">
        <v>122</v>
      </c>
      <c r="H22" s="182" t="s">
        <v>134</v>
      </c>
      <c r="I22" s="111" t="str">
        <f t="shared" si="0"/>
        <v>No of Racks</v>
      </c>
      <c r="J22" s="183">
        <v>2</v>
      </c>
      <c r="K22" s="183">
        <v>2</v>
      </c>
      <c r="L22" s="184">
        <f t="shared" si="1"/>
        <v>0</v>
      </c>
      <c r="M22" s="111">
        <f t="shared" si="2"/>
        <v>2</v>
      </c>
      <c r="N22" s="111">
        <f t="shared" si="3"/>
        <v>0</v>
      </c>
      <c r="O22" s="185"/>
      <c r="P22" s="186" t="str">
        <f t="shared" si="4"/>
        <v>Subscribed</v>
      </c>
      <c r="Q22" s="182" t="s">
        <v>150</v>
      </c>
      <c r="R22" s="187">
        <v>7</v>
      </c>
      <c r="S22" s="178">
        <f t="shared" si="18"/>
        <v>4.9216815476190474</v>
      </c>
      <c r="T22" s="177">
        <f t="shared" si="15"/>
        <v>2.0783184523809526</v>
      </c>
      <c r="U22" s="178">
        <v>0</v>
      </c>
      <c r="V22" s="178">
        <f>IF(T22&lt;=0,0,(IF(P22="Rated",(T22+U22)*#REF!,(T22+U22))))</f>
        <v>2.0783184523809526</v>
      </c>
      <c r="W22" s="178">
        <f>IF(P22="Rated",R22*#REF!,R22)</f>
        <v>7</v>
      </c>
      <c r="X22" s="178">
        <f t="shared" si="5"/>
        <v>4.9216815476190474</v>
      </c>
      <c r="Y22" s="178">
        <f t="shared" si="6"/>
        <v>4.9216815476190474</v>
      </c>
      <c r="Z22" s="178">
        <f t="shared" si="7"/>
        <v>-2.0783184523809526</v>
      </c>
      <c r="AA22" s="188"/>
      <c r="AB22" s="189" t="s">
        <v>121</v>
      </c>
      <c r="AC22" s="178">
        <v>1.8</v>
      </c>
      <c r="AD22" s="178"/>
      <c r="AE22" s="178"/>
      <c r="AF22" s="227">
        <v>3307.37</v>
      </c>
      <c r="AG22" s="191" t="s">
        <v>126</v>
      </c>
      <c r="AH22" s="111" t="s">
        <v>127</v>
      </c>
      <c r="AI22" s="200">
        <v>0</v>
      </c>
      <c r="AJ22" s="200">
        <v>0</v>
      </c>
      <c r="AK22" s="111">
        <f t="shared" si="8"/>
        <v>0</v>
      </c>
      <c r="AL22" s="200">
        <f t="shared" si="9"/>
        <v>0</v>
      </c>
      <c r="AM22" s="178">
        <v>0</v>
      </c>
      <c r="AN22" s="192"/>
      <c r="AO22" s="193">
        <f t="shared" si="10"/>
        <v>0</v>
      </c>
      <c r="AP22" s="188"/>
      <c r="AQ22" s="188">
        <f t="shared" si="11"/>
        <v>0</v>
      </c>
      <c r="AR22" s="188">
        <f t="shared" si="12"/>
        <v>0</v>
      </c>
      <c r="AS22" s="185"/>
      <c r="AT22" s="194">
        <f t="shared" si="13"/>
        <v>0</v>
      </c>
      <c r="AU22" s="194"/>
      <c r="AV22" s="195"/>
      <c r="AW22" s="112"/>
      <c r="AX22" s="111"/>
      <c r="AY22" s="112"/>
      <c r="AZ22" s="111"/>
      <c r="BA22" s="111"/>
      <c r="BB22" s="111"/>
    </row>
    <row r="23" spans="1:54" s="96" customFormat="1" ht="12.95">
      <c r="A23" s="205" t="s">
        <v>29</v>
      </c>
      <c r="B23" s="205" t="s">
        <v>152</v>
      </c>
      <c r="C23" s="201" t="s">
        <v>158</v>
      </c>
      <c r="D23" s="182" t="s">
        <v>119</v>
      </c>
      <c r="E23" s="182" t="s">
        <v>120</v>
      </c>
      <c r="F23" s="190" t="s">
        <v>121</v>
      </c>
      <c r="G23" s="182" t="s">
        <v>122</v>
      </c>
      <c r="H23" s="182" t="s">
        <v>123</v>
      </c>
      <c r="I23" s="111" t="str">
        <f t="shared" si="0"/>
        <v>No of Racks</v>
      </c>
      <c r="J23" s="183">
        <v>5</v>
      </c>
      <c r="K23" s="183">
        <v>5</v>
      </c>
      <c r="L23" s="184">
        <f t="shared" si="1"/>
        <v>0</v>
      </c>
      <c r="M23" s="111">
        <f t="shared" si="2"/>
        <v>5</v>
      </c>
      <c r="N23" s="111">
        <f t="shared" si="3"/>
        <v>0</v>
      </c>
      <c r="O23" s="202">
        <f>12237/12</f>
        <v>1019.75</v>
      </c>
      <c r="P23" s="186" t="str">
        <f t="shared" si="4"/>
        <v>Subscribed</v>
      </c>
      <c r="Q23" s="182" t="s">
        <v>6</v>
      </c>
      <c r="R23" s="187">
        <v>30</v>
      </c>
      <c r="S23" s="178">
        <f t="shared" si="18"/>
        <v>16.492514880952381</v>
      </c>
      <c r="T23" s="177">
        <f t="shared" si="15"/>
        <v>13.507485119047619</v>
      </c>
      <c r="U23" s="178">
        <v>0</v>
      </c>
      <c r="V23" s="178">
        <f>IF(T23&lt;=0,0,(IF(P23="Rated",(T23+U23)*#REF!,(T23+U23))))</f>
        <v>13.507485119047619</v>
      </c>
      <c r="W23" s="178">
        <f>IF(P23="Rated",R23*#REF!,R23)</f>
        <v>30</v>
      </c>
      <c r="X23" s="178">
        <f t="shared" si="5"/>
        <v>16.492514880952381</v>
      </c>
      <c r="Y23" s="178">
        <f t="shared" si="6"/>
        <v>16.492514880952381</v>
      </c>
      <c r="Z23" s="178">
        <f t="shared" si="7"/>
        <v>-13.507485119047619</v>
      </c>
      <c r="AA23" s="188"/>
      <c r="AB23" s="189" t="s">
        <v>121</v>
      </c>
      <c r="AC23" s="178">
        <v>1.8</v>
      </c>
      <c r="AD23" s="178"/>
      <c r="AE23" s="178"/>
      <c r="AF23" s="227">
        <v>11082.97</v>
      </c>
      <c r="AG23" s="191" t="s">
        <v>126</v>
      </c>
      <c r="AH23" s="111" t="s">
        <v>127</v>
      </c>
      <c r="AI23" s="200">
        <v>1</v>
      </c>
      <c r="AJ23" s="200">
        <v>1</v>
      </c>
      <c r="AK23" s="111">
        <f t="shared" si="8"/>
        <v>0</v>
      </c>
      <c r="AL23" s="200">
        <f t="shared" si="9"/>
        <v>1</v>
      </c>
      <c r="AM23" s="178">
        <v>0</v>
      </c>
      <c r="AN23" s="192"/>
      <c r="AO23" s="193">
        <f t="shared" si="10"/>
        <v>5098.75</v>
      </c>
      <c r="AP23" s="188"/>
      <c r="AQ23" s="188">
        <f t="shared" si="11"/>
        <v>0</v>
      </c>
      <c r="AR23" s="188">
        <f t="shared" si="12"/>
        <v>0</v>
      </c>
      <c r="AS23" s="188"/>
      <c r="AT23" s="194">
        <f t="shared" si="13"/>
        <v>5098.75</v>
      </c>
      <c r="AU23" s="194"/>
      <c r="AV23" s="195"/>
      <c r="AW23" s="112"/>
      <c r="AX23" s="111"/>
      <c r="AY23" s="112"/>
      <c r="AZ23" s="111"/>
      <c r="BA23" s="111"/>
      <c r="BB23" s="111"/>
    </row>
    <row r="24" spans="1:54" s="96" customFormat="1" ht="12">
      <c r="A24" s="205" t="s">
        <v>29</v>
      </c>
      <c r="B24" s="205" t="s">
        <v>152</v>
      </c>
      <c r="C24" s="209" t="s">
        <v>159</v>
      </c>
      <c r="D24" s="182" t="s">
        <v>133</v>
      </c>
      <c r="E24" s="182" t="s">
        <v>136</v>
      </c>
      <c r="F24" s="190" t="s">
        <v>137</v>
      </c>
      <c r="G24" s="182" t="s">
        <v>122</v>
      </c>
      <c r="H24" s="182" t="s">
        <v>134</v>
      </c>
      <c r="I24" s="111" t="str">
        <f t="shared" si="0"/>
        <v>No of Racks</v>
      </c>
      <c r="J24" s="205">
        <v>1</v>
      </c>
      <c r="K24" s="205">
        <v>1</v>
      </c>
      <c r="L24" s="184">
        <f t="shared" si="1"/>
        <v>0</v>
      </c>
      <c r="M24" s="111">
        <f t="shared" si="2"/>
        <v>1</v>
      </c>
      <c r="N24" s="111">
        <f t="shared" si="3"/>
        <v>0</v>
      </c>
      <c r="O24" s="207">
        <f>495000/12</f>
        <v>41250</v>
      </c>
      <c r="P24" s="186" t="str">
        <f t="shared" si="4"/>
        <v>Rated</v>
      </c>
      <c r="Q24" s="182" t="s">
        <v>6</v>
      </c>
      <c r="R24" s="206">
        <v>6</v>
      </c>
      <c r="S24" s="178">
        <v>5.5</v>
      </c>
      <c r="T24" s="177">
        <f t="shared" si="15"/>
        <v>0.5</v>
      </c>
      <c r="U24" s="178">
        <v>0</v>
      </c>
      <c r="V24" s="178" t="e">
        <f>IF(T24&lt;=0,0,(IF(P24="Rated",(T24+U24)*#REF!,(T24+U24))))</f>
        <v>#REF!</v>
      </c>
      <c r="W24" s="178" t="e">
        <f>IF(P24="Rated",R24*#REF!,R24)</f>
        <v>#REF!</v>
      </c>
      <c r="X24" s="178">
        <f t="shared" si="5"/>
        <v>5.5</v>
      </c>
      <c r="Y24" s="178">
        <f t="shared" si="6"/>
        <v>5.5</v>
      </c>
      <c r="Z24" s="178">
        <f t="shared" si="7"/>
        <v>-0.5</v>
      </c>
      <c r="AA24" s="202">
        <f>100000/12</f>
        <v>8333.3333333333339</v>
      </c>
      <c r="AB24" s="189" t="s">
        <v>136</v>
      </c>
      <c r="AC24" s="178">
        <v>1.8</v>
      </c>
      <c r="AD24" s="178"/>
      <c r="AE24" s="179"/>
      <c r="AF24" s="179"/>
      <c r="AG24" s="191" t="s">
        <v>126</v>
      </c>
      <c r="AH24" s="111" t="s">
        <v>127</v>
      </c>
      <c r="AI24" s="178">
        <v>0</v>
      </c>
      <c r="AJ24" s="178">
        <v>0</v>
      </c>
      <c r="AK24" s="111">
        <f t="shared" si="8"/>
        <v>0</v>
      </c>
      <c r="AL24" s="178">
        <f t="shared" si="9"/>
        <v>0</v>
      </c>
      <c r="AM24" s="178">
        <v>0</v>
      </c>
      <c r="AN24" s="192"/>
      <c r="AO24" s="193">
        <f t="shared" si="10"/>
        <v>41250</v>
      </c>
      <c r="AP24" s="188"/>
      <c r="AQ24" s="188">
        <f t="shared" si="11"/>
        <v>0</v>
      </c>
      <c r="AR24" s="188">
        <f t="shared" si="12"/>
        <v>0</v>
      </c>
      <c r="AS24" s="185"/>
      <c r="AT24" s="194">
        <f t="shared" si="13"/>
        <v>41250</v>
      </c>
      <c r="AU24" s="194"/>
      <c r="AV24" s="195"/>
      <c r="AW24" s="112"/>
      <c r="AX24" s="111"/>
      <c r="AY24" s="112"/>
      <c r="AZ24" s="111"/>
      <c r="BA24" s="111"/>
      <c r="BB24" s="111"/>
    </row>
    <row r="25" spans="1:54" s="96" customFormat="1" ht="12">
      <c r="A25" s="205" t="s">
        <v>29</v>
      </c>
      <c r="B25" s="205" t="s">
        <v>152</v>
      </c>
      <c r="C25" s="116" t="s">
        <v>160</v>
      </c>
      <c r="D25" s="182" t="s">
        <v>161</v>
      </c>
      <c r="E25" s="182" t="s">
        <v>136</v>
      </c>
      <c r="F25" s="190" t="s">
        <v>137</v>
      </c>
      <c r="G25" s="181" t="s">
        <v>122</v>
      </c>
      <c r="H25" s="182" t="s">
        <v>134</v>
      </c>
      <c r="I25" s="111" t="str">
        <f t="shared" si="0"/>
        <v>No of Racks</v>
      </c>
      <c r="J25" s="210">
        <v>1</v>
      </c>
      <c r="K25" s="210">
        <v>1</v>
      </c>
      <c r="L25" s="184">
        <f t="shared" si="1"/>
        <v>0</v>
      </c>
      <c r="M25" s="111">
        <f t="shared" si="2"/>
        <v>1</v>
      </c>
      <c r="N25" s="111">
        <f t="shared" si="3"/>
        <v>0</v>
      </c>
      <c r="O25" s="207">
        <f>(17500*65)/12</f>
        <v>94791.666666666672</v>
      </c>
      <c r="P25" s="186" t="str">
        <f t="shared" si="4"/>
        <v>Rated</v>
      </c>
      <c r="Q25" s="182" t="s">
        <v>6</v>
      </c>
      <c r="R25" s="210">
        <v>5.83</v>
      </c>
      <c r="S25" s="233">
        <v>5.8</v>
      </c>
      <c r="T25" s="177">
        <f t="shared" si="15"/>
        <v>3.0000000000000249E-2</v>
      </c>
      <c r="U25" s="178">
        <v>0</v>
      </c>
      <c r="V25" s="178" t="e">
        <f>IF(T25&lt;=0,0,(IF(P25="Rated",(T25+U25)*#REF!,(T25+U25))))</f>
        <v>#REF!</v>
      </c>
      <c r="W25" s="178" t="e">
        <f>IF(P25="Rated",R25*#REF!,R25)</f>
        <v>#REF!</v>
      </c>
      <c r="X25" s="178">
        <f t="shared" si="5"/>
        <v>5.8</v>
      </c>
      <c r="Y25" s="178">
        <f t="shared" si="6"/>
        <v>5.8</v>
      </c>
      <c r="Z25" s="178">
        <f t="shared" si="7"/>
        <v>-3.0000000000000249E-2</v>
      </c>
      <c r="AA25" s="188"/>
      <c r="AB25" s="189" t="s">
        <v>136</v>
      </c>
      <c r="AC25" s="178">
        <v>1.8</v>
      </c>
      <c r="AD25" s="178"/>
      <c r="AE25" s="178"/>
      <c r="AF25" s="178"/>
      <c r="AG25" s="191" t="s">
        <v>126</v>
      </c>
      <c r="AH25" s="111" t="s">
        <v>127</v>
      </c>
      <c r="AI25" s="111">
        <v>0</v>
      </c>
      <c r="AJ25" s="111">
        <v>0</v>
      </c>
      <c r="AK25" s="111">
        <f t="shared" si="8"/>
        <v>0</v>
      </c>
      <c r="AL25" s="111">
        <f t="shared" si="9"/>
        <v>0</v>
      </c>
      <c r="AM25" s="111">
        <v>0</v>
      </c>
      <c r="AN25" s="192"/>
      <c r="AO25" s="193">
        <f t="shared" si="10"/>
        <v>94791.666666666672</v>
      </c>
      <c r="AP25" s="188"/>
      <c r="AQ25" s="188">
        <f t="shared" si="11"/>
        <v>0</v>
      </c>
      <c r="AR25" s="188">
        <f t="shared" si="12"/>
        <v>0</v>
      </c>
      <c r="AS25" s="185"/>
      <c r="AT25" s="194">
        <f t="shared" si="13"/>
        <v>94791.666666666672</v>
      </c>
      <c r="AU25" s="194"/>
      <c r="AV25" s="195"/>
      <c r="AW25" s="112"/>
      <c r="AX25" s="111"/>
      <c r="AY25" s="112"/>
      <c r="AZ25" s="111"/>
      <c r="BA25" s="111"/>
      <c r="BB25" s="111"/>
    </row>
    <row r="26" spans="1:54" s="96" customFormat="1" ht="12">
      <c r="A26" s="205" t="s">
        <v>29</v>
      </c>
      <c r="B26" s="205" t="s">
        <v>152</v>
      </c>
      <c r="C26" s="117" t="s">
        <v>162</v>
      </c>
      <c r="D26" s="182" t="s">
        <v>161</v>
      </c>
      <c r="E26" s="182" t="s">
        <v>136</v>
      </c>
      <c r="F26" s="190" t="s">
        <v>137</v>
      </c>
      <c r="G26" s="181" t="s">
        <v>122</v>
      </c>
      <c r="H26" s="182" t="s">
        <v>134</v>
      </c>
      <c r="I26" s="111" t="str">
        <f t="shared" si="0"/>
        <v>No of Racks</v>
      </c>
      <c r="J26" s="210">
        <v>1</v>
      </c>
      <c r="K26" s="210">
        <v>1</v>
      </c>
      <c r="L26" s="184">
        <f t="shared" si="1"/>
        <v>0</v>
      </c>
      <c r="M26" s="111">
        <f t="shared" si="2"/>
        <v>1</v>
      </c>
      <c r="N26" s="111">
        <f t="shared" si="3"/>
        <v>0</v>
      </c>
      <c r="O26" s="207">
        <f>1127500/12/2</f>
        <v>46979.166666666664</v>
      </c>
      <c r="P26" s="186" t="str">
        <f t="shared" si="4"/>
        <v>Rated</v>
      </c>
      <c r="Q26" s="182" t="s">
        <v>6</v>
      </c>
      <c r="R26" s="210">
        <v>3</v>
      </c>
      <c r="S26" s="233">
        <v>4.78</v>
      </c>
      <c r="T26" s="177">
        <f t="shared" si="15"/>
        <v>-1.7800000000000002</v>
      </c>
      <c r="U26" s="178">
        <v>0</v>
      </c>
      <c r="V26" s="178">
        <f>IF(T26&lt;=0,0,(IF(P26="Rated",(T26+U26)*#REF!,(T26+U26))))</f>
        <v>0</v>
      </c>
      <c r="W26" s="178" t="e">
        <f>IF(P26="Rated",R26*#REF!,R26)</f>
        <v>#REF!</v>
      </c>
      <c r="X26" s="178">
        <f t="shared" si="5"/>
        <v>4.78</v>
      </c>
      <c r="Y26" s="178">
        <f t="shared" si="6"/>
        <v>4.78</v>
      </c>
      <c r="Z26" s="178">
        <f t="shared" si="7"/>
        <v>1.7800000000000002</v>
      </c>
      <c r="AA26" s="202">
        <f>110000/12</f>
        <v>9166.6666666666661</v>
      </c>
      <c r="AB26" s="189" t="s">
        <v>136</v>
      </c>
      <c r="AC26" s="178">
        <v>1.8</v>
      </c>
      <c r="AD26" s="178"/>
      <c r="AE26" s="178"/>
      <c r="AF26" s="178"/>
      <c r="AG26" s="191" t="s">
        <v>126</v>
      </c>
      <c r="AH26" s="111" t="s">
        <v>127</v>
      </c>
      <c r="AI26" s="111">
        <v>0</v>
      </c>
      <c r="AJ26" s="111">
        <v>0</v>
      </c>
      <c r="AK26" s="111">
        <f t="shared" si="8"/>
        <v>0</v>
      </c>
      <c r="AL26" s="111">
        <f t="shared" si="9"/>
        <v>0</v>
      </c>
      <c r="AM26" s="111">
        <v>0</v>
      </c>
      <c r="AN26" s="192"/>
      <c r="AO26" s="193">
        <f t="shared" si="10"/>
        <v>46979.166666666664</v>
      </c>
      <c r="AP26" s="188"/>
      <c r="AQ26" s="188">
        <f t="shared" si="11"/>
        <v>0</v>
      </c>
      <c r="AR26" s="188">
        <f t="shared" si="12"/>
        <v>0</v>
      </c>
      <c r="AS26" s="185"/>
      <c r="AT26" s="194">
        <f t="shared" si="13"/>
        <v>46979.166666666664</v>
      </c>
      <c r="AU26" s="194"/>
      <c r="AV26" s="195"/>
      <c r="AW26" s="112"/>
      <c r="AX26" s="111"/>
      <c r="AY26" s="112"/>
      <c r="AZ26" s="111"/>
      <c r="BA26" s="111"/>
      <c r="BB26" s="111"/>
    </row>
    <row r="27" spans="1:54" s="96" customFormat="1" ht="12">
      <c r="A27" s="205" t="s">
        <v>29</v>
      </c>
      <c r="B27" s="205" t="s">
        <v>152</v>
      </c>
      <c r="C27" s="117" t="s">
        <v>163</v>
      </c>
      <c r="D27" s="182" t="s">
        <v>161</v>
      </c>
      <c r="E27" s="182" t="s">
        <v>136</v>
      </c>
      <c r="F27" s="190" t="s">
        <v>137</v>
      </c>
      <c r="G27" s="181" t="s">
        <v>122</v>
      </c>
      <c r="H27" s="182" t="s">
        <v>134</v>
      </c>
      <c r="I27" s="111" t="str">
        <f t="shared" si="0"/>
        <v>No of Racks</v>
      </c>
      <c r="J27" s="210">
        <v>1</v>
      </c>
      <c r="K27" s="210">
        <v>1</v>
      </c>
      <c r="L27" s="184">
        <f t="shared" si="1"/>
        <v>0</v>
      </c>
      <c r="M27" s="111">
        <f t="shared" si="2"/>
        <v>1</v>
      </c>
      <c r="N27" s="111">
        <f t="shared" si="3"/>
        <v>0</v>
      </c>
      <c r="O27" s="207">
        <f>649950/12</f>
        <v>54162.5</v>
      </c>
      <c r="P27" s="186" t="str">
        <f t="shared" si="4"/>
        <v>Rated</v>
      </c>
      <c r="Q27" s="182" t="s">
        <v>6</v>
      </c>
      <c r="R27" s="210">
        <v>12</v>
      </c>
      <c r="S27" s="233">
        <v>11.14</v>
      </c>
      <c r="T27" s="177">
        <f t="shared" si="15"/>
        <v>0.85999999999999943</v>
      </c>
      <c r="U27" s="178">
        <v>0</v>
      </c>
      <c r="V27" s="178" t="e">
        <f>IF(T27&lt;=0,0,(IF(P27="Rated",(T27+U27)*#REF!,(T27+U27))))</f>
        <v>#REF!</v>
      </c>
      <c r="W27" s="178" t="e">
        <f>IF(P27="Rated",R27*#REF!,R27)</f>
        <v>#REF!</v>
      </c>
      <c r="X27" s="178">
        <f t="shared" si="5"/>
        <v>11.14</v>
      </c>
      <c r="Y27" s="178">
        <f t="shared" si="6"/>
        <v>11.14</v>
      </c>
      <c r="Z27" s="178">
        <f t="shared" si="7"/>
        <v>-0.85999999999999943</v>
      </c>
      <c r="AA27" s="202"/>
      <c r="AB27" s="189" t="s">
        <v>136</v>
      </c>
      <c r="AC27" s="178">
        <v>1.8</v>
      </c>
      <c r="AD27" s="178"/>
      <c r="AE27" s="178"/>
      <c r="AF27" s="178"/>
      <c r="AG27" s="191" t="s">
        <v>126</v>
      </c>
      <c r="AH27" s="111" t="s">
        <v>127</v>
      </c>
      <c r="AI27" s="111">
        <v>0</v>
      </c>
      <c r="AJ27" s="111">
        <v>0</v>
      </c>
      <c r="AK27" s="111">
        <f t="shared" si="8"/>
        <v>0</v>
      </c>
      <c r="AL27" s="111">
        <f t="shared" si="9"/>
        <v>0</v>
      </c>
      <c r="AM27" s="111">
        <v>0</v>
      </c>
      <c r="AN27" s="192"/>
      <c r="AO27" s="193">
        <f t="shared" si="10"/>
        <v>54162.5</v>
      </c>
      <c r="AP27" s="188"/>
      <c r="AQ27" s="188">
        <f t="shared" si="11"/>
        <v>0</v>
      </c>
      <c r="AR27" s="188">
        <f t="shared" si="12"/>
        <v>0</v>
      </c>
      <c r="AS27" s="185"/>
      <c r="AT27" s="194">
        <f t="shared" si="13"/>
        <v>54162.5</v>
      </c>
      <c r="AU27" s="194"/>
      <c r="AV27" s="195"/>
      <c r="AW27" s="112"/>
      <c r="AX27" s="111"/>
      <c r="AY27" s="112"/>
      <c r="AZ27" s="111"/>
      <c r="BA27" s="111"/>
      <c r="BB27" s="111"/>
    </row>
    <row r="28" spans="1:54" s="96" customFormat="1" ht="12">
      <c r="A28" s="205" t="s">
        <v>29</v>
      </c>
      <c r="B28" s="205" t="s">
        <v>152</v>
      </c>
      <c r="C28" s="115" t="s">
        <v>164</v>
      </c>
      <c r="D28" s="182" t="s">
        <v>161</v>
      </c>
      <c r="E28" s="182" t="s">
        <v>136</v>
      </c>
      <c r="F28" s="190" t="s">
        <v>137</v>
      </c>
      <c r="G28" s="181" t="s">
        <v>122</v>
      </c>
      <c r="H28" s="182" t="s">
        <v>134</v>
      </c>
      <c r="I28" s="111" t="str">
        <f t="shared" si="0"/>
        <v>No of Racks</v>
      </c>
      <c r="J28" s="210">
        <v>2</v>
      </c>
      <c r="K28" s="210">
        <v>2</v>
      </c>
      <c r="L28" s="184">
        <f t="shared" si="1"/>
        <v>0</v>
      </c>
      <c r="M28" s="111">
        <f t="shared" si="2"/>
        <v>2</v>
      </c>
      <c r="N28" s="111">
        <f t="shared" si="3"/>
        <v>0</v>
      </c>
      <c r="O28" s="207">
        <f>40500/12</f>
        <v>3375</v>
      </c>
      <c r="P28" s="186" t="str">
        <f t="shared" si="4"/>
        <v>Rated</v>
      </c>
      <c r="Q28" s="182" t="s">
        <v>6</v>
      </c>
      <c r="R28" s="210">
        <v>12</v>
      </c>
      <c r="S28" s="210">
        <v>11.85</v>
      </c>
      <c r="T28" s="177">
        <f t="shared" si="15"/>
        <v>0.15000000000000036</v>
      </c>
      <c r="U28" s="178">
        <v>0</v>
      </c>
      <c r="V28" s="178" t="e">
        <f>IF(T28&lt;=0,0,(IF(P28="Rated",(T28+U28)*#REF!,(T28+U28))))</f>
        <v>#REF!</v>
      </c>
      <c r="W28" s="178" t="e">
        <f>IF(P28="Rated",R28*#REF!,R28)</f>
        <v>#REF!</v>
      </c>
      <c r="X28" s="178">
        <f t="shared" si="5"/>
        <v>11.85</v>
      </c>
      <c r="Y28" s="178">
        <f t="shared" si="6"/>
        <v>11.85</v>
      </c>
      <c r="Z28" s="178">
        <f t="shared" si="7"/>
        <v>-0.15000000000000036</v>
      </c>
      <c r="AA28" s="202">
        <f>90000/12</f>
        <v>7500</v>
      </c>
      <c r="AB28" s="189" t="s">
        <v>136</v>
      </c>
      <c r="AC28" s="178">
        <v>1.8</v>
      </c>
      <c r="AD28" s="178"/>
      <c r="AE28" s="178"/>
      <c r="AF28" s="178"/>
      <c r="AG28" s="191" t="s">
        <v>126</v>
      </c>
      <c r="AH28" s="111" t="s">
        <v>127</v>
      </c>
      <c r="AI28" s="111">
        <v>0</v>
      </c>
      <c r="AJ28" s="111">
        <v>0</v>
      </c>
      <c r="AK28" s="111">
        <f t="shared" si="8"/>
        <v>0</v>
      </c>
      <c r="AL28" s="111">
        <f t="shared" si="9"/>
        <v>0</v>
      </c>
      <c r="AM28" s="111">
        <v>0</v>
      </c>
      <c r="AN28" s="192"/>
      <c r="AO28" s="193">
        <f t="shared" si="10"/>
        <v>6750</v>
      </c>
      <c r="AP28" s="188"/>
      <c r="AQ28" s="188">
        <f t="shared" si="11"/>
        <v>0</v>
      </c>
      <c r="AR28" s="188">
        <f t="shared" si="12"/>
        <v>0</v>
      </c>
      <c r="AS28" s="185"/>
      <c r="AT28" s="194">
        <f t="shared" si="13"/>
        <v>6750</v>
      </c>
      <c r="AU28" s="194"/>
      <c r="AV28" s="195"/>
      <c r="AW28" s="112"/>
      <c r="AX28" s="111"/>
      <c r="AY28" s="112"/>
      <c r="AZ28" s="211"/>
      <c r="BA28" s="111"/>
      <c r="BB28" s="111"/>
    </row>
    <row r="29" spans="1:54" s="96" customFormat="1" ht="12">
      <c r="A29" s="205" t="s">
        <v>29</v>
      </c>
      <c r="B29" s="205" t="s">
        <v>152</v>
      </c>
      <c r="C29" s="117" t="s">
        <v>165</v>
      </c>
      <c r="D29" s="182" t="s">
        <v>161</v>
      </c>
      <c r="E29" s="182" t="s">
        <v>136</v>
      </c>
      <c r="F29" s="190" t="s">
        <v>137</v>
      </c>
      <c r="G29" s="212" t="s">
        <v>156</v>
      </c>
      <c r="H29" s="182" t="s">
        <v>134</v>
      </c>
      <c r="I29" s="111" t="str">
        <f t="shared" si="0"/>
        <v>U Space</v>
      </c>
      <c r="J29" s="210">
        <v>37</v>
      </c>
      <c r="K29" s="210">
        <v>27</v>
      </c>
      <c r="L29" s="184">
        <f t="shared" si="1"/>
        <v>10</v>
      </c>
      <c r="M29" s="111">
        <f t="shared" si="2"/>
        <v>37</v>
      </c>
      <c r="N29" s="111">
        <f t="shared" si="3"/>
        <v>0</v>
      </c>
      <c r="O29" s="207">
        <f>(1216313+858000)/12/2</f>
        <v>86429.708333333328</v>
      </c>
      <c r="P29" s="186" t="str">
        <f t="shared" si="4"/>
        <v>Rated</v>
      </c>
      <c r="Q29" s="182" t="s">
        <v>6</v>
      </c>
      <c r="R29" s="210">
        <v>14.94</v>
      </c>
      <c r="S29" s="210">
        <v>14.94</v>
      </c>
      <c r="T29" s="177">
        <f t="shared" si="15"/>
        <v>0</v>
      </c>
      <c r="U29" s="178">
        <v>0</v>
      </c>
      <c r="V29" s="178">
        <f>IF(T29&lt;=0,0,(IF(P29="Rated",(T29+U29)*#REF!,(T29+U29))))</f>
        <v>0</v>
      </c>
      <c r="W29" s="178" t="e">
        <f>IF(P29="Rated",R29*#REF!,R29)</f>
        <v>#REF!</v>
      </c>
      <c r="X29" s="178">
        <f t="shared" si="5"/>
        <v>14.94</v>
      </c>
      <c r="Y29" s="178">
        <f t="shared" si="6"/>
        <v>14.94</v>
      </c>
      <c r="Z29" s="178">
        <f t="shared" si="7"/>
        <v>0</v>
      </c>
      <c r="AA29" s="202">
        <f>110000/12</f>
        <v>9166.6666666666661</v>
      </c>
      <c r="AB29" s="189" t="s">
        <v>136</v>
      </c>
      <c r="AC29" s="178">
        <v>1.8</v>
      </c>
      <c r="AD29" s="178"/>
      <c r="AE29" s="178"/>
      <c r="AF29" s="178"/>
      <c r="AG29" s="191" t="s">
        <v>126</v>
      </c>
      <c r="AH29" s="111" t="s">
        <v>127</v>
      </c>
      <c r="AI29" s="111">
        <v>0</v>
      </c>
      <c r="AJ29" s="111">
        <v>0</v>
      </c>
      <c r="AK29" s="111">
        <f t="shared" si="8"/>
        <v>0</v>
      </c>
      <c r="AL29" s="111">
        <f t="shared" si="9"/>
        <v>0</v>
      </c>
      <c r="AM29" s="111">
        <v>0</v>
      </c>
      <c r="AN29" s="192"/>
      <c r="AO29" s="193">
        <f t="shared" si="10"/>
        <v>3197899.208333333</v>
      </c>
      <c r="AP29" s="188"/>
      <c r="AQ29" s="188">
        <f t="shared" si="11"/>
        <v>0</v>
      </c>
      <c r="AR29" s="188">
        <f t="shared" si="12"/>
        <v>0</v>
      </c>
      <c r="AS29" s="194"/>
      <c r="AT29" s="194">
        <f t="shared" si="13"/>
        <v>3197899.208333333</v>
      </c>
      <c r="AU29" s="194"/>
      <c r="AV29" s="195"/>
      <c r="AW29" s="112"/>
      <c r="AX29" s="111"/>
      <c r="AY29" s="112"/>
      <c r="AZ29" s="195"/>
      <c r="BA29" s="111"/>
      <c r="BB29" s="111"/>
    </row>
    <row r="30" spans="1:54" s="96" customFormat="1" ht="12">
      <c r="A30" s="205" t="s">
        <v>29</v>
      </c>
      <c r="B30" s="205" t="s">
        <v>152</v>
      </c>
      <c r="C30" s="117" t="s">
        <v>166</v>
      </c>
      <c r="D30" s="182" t="s">
        <v>161</v>
      </c>
      <c r="E30" s="182" t="s">
        <v>136</v>
      </c>
      <c r="F30" s="190" t="s">
        <v>137</v>
      </c>
      <c r="G30" s="181" t="s">
        <v>122</v>
      </c>
      <c r="H30" s="182" t="s">
        <v>134</v>
      </c>
      <c r="I30" s="111" t="str">
        <f t="shared" si="0"/>
        <v>No of Racks</v>
      </c>
      <c r="J30" s="210">
        <v>1</v>
      </c>
      <c r="K30" s="210">
        <v>1</v>
      </c>
      <c r="L30" s="184">
        <f t="shared" si="1"/>
        <v>0</v>
      </c>
      <c r="M30" s="111">
        <f t="shared" si="2"/>
        <v>1</v>
      </c>
      <c r="N30" s="111">
        <f t="shared" si="3"/>
        <v>0</v>
      </c>
      <c r="O30" s="207">
        <f>(907600+412500)/12/2</f>
        <v>55004.166666666664</v>
      </c>
      <c r="P30" s="186" t="str">
        <f t="shared" si="4"/>
        <v>Rated</v>
      </c>
      <c r="Q30" s="182" t="s">
        <v>6</v>
      </c>
      <c r="R30" s="210">
        <v>12</v>
      </c>
      <c r="S30" s="210">
        <v>11.92</v>
      </c>
      <c r="T30" s="177">
        <f t="shared" si="15"/>
        <v>8.0000000000000071E-2</v>
      </c>
      <c r="U30" s="178">
        <v>0</v>
      </c>
      <c r="V30" s="178" t="e">
        <f>IF(T30&lt;=0,0,(IF(P30="Rated",(T30+U30)*#REF!,(T30+U30))))</f>
        <v>#REF!</v>
      </c>
      <c r="W30" s="178" t="e">
        <f>IF(P30="Rated",R30*#REF!,R30)</f>
        <v>#REF!</v>
      </c>
      <c r="X30" s="178">
        <f t="shared" si="5"/>
        <v>11.92</v>
      </c>
      <c r="Y30" s="178">
        <f t="shared" si="6"/>
        <v>11.92</v>
      </c>
      <c r="Z30" s="178">
        <f t="shared" si="7"/>
        <v>-8.0000000000000071E-2</v>
      </c>
      <c r="AA30" s="202">
        <f>80000/12</f>
        <v>6666.666666666667</v>
      </c>
      <c r="AB30" s="189" t="s">
        <v>136</v>
      </c>
      <c r="AC30" s="178">
        <v>1.8</v>
      </c>
      <c r="AD30" s="178"/>
      <c r="AE30" s="178"/>
      <c r="AF30" s="178"/>
      <c r="AG30" s="191" t="s">
        <v>126</v>
      </c>
      <c r="AH30" s="111" t="s">
        <v>127</v>
      </c>
      <c r="AI30" s="111">
        <v>0</v>
      </c>
      <c r="AJ30" s="111">
        <v>0</v>
      </c>
      <c r="AK30" s="111">
        <f t="shared" si="8"/>
        <v>0</v>
      </c>
      <c r="AL30" s="111">
        <f t="shared" si="9"/>
        <v>0</v>
      </c>
      <c r="AM30" s="111">
        <v>0</v>
      </c>
      <c r="AN30" s="192"/>
      <c r="AO30" s="193">
        <f t="shared" si="10"/>
        <v>55004.166666666664</v>
      </c>
      <c r="AP30" s="188"/>
      <c r="AQ30" s="188">
        <f t="shared" si="11"/>
        <v>0</v>
      </c>
      <c r="AR30" s="188">
        <f t="shared" si="12"/>
        <v>0</v>
      </c>
      <c r="AS30" s="185"/>
      <c r="AT30" s="194">
        <f t="shared" si="13"/>
        <v>55004.166666666664</v>
      </c>
      <c r="AU30" s="194"/>
      <c r="AV30" s="195"/>
      <c r="AW30" s="112"/>
      <c r="AX30" s="111"/>
      <c r="AY30" s="112"/>
      <c r="AZ30" s="111"/>
      <c r="BA30" s="111"/>
      <c r="BB30" s="111"/>
    </row>
    <row r="31" spans="1:54" s="96" customFormat="1" ht="12">
      <c r="A31" s="205" t="s">
        <v>29</v>
      </c>
      <c r="B31" s="205" t="s">
        <v>152</v>
      </c>
      <c r="C31" s="117" t="s">
        <v>167</v>
      </c>
      <c r="D31" s="182" t="s">
        <v>161</v>
      </c>
      <c r="E31" s="182" t="s">
        <v>136</v>
      </c>
      <c r="F31" s="190" t="s">
        <v>137</v>
      </c>
      <c r="G31" s="181" t="s">
        <v>122</v>
      </c>
      <c r="H31" s="182" t="s">
        <v>134</v>
      </c>
      <c r="I31" s="111" t="str">
        <f t="shared" si="0"/>
        <v>No of Racks</v>
      </c>
      <c r="J31" s="210">
        <v>11</v>
      </c>
      <c r="K31" s="210">
        <v>11</v>
      </c>
      <c r="L31" s="184">
        <f t="shared" si="1"/>
        <v>0</v>
      </c>
      <c r="M31" s="111">
        <f t="shared" si="2"/>
        <v>11</v>
      </c>
      <c r="N31" s="111">
        <f t="shared" si="3"/>
        <v>0</v>
      </c>
      <c r="O31" s="207">
        <f>561132/12</f>
        <v>46761</v>
      </c>
      <c r="P31" s="186" t="str">
        <f t="shared" si="4"/>
        <v>Rated</v>
      </c>
      <c r="Q31" s="182" t="s">
        <v>6</v>
      </c>
      <c r="R31" s="210">
        <v>115.5</v>
      </c>
      <c r="S31" s="210">
        <v>118.33</v>
      </c>
      <c r="T31" s="177">
        <f t="shared" si="15"/>
        <v>-2.8299999999999983</v>
      </c>
      <c r="U31" s="178">
        <v>0</v>
      </c>
      <c r="V31" s="178">
        <f>IF(T31&lt;=0,0,(IF(P31="Rated",(T31+U31)*#REF!,(T31+U31))))</f>
        <v>0</v>
      </c>
      <c r="W31" s="178" t="e">
        <f>IF(P31="Rated",R31*#REF!,R31)</f>
        <v>#REF!</v>
      </c>
      <c r="X31" s="178">
        <f t="shared" si="5"/>
        <v>118.33</v>
      </c>
      <c r="Y31" s="178">
        <f t="shared" si="6"/>
        <v>118.33</v>
      </c>
      <c r="Z31" s="178">
        <f t="shared" si="7"/>
        <v>2.8299999999999983</v>
      </c>
      <c r="AA31" s="188"/>
      <c r="AB31" s="189" t="s">
        <v>136</v>
      </c>
      <c r="AC31" s="178">
        <v>1.8</v>
      </c>
      <c r="AD31" s="178"/>
      <c r="AE31" s="178"/>
      <c r="AF31" s="178"/>
      <c r="AG31" s="191" t="s">
        <v>126</v>
      </c>
      <c r="AH31" s="111" t="s">
        <v>127</v>
      </c>
      <c r="AI31" s="111">
        <v>0</v>
      </c>
      <c r="AJ31" s="111">
        <v>0</v>
      </c>
      <c r="AK31" s="111">
        <f t="shared" si="8"/>
        <v>0</v>
      </c>
      <c r="AL31" s="111">
        <f t="shared" si="9"/>
        <v>0</v>
      </c>
      <c r="AM31" s="111">
        <v>0</v>
      </c>
      <c r="AN31" s="192"/>
      <c r="AO31" s="193">
        <f t="shared" si="10"/>
        <v>514371</v>
      </c>
      <c r="AP31" s="188"/>
      <c r="AQ31" s="188">
        <f t="shared" si="11"/>
        <v>0</v>
      </c>
      <c r="AR31" s="188">
        <f t="shared" si="12"/>
        <v>0</v>
      </c>
      <c r="AS31" s="185"/>
      <c r="AT31" s="194">
        <f t="shared" si="13"/>
        <v>514371</v>
      </c>
      <c r="AU31" s="194"/>
      <c r="AV31" s="195"/>
      <c r="AW31" s="112"/>
      <c r="AX31" s="111"/>
      <c r="AY31" s="112"/>
      <c r="AZ31" s="111"/>
      <c r="BA31" s="111"/>
      <c r="BB31" s="111"/>
    </row>
    <row r="32" spans="1:54" s="96" customFormat="1" ht="12">
      <c r="A32" s="205" t="s">
        <v>29</v>
      </c>
      <c r="B32" s="205" t="s">
        <v>152</v>
      </c>
      <c r="C32" s="117" t="s">
        <v>168</v>
      </c>
      <c r="D32" s="182" t="s">
        <v>161</v>
      </c>
      <c r="E32" s="182" t="s">
        <v>136</v>
      </c>
      <c r="F32" s="190" t="s">
        <v>137</v>
      </c>
      <c r="G32" s="181" t="s">
        <v>122</v>
      </c>
      <c r="H32" s="182" t="s">
        <v>134</v>
      </c>
      <c r="I32" s="111" t="str">
        <f t="shared" si="0"/>
        <v>No of Racks</v>
      </c>
      <c r="J32" s="210">
        <v>4</v>
      </c>
      <c r="K32" s="210">
        <v>4</v>
      </c>
      <c r="L32" s="184">
        <f t="shared" si="1"/>
        <v>0</v>
      </c>
      <c r="M32" s="111">
        <f t="shared" si="2"/>
        <v>4</v>
      </c>
      <c r="N32" s="111">
        <f t="shared" si="3"/>
        <v>0</v>
      </c>
      <c r="O32" s="207">
        <f>610000/12</f>
        <v>50833.333333333336</v>
      </c>
      <c r="P32" s="186" t="str">
        <f t="shared" si="4"/>
        <v>Rated</v>
      </c>
      <c r="Q32" s="182" t="s">
        <v>6</v>
      </c>
      <c r="R32" s="210">
        <v>12</v>
      </c>
      <c r="S32" s="210">
        <v>7.28</v>
      </c>
      <c r="T32" s="177">
        <f t="shared" si="15"/>
        <v>4.72</v>
      </c>
      <c r="U32" s="178">
        <v>0</v>
      </c>
      <c r="V32" s="178" t="e">
        <f>IF(T32&lt;=0,0,(IF(P32="Rated",(T32+U32)*#REF!,(T32+U32))))</f>
        <v>#REF!</v>
      </c>
      <c r="W32" s="178" t="e">
        <f>IF(P32="Rated",R32*#REF!,R32)</f>
        <v>#REF!</v>
      </c>
      <c r="X32" s="178">
        <f t="shared" si="5"/>
        <v>7.28</v>
      </c>
      <c r="Y32" s="178">
        <f t="shared" si="6"/>
        <v>7.28</v>
      </c>
      <c r="Z32" s="178">
        <f t="shared" si="7"/>
        <v>-4.72</v>
      </c>
      <c r="AA32" s="188"/>
      <c r="AB32" s="189" t="s">
        <v>136</v>
      </c>
      <c r="AC32" s="178">
        <v>1.8</v>
      </c>
      <c r="AD32" s="178"/>
      <c r="AE32" s="178"/>
      <c r="AF32" s="178"/>
      <c r="AG32" s="191" t="s">
        <v>126</v>
      </c>
      <c r="AH32" s="111" t="s">
        <v>127</v>
      </c>
      <c r="AI32" s="111">
        <v>0</v>
      </c>
      <c r="AJ32" s="111">
        <v>0</v>
      </c>
      <c r="AK32" s="111">
        <f t="shared" si="8"/>
        <v>0</v>
      </c>
      <c r="AL32" s="111">
        <f t="shared" si="9"/>
        <v>0</v>
      </c>
      <c r="AM32" s="111">
        <v>0</v>
      </c>
      <c r="AN32" s="192"/>
      <c r="AO32" s="193">
        <f t="shared" si="10"/>
        <v>203333.33333333334</v>
      </c>
      <c r="AP32" s="188"/>
      <c r="AQ32" s="188">
        <f t="shared" si="11"/>
        <v>0</v>
      </c>
      <c r="AR32" s="188">
        <f t="shared" si="12"/>
        <v>0</v>
      </c>
      <c r="AS32" s="185"/>
      <c r="AT32" s="194">
        <f t="shared" si="13"/>
        <v>203333.33333333334</v>
      </c>
      <c r="AU32" s="194"/>
      <c r="AV32" s="195"/>
      <c r="AW32" s="112"/>
      <c r="AX32" s="111"/>
      <c r="AY32" s="112"/>
      <c r="AZ32" s="111"/>
      <c r="BA32" s="111"/>
      <c r="BB32" s="111"/>
    </row>
    <row r="33" spans="1:54" s="96" customFormat="1" ht="12">
      <c r="A33" s="205" t="s">
        <v>29</v>
      </c>
      <c r="B33" s="205" t="s">
        <v>152</v>
      </c>
      <c r="C33" s="115" t="s">
        <v>169</v>
      </c>
      <c r="D33" s="182" t="s">
        <v>161</v>
      </c>
      <c r="E33" s="182" t="s">
        <v>136</v>
      </c>
      <c r="F33" s="190" t="s">
        <v>137</v>
      </c>
      <c r="G33" s="181" t="s">
        <v>122</v>
      </c>
      <c r="H33" s="182" t="s">
        <v>134</v>
      </c>
      <c r="I33" s="111" t="str">
        <f t="shared" si="0"/>
        <v>No of Racks</v>
      </c>
      <c r="J33" s="210">
        <v>2</v>
      </c>
      <c r="K33" s="210">
        <v>2</v>
      </c>
      <c r="L33" s="184">
        <f t="shared" si="1"/>
        <v>0</v>
      </c>
      <c r="M33" s="111">
        <f t="shared" si="2"/>
        <v>2</v>
      </c>
      <c r="N33" s="111">
        <f t="shared" si="3"/>
        <v>0</v>
      </c>
      <c r="O33" s="207">
        <f>490000/12</f>
        <v>40833.333333333336</v>
      </c>
      <c r="P33" s="186" t="str">
        <f t="shared" si="4"/>
        <v>Rated</v>
      </c>
      <c r="Q33" s="182" t="s">
        <v>6</v>
      </c>
      <c r="R33" s="210">
        <v>10</v>
      </c>
      <c r="S33" s="210">
        <v>9.27</v>
      </c>
      <c r="T33" s="177">
        <f t="shared" si="15"/>
        <v>0.73000000000000043</v>
      </c>
      <c r="U33" s="178">
        <v>0</v>
      </c>
      <c r="V33" s="178" t="e">
        <f>IF(T33&lt;=0,0,(IF(P33="Rated",(T33+U33)*#REF!,(T33+U33))))</f>
        <v>#REF!</v>
      </c>
      <c r="W33" s="178" t="e">
        <f>IF(P33="Rated",R33*#REF!,R33)</f>
        <v>#REF!</v>
      </c>
      <c r="X33" s="178">
        <f t="shared" si="5"/>
        <v>9.27</v>
      </c>
      <c r="Y33" s="178">
        <f t="shared" si="6"/>
        <v>9.27</v>
      </c>
      <c r="Z33" s="178">
        <f t="shared" si="7"/>
        <v>-0.73000000000000043</v>
      </c>
      <c r="AA33" s="188"/>
      <c r="AB33" s="189" t="s">
        <v>136</v>
      </c>
      <c r="AC33" s="178">
        <v>1.8</v>
      </c>
      <c r="AD33" s="178"/>
      <c r="AE33" s="178"/>
      <c r="AF33" s="178"/>
      <c r="AG33" s="191" t="s">
        <v>126</v>
      </c>
      <c r="AH33" s="111" t="s">
        <v>127</v>
      </c>
      <c r="AI33" s="111">
        <v>0</v>
      </c>
      <c r="AJ33" s="111">
        <v>0</v>
      </c>
      <c r="AK33" s="111">
        <f t="shared" si="8"/>
        <v>0</v>
      </c>
      <c r="AL33" s="111">
        <f t="shared" si="9"/>
        <v>0</v>
      </c>
      <c r="AM33" s="111">
        <v>0</v>
      </c>
      <c r="AN33" s="192"/>
      <c r="AO33" s="193">
        <f t="shared" si="10"/>
        <v>81666.666666666672</v>
      </c>
      <c r="AP33" s="188"/>
      <c r="AQ33" s="188">
        <f t="shared" si="11"/>
        <v>0</v>
      </c>
      <c r="AR33" s="188">
        <f t="shared" si="12"/>
        <v>0</v>
      </c>
      <c r="AS33" s="185"/>
      <c r="AT33" s="194">
        <f t="shared" si="13"/>
        <v>81666.666666666672</v>
      </c>
      <c r="AU33" s="194"/>
      <c r="AV33" s="195"/>
      <c r="AW33" s="112"/>
      <c r="AX33" s="111"/>
      <c r="AY33" s="112"/>
      <c r="AZ33" s="111"/>
      <c r="BA33" s="111"/>
      <c r="BB33" s="111"/>
    </row>
    <row r="34" spans="1:54" s="96" customFormat="1" ht="12">
      <c r="A34" s="205" t="s">
        <v>29</v>
      </c>
      <c r="B34" s="205" t="s">
        <v>152</v>
      </c>
      <c r="C34" s="117" t="s">
        <v>170</v>
      </c>
      <c r="D34" s="182" t="s">
        <v>161</v>
      </c>
      <c r="E34" s="182" t="s">
        <v>136</v>
      </c>
      <c r="F34" s="190" t="s">
        <v>137</v>
      </c>
      <c r="G34" s="181" t="s">
        <v>122</v>
      </c>
      <c r="H34" s="182" t="s">
        <v>134</v>
      </c>
      <c r="I34" s="111" t="str">
        <f t="shared" ref="I34:I65" si="19">IF(G34="Rack","No of Racks",(IF(G34="Space","Sq Ft","U Space")))</f>
        <v>No of Racks</v>
      </c>
      <c r="J34" s="210">
        <v>7</v>
      </c>
      <c r="K34" s="210">
        <v>7</v>
      </c>
      <c r="L34" s="184">
        <f t="shared" ref="L34:L65" si="20">J34-K34</f>
        <v>0</v>
      </c>
      <c r="M34" s="111">
        <f t="shared" ref="M34:M65" si="21">J34</f>
        <v>7</v>
      </c>
      <c r="N34" s="111">
        <f t="shared" ref="N34:N65" si="22">J34-M34</f>
        <v>0</v>
      </c>
      <c r="O34" s="207">
        <f>498000/12</f>
        <v>41500</v>
      </c>
      <c r="P34" s="186" t="str">
        <f t="shared" ref="P34:P65" si="23">E34</f>
        <v>Rated</v>
      </c>
      <c r="Q34" s="182" t="s">
        <v>6</v>
      </c>
      <c r="R34" s="201">
        <v>48.53</v>
      </c>
      <c r="S34" s="210">
        <v>47.9</v>
      </c>
      <c r="T34" s="177">
        <f t="shared" ref="T34:T65" si="24">R34-S34</f>
        <v>0.63000000000000256</v>
      </c>
      <c r="U34" s="178">
        <v>0</v>
      </c>
      <c r="V34" s="178" t="e">
        <f>IF(T34&lt;=0,0,(IF(P34="Rated",(T34+U34)*#REF!,(T34+U34))))</f>
        <v>#REF!</v>
      </c>
      <c r="W34" s="178" t="e">
        <f>IF(P34="Rated",R34*#REF!,R34)</f>
        <v>#REF!</v>
      </c>
      <c r="X34" s="178">
        <f t="shared" ref="X34:X65" si="25">S34</f>
        <v>47.9</v>
      </c>
      <c r="Y34" s="178">
        <f t="shared" ref="Y34:Y65" si="26">S34</f>
        <v>47.9</v>
      </c>
      <c r="Z34" s="178">
        <f t="shared" ref="Z34:Z65" si="27">T34*-1</f>
        <v>-0.63000000000000256</v>
      </c>
      <c r="AA34" s="202">
        <f>110000/12</f>
        <v>9166.6666666666661</v>
      </c>
      <c r="AB34" s="189" t="s">
        <v>136</v>
      </c>
      <c r="AC34" s="178">
        <v>1.8</v>
      </c>
      <c r="AD34" s="178"/>
      <c r="AE34" s="178"/>
      <c r="AF34" s="178"/>
      <c r="AG34" s="191" t="s">
        <v>126</v>
      </c>
      <c r="AH34" s="111" t="s">
        <v>127</v>
      </c>
      <c r="AI34" s="111">
        <v>0</v>
      </c>
      <c r="AJ34" s="111">
        <v>0</v>
      </c>
      <c r="AK34" s="111">
        <f t="shared" ref="AK34:AK65" si="28">AI34-AJ34</f>
        <v>0</v>
      </c>
      <c r="AL34" s="111">
        <f t="shared" ref="AL34:AL65" si="29">AI34</f>
        <v>0</v>
      </c>
      <c r="AM34" s="111">
        <v>0</v>
      </c>
      <c r="AN34" s="192"/>
      <c r="AO34" s="193">
        <f t="shared" si="10"/>
        <v>290500</v>
      </c>
      <c r="AP34" s="188"/>
      <c r="AQ34" s="188">
        <f t="shared" si="11"/>
        <v>0</v>
      </c>
      <c r="AR34" s="188">
        <f t="shared" si="12"/>
        <v>0</v>
      </c>
      <c r="AS34" s="185"/>
      <c r="AT34" s="194">
        <f t="shared" si="13"/>
        <v>290500</v>
      </c>
      <c r="AU34" s="194"/>
      <c r="AV34" s="195"/>
      <c r="AW34" s="112"/>
      <c r="AX34" s="111"/>
      <c r="AY34" s="112"/>
      <c r="AZ34" s="111"/>
      <c r="BA34" s="111"/>
      <c r="BB34" s="111"/>
    </row>
    <row r="35" spans="1:54" s="96" customFormat="1" ht="12">
      <c r="A35" s="205" t="s">
        <v>29</v>
      </c>
      <c r="B35" s="205" t="s">
        <v>152</v>
      </c>
      <c r="C35" s="115" t="s">
        <v>171</v>
      </c>
      <c r="D35" s="182" t="s">
        <v>161</v>
      </c>
      <c r="E35" s="182" t="s">
        <v>136</v>
      </c>
      <c r="F35" s="190" t="s">
        <v>137</v>
      </c>
      <c r="G35" s="181" t="s">
        <v>156</v>
      </c>
      <c r="H35" s="182" t="s">
        <v>134</v>
      </c>
      <c r="I35" s="111" t="str">
        <f t="shared" si="19"/>
        <v>U Space</v>
      </c>
      <c r="J35" s="210">
        <v>9</v>
      </c>
      <c r="K35" s="210">
        <v>9</v>
      </c>
      <c r="L35" s="184">
        <f t="shared" si="20"/>
        <v>0</v>
      </c>
      <c r="M35" s="111">
        <f t="shared" si="21"/>
        <v>9</v>
      </c>
      <c r="N35" s="111">
        <f t="shared" si="22"/>
        <v>0</v>
      </c>
      <c r="O35" s="207">
        <f>32000/12</f>
        <v>2666.6666666666665</v>
      </c>
      <c r="P35" s="186" t="str">
        <f t="shared" si="23"/>
        <v>Rated</v>
      </c>
      <c r="Q35" s="182" t="s">
        <v>6</v>
      </c>
      <c r="R35" s="210">
        <v>8.06</v>
      </c>
      <c r="S35" s="210">
        <v>3.9</v>
      </c>
      <c r="T35" s="177">
        <f t="shared" si="24"/>
        <v>4.16</v>
      </c>
      <c r="U35" s="178">
        <v>0</v>
      </c>
      <c r="V35" s="178" t="e">
        <f>IF(T35&lt;=0,0,(IF(P35="Rated",(T35+U35)*#REF!,(T35+U35))))</f>
        <v>#REF!</v>
      </c>
      <c r="W35" s="178" t="e">
        <f>IF(P35="Rated",R35*#REF!,R35)</f>
        <v>#REF!</v>
      </c>
      <c r="X35" s="178">
        <f t="shared" si="25"/>
        <v>3.9</v>
      </c>
      <c r="Y35" s="178">
        <f t="shared" si="26"/>
        <v>3.9</v>
      </c>
      <c r="Z35" s="178">
        <f t="shared" si="27"/>
        <v>-4.16</v>
      </c>
      <c r="AA35" s="202">
        <v>0</v>
      </c>
      <c r="AB35" s="189" t="s">
        <v>136</v>
      </c>
      <c r="AC35" s="178">
        <v>1.8</v>
      </c>
      <c r="AD35" s="178"/>
      <c r="AE35" s="178"/>
      <c r="AF35" s="178"/>
      <c r="AG35" s="191" t="s">
        <v>126</v>
      </c>
      <c r="AH35" s="111" t="s">
        <v>127</v>
      </c>
      <c r="AI35" s="111">
        <v>0</v>
      </c>
      <c r="AJ35" s="111">
        <v>0</v>
      </c>
      <c r="AK35" s="111">
        <f t="shared" si="28"/>
        <v>0</v>
      </c>
      <c r="AL35" s="111">
        <f t="shared" si="29"/>
        <v>0</v>
      </c>
      <c r="AM35" s="111">
        <v>0</v>
      </c>
      <c r="AN35" s="192"/>
      <c r="AO35" s="193">
        <f t="shared" si="10"/>
        <v>24000</v>
      </c>
      <c r="AP35" s="188"/>
      <c r="AQ35" s="188">
        <f t="shared" si="11"/>
        <v>0</v>
      </c>
      <c r="AR35" s="188">
        <f t="shared" si="12"/>
        <v>0</v>
      </c>
      <c r="AS35" s="185"/>
      <c r="AT35" s="194">
        <f t="shared" si="13"/>
        <v>24000</v>
      </c>
      <c r="AU35" s="194"/>
      <c r="AV35" s="195"/>
      <c r="AW35" s="112"/>
      <c r="AX35" s="111"/>
      <c r="AY35" s="112"/>
      <c r="AZ35" s="111"/>
      <c r="BA35" s="111"/>
      <c r="BB35" s="111"/>
    </row>
    <row r="36" spans="1:54" s="96" customFormat="1" ht="12">
      <c r="A36" s="205" t="s">
        <v>29</v>
      </c>
      <c r="B36" s="205" t="s">
        <v>152</v>
      </c>
      <c r="C36" s="117" t="s">
        <v>172</v>
      </c>
      <c r="D36" s="182" t="s">
        <v>161</v>
      </c>
      <c r="E36" s="182" t="s">
        <v>136</v>
      </c>
      <c r="F36" s="190" t="s">
        <v>137</v>
      </c>
      <c r="G36" s="181" t="s">
        <v>122</v>
      </c>
      <c r="H36" s="182" t="s">
        <v>134</v>
      </c>
      <c r="I36" s="111" t="str">
        <f t="shared" si="19"/>
        <v>No of Racks</v>
      </c>
      <c r="J36" s="210">
        <v>2</v>
      </c>
      <c r="K36" s="210">
        <v>2</v>
      </c>
      <c r="L36" s="184">
        <f t="shared" si="20"/>
        <v>0</v>
      </c>
      <c r="M36" s="111">
        <f t="shared" si="21"/>
        <v>2</v>
      </c>
      <c r="N36" s="111">
        <f t="shared" si="22"/>
        <v>0</v>
      </c>
      <c r="O36" s="202">
        <f>(510500+365000)/2/12</f>
        <v>36479.166666666664</v>
      </c>
      <c r="P36" s="186" t="str">
        <f t="shared" si="23"/>
        <v>Rated</v>
      </c>
      <c r="Q36" s="182" t="s">
        <v>6</v>
      </c>
      <c r="R36" s="210">
        <v>21</v>
      </c>
      <c r="S36" s="210">
        <v>23.3</v>
      </c>
      <c r="T36" s="177">
        <f t="shared" si="24"/>
        <v>-2.3000000000000007</v>
      </c>
      <c r="U36" s="178">
        <v>0</v>
      </c>
      <c r="V36" s="178">
        <f>IF(T36&lt;=0,0,(IF(P36="Rated",(T36+U36)*#REF!,(T36+U36))))</f>
        <v>0</v>
      </c>
      <c r="W36" s="178" t="e">
        <f>IF(P36="Rated",R36*#REF!,R36)</f>
        <v>#REF!</v>
      </c>
      <c r="X36" s="178">
        <f t="shared" si="25"/>
        <v>23.3</v>
      </c>
      <c r="Y36" s="178">
        <f t="shared" si="26"/>
        <v>23.3</v>
      </c>
      <c r="Z36" s="178">
        <f t="shared" si="27"/>
        <v>2.3000000000000007</v>
      </c>
      <c r="AA36" s="202">
        <f>85000/12</f>
        <v>7083.333333333333</v>
      </c>
      <c r="AB36" s="189" t="s">
        <v>136</v>
      </c>
      <c r="AC36" s="178">
        <v>1.8</v>
      </c>
      <c r="AD36" s="178"/>
      <c r="AE36" s="178"/>
      <c r="AF36" s="178"/>
      <c r="AG36" s="191" t="s">
        <v>126</v>
      </c>
      <c r="AH36" s="111" t="s">
        <v>127</v>
      </c>
      <c r="AI36" s="111">
        <v>0</v>
      </c>
      <c r="AJ36" s="111">
        <v>0</v>
      </c>
      <c r="AK36" s="111">
        <f t="shared" si="28"/>
        <v>0</v>
      </c>
      <c r="AL36" s="111">
        <f t="shared" si="29"/>
        <v>0</v>
      </c>
      <c r="AM36" s="111">
        <v>0</v>
      </c>
      <c r="AN36" s="192"/>
      <c r="AO36" s="193">
        <f t="shared" si="10"/>
        <v>72958.333333333328</v>
      </c>
      <c r="AP36" s="188"/>
      <c r="AQ36" s="188">
        <f t="shared" si="11"/>
        <v>0</v>
      </c>
      <c r="AR36" s="188">
        <f t="shared" si="12"/>
        <v>0</v>
      </c>
      <c r="AS36" s="185"/>
      <c r="AT36" s="194">
        <f t="shared" si="13"/>
        <v>72958.333333333328</v>
      </c>
      <c r="AU36" s="194"/>
      <c r="AV36" s="195"/>
      <c r="AW36" s="112"/>
      <c r="AX36" s="111"/>
      <c r="AY36" s="112"/>
      <c r="AZ36" s="111"/>
      <c r="BA36" s="111"/>
      <c r="BB36" s="111"/>
    </row>
    <row r="37" spans="1:54" s="96" customFormat="1" ht="12">
      <c r="A37" s="205" t="s">
        <v>29</v>
      </c>
      <c r="B37" s="205" t="s">
        <v>152</v>
      </c>
      <c r="C37" s="115" t="s">
        <v>173</v>
      </c>
      <c r="D37" s="182" t="s">
        <v>161</v>
      </c>
      <c r="E37" s="182" t="s">
        <v>136</v>
      </c>
      <c r="F37" s="190" t="s">
        <v>137</v>
      </c>
      <c r="G37" s="181" t="s">
        <v>156</v>
      </c>
      <c r="H37" s="182" t="s">
        <v>134</v>
      </c>
      <c r="I37" s="111" t="str">
        <f t="shared" si="19"/>
        <v>U Space</v>
      </c>
      <c r="J37" s="210">
        <v>8</v>
      </c>
      <c r="K37" s="210">
        <v>5</v>
      </c>
      <c r="L37" s="184">
        <f t="shared" si="20"/>
        <v>3</v>
      </c>
      <c r="M37" s="111">
        <f t="shared" si="21"/>
        <v>8</v>
      </c>
      <c r="N37" s="111">
        <f t="shared" si="22"/>
        <v>0</v>
      </c>
      <c r="O37" s="202">
        <f>550000/12</f>
        <v>45833.333333333336</v>
      </c>
      <c r="P37" s="186" t="str">
        <f t="shared" si="23"/>
        <v>Rated</v>
      </c>
      <c r="Q37" s="182" t="s">
        <v>6</v>
      </c>
      <c r="R37" s="210">
        <v>1.75</v>
      </c>
      <c r="S37" s="210">
        <v>1.6</v>
      </c>
      <c r="T37" s="177">
        <f t="shared" si="24"/>
        <v>0.14999999999999991</v>
      </c>
      <c r="U37" s="178">
        <v>0</v>
      </c>
      <c r="V37" s="178" t="e">
        <f>IF(T37&lt;=0,0,(IF(P37="Rated",(T37+U37)*#REF!,(T37+U37))))</f>
        <v>#REF!</v>
      </c>
      <c r="W37" s="178" t="e">
        <f>IF(P37="Rated",R37*#REF!,R37)</f>
        <v>#REF!</v>
      </c>
      <c r="X37" s="178">
        <f t="shared" si="25"/>
        <v>1.6</v>
      </c>
      <c r="Y37" s="178">
        <f t="shared" si="26"/>
        <v>1.6</v>
      </c>
      <c r="Z37" s="178">
        <f t="shared" si="27"/>
        <v>-0.14999999999999991</v>
      </c>
      <c r="AA37" s="202">
        <f>90000/12</f>
        <v>7500</v>
      </c>
      <c r="AB37" s="189" t="s">
        <v>136</v>
      </c>
      <c r="AC37" s="178">
        <v>1.8</v>
      </c>
      <c r="AD37" s="178"/>
      <c r="AE37" s="178"/>
      <c r="AF37" s="178"/>
      <c r="AG37" s="191" t="s">
        <v>126</v>
      </c>
      <c r="AH37" s="111" t="s">
        <v>127</v>
      </c>
      <c r="AI37" s="111">
        <v>0</v>
      </c>
      <c r="AJ37" s="111">
        <v>0</v>
      </c>
      <c r="AK37" s="111">
        <f t="shared" si="28"/>
        <v>0</v>
      </c>
      <c r="AL37" s="111">
        <f t="shared" si="29"/>
        <v>0</v>
      </c>
      <c r="AM37" s="111">
        <v>0</v>
      </c>
      <c r="AN37" s="192"/>
      <c r="AO37" s="111"/>
      <c r="AP37" s="111"/>
      <c r="AQ37" s="111"/>
      <c r="AR37" s="111"/>
      <c r="AS37" s="111"/>
      <c r="AT37" s="111"/>
      <c r="AU37" s="111"/>
      <c r="AV37" s="111"/>
      <c r="AW37" s="111"/>
      <c r="AX37" s="111"/>
      <c r="AY37" s="111"/>
      <c r="AZ37" s="111"/>
      <c r="BA37" s="111"/>
      <c r="BB37" s="111"/>
    </row>
    <row r="38" spans="1:54" s="96" customFormat="1" ht="12">
      <c r="A38" s="205" t="s">
        <v>29</v>
      </c>
      <c r="B38" s="205" t="s">
        <v>152</v>
      </c>
      <c r="C38" s="117" t="s">
        <v>174</v>
      </c>
      <c r="D38" s="182" t="s">
        <v>161</v>
      </c>
      <c r="E38" s="182" t="s">
        <v>136</v>
      </c>
      <c r="F38" s="190" t="s">
        <v>137</v>
      </c>
      <c r="G38" s="181" t="s">
        <v>122</v>
      </c>
      <c r="H38" s="182" t="s">
        <v>134</v>
      </c>
      <c r="I38" s="111" t="str">
        <f t="shared" si="19"/>
        <v>No of Racks</v>
      </c>
      <c r="J38" s="210">
        <v>4</v>
      </c>
      <c r="K38" s="210">
        <v>4</v>
      </c>
      <c r="L38" s="184">
        <f t="shared" si="20"/>
        <v>0</v>
      </c>
      <c r="M38" s="111">
        <f t="shared" si="21"/>
        <v>4</v>
      </c>
      <c r="N38" s="111">
        <f t="shared" si="22"/>
        <v>0</v>
      </c>
      <c r="O38" s="202">
        <f>600000/12</f>
        <v>50000</v>
      </c>
      <c r="P38" s="186" t="str">
        <f t="shared" si="23"/>
        <v>Rated</v>
      </c>
      <c r="Q38" s="182" t="s">
        <v>6</v>
      </c>
      <c r="R38" s="210">
        <v>33</v>
      </c>
      <c r="S38" s="210">
        <v>28.03</v>
      </c>
      <c r="T38" s="177">
        <f t="shared" si="24"/>
        <v>4.9699999999999989</v>
      </c>
      <c r="U38" s="178">
        <v>0</v>
      </c>
      <c r="V38" s="178" t="e">
        <f>IF(T38&lt;=0,0,(IF(P38="Rated",(T38+U38)*#REF!,(T38+U38))))</f>
        <v>#REF!</v>
      </c>
      <c r="W38" s="178" t="e">
        <f>IF(P38="Rated",R38*#REF!,R38)</f>
        <v>#REF!</v>
      </c>
      <c r="X38" s="178">
        <f t="shared" si="25"/>
        <v>28.03</v>
      </c>
      <c r="Y38" s="178">
        <f t="shared" si="26"/>
        <v>28.03</v>
      </c>
      <c r="Z38" s="178">
        <f t="shared" si="27"/>
        <v>-4.9699999999999989</v>
      </c>
      <c r="AA38" s="202">
        <f>90000/12</f>
        <v>7500</v>
      </c>
      <c r="AB38" s="189" t="s">
        <v>136</v>
      </c>
      <c r="AC38" s="178">
        <v>1.8</v>
      </c>
      <c r="AD38" s="111"/>
      <c r="AE38" s="179"/>
      <c r="AF38" s="179"/>
      <c r="AG38" s="191" t="s">
        <v>126</v>
      </c>
      <c r="AH38" s="111" t="s">
        <v>127</v>
      </c>
      <c r="AI38" s="111">
        <v>0</v>
      </c>
      <c r="AJ38" s="111">
        <v>0</v>
      </c>
      <c r="AK38" s="111">
        <f t="shared" si="28"/>
        <v>0</v>
      </c>
      <c r="AL38" s="111">
        <f t="shared" si="29"/>
        <v>0</v>
      </c>
      <c r="AM38" s="111">
        <v>0</v>
      </c>
      <c r="AN38" s="111"/>
      <c r="AO38" s="111"/>
      <c r="AP38" s="111"/>
      <c r="AQ38" s="111"/>
      <c r="AR38" s="111"/>
      <c r="AS38" s="111"/>
      <c r="AT38" s="111"/>
      <c r="AU38" s="111"/>
      <c r="AV38" s="111"/>
      <c r="AW38" s="111"/>
      <c r="AX38" s="111"/>
      <c r="AY38" s="111"/>
      <c r="AZ38" s="111"/>
      <c r="BA38" s="111"/>
      <c r="BB38" s="111"/>
    </row>
    <row r="39" spans="1:54" s="96" customFormat="1" ht="12">
      <c r="A39" s="205" t="s">
        <v>29</v>
      </c>
      <c r="B39" s="205" t="s">
        <v>152</v>
      </c>
      <c r="C39" s="115" t="s">
        <v>175</v>
      </c>
      <c r="D39" s="182" t="s">
        <v>161</v>
      </c>
      <c r="E39" s="182" t="s">
        <v>136</v>
      </c>
      <c r="F39" s="190" t="s">
        <v>137</v>
      </c>
      <c r="G39" s="181" t="s">
        <v>122</v>
      </c>
      <c r="H39" s="182" t="s">
        <v>134</v>
      </c>
      <c r="I39" s="111" t="str">
        <f t="shared" si="19"/>
        <v>No of Racks</v>
      </c>
      <c r="J39" s="210">
        <v>1</v>
      </c>
      <c r="K39" s="210">
        <v>1</v>
      </c>
      <c r="L39" s="184">
        <f t="shared" si="20"/>
        <v>0</v>
      </c>
      <c r="M39" s="111">
        <f t="shared" si="21"/>
        <v>1</v>
      </c>
      <c r="N39" s="111">
        <f t="shared" si="22"/>
        <v>0</v>
      </c>
      <c r="O39" s="202">
        <f>267076/12</f>
        <v>22256.333333333332</v>
      </c>
      <c r="P39" s="186" t="str">
        <f t="shared" si="23"/>
        <v>Rated</v>
      </c>
      <c r="Q39" s="182" t="s">
        <v>6</v>
      </c>
      <c r="R39" s="210">
        <v>9</v>
      </c>
      <c r="S39" s="210">
        <v>2.9</v>
      </c>
      <c r="T39" s="177">
        <f t="shared" si="24"/>
        <v>6.1</v>
      </c>
      <c r="U39" s="178">
        <v>0</v>
      </c>
      <c r="V39" s="178" t="e">
        <f>IF(T39&lt;=0,0,(IF(P39="Rated",(T39+U39)*#REF!,(T39+U39))))</f>
        <v>#REF!</v>
      </c>
      <c r="W39" s="178" t="e">
        <f>IF(P39="Rated",R39*#REF!,R39)</f>
        <v>#REF!</v>
      </c>
      <c r="X39" s="178">
        <f t="shared" si="25"/>
        <v>2.9</v>
      </c>
      <c r="Y39" s="178">
        <f t="shared" si="26"/>
        <v>2.9</v>
      </c>
      <c r="Z39" s="178">
        <f t="shared" si="27"/>
        <v>-6.1</v>
      </c>
      <c r="AA39" s="202">
        <f>90000/12</f>
        <v>7500</v>
      </c>
      <c r="AB39" s="189" t="s">
        <v>136</v>
      </c>
      <c r="AC39" s="178">
        <v>1.8</v>
      </c>
      <c r="AD39" s="111"/>
      <c r="AE39" s="179"/>
      <c r="AF39" s="179"/>
      <c r="AG39" s="191" t="s">
        <v>126</v>
      </c>
      <c r="AH39" s="111" t="s">
        <v>127</v>
      </c>
      <c r="AI39" s="111">
        <v>0</v>
      </c>
      <c r="AJ39" s="111">
        <v>0</v>
      </c>
      <c r="AK39" s="111">
        <f t="shared" si="28"/>
        <v>0</v>
      </c>
      <c r="AL39" s="111">
        <f t="shared" si="29"/>
        <v>0</v>
      </c>
      <c r="AM39" s="111">
        <v>0</v>
      </c>
      <c r="AN39" s="111"/>
      <c r="AO39" s="111"/>
      <c r="AP39" s="111"/>
      <c r="AQ39" s="111"/>
      <c r="AR39" s="111"/>
      <c r="AS39" s="111"/>
      <c r="AT39" s="111"/>
      <c r="AU39" s="111"/>
      <c r="AV39" s="111"/>
      <c r="AW39" s="111"/>
      <c r="AX39" s="111"/>
      <c r="AY39" s="111"/>
      <c r="AZ39" s="111"/>
      <c r="BA39" s="111"/>
      <c r="BB39" s="111"/>
    </row>
    <row r="40" spans="1:54" s="96" customFormat="1" ht="12">
      <c r="A40" s="205" t="s">
        <v>29</v>
      </c>
      <c r="B40" s="205" t="s">
        <v>152</v>
      </c>
      <c r="C40" s="117" t="s">
        <v>176</v>
      </c>
      <c r="D40" s="182" t="s">
        <v>161</v>
      </c>
      <c r="E40" s="182" t="s">
        <v>136</v>
      </c>
      <c r="F40" s="190" t="s">
        <v>137</v>
      </c>
      <c r="G40" s="181" t="s">
        <v>122</v>
      </c>
      <c r="H40" s="182" t="s">
        <v>134</v>
      </c>
      <c r="I40" s="111" t="str">
        <f t="shared" si="19"/>
        <v>No of Racks</v>
      </c>
      <c r="J40" s="210">
        <v>3</v>
      </c>
      <c r="K40" s="210">
        <v>3</v>
      </c>
      <c r="L40" s="184">
        <f t="shared" si="20"/>
        <v>0</v>
      </c>
      <c r="M40" s="111">
        <f t="shared" si="21"/>
        <v>3</v>
      </c>
      <c r="N40" s="111">
        <f t="shared" si="22"/>
        <v>0</v>
      </c>
      <c r="O40" s="202">
        <f>420800/12</f>
        <v>35066.666666666664</v>
      </c>
      <c r="P40" s="186" t="str">
        <f t="shared" si="23"/>
        <v>Rated</v>
      </c>
      <c r="Q40" s="182" t="s">
        <v>6</v>
      </c>
      <c r="R40" s="210">
        <v>37.5</v>
      </c>
      <c r="S40" s="210">
        <v>9.82</v>
      </c>
      <c r="T40" s="177">
        <f t="shared" si="24"/>
        <v>27.68</v>
      </c>
      <c r="U40" s="178">
        <v>0</v>
      </c>
      <c r="V40" s="178" t="e">
        <f>IF(T40&lt;=0,0,(IF(P40="Rated",(T40+U40)*#REF!,(T40+U40))))</f>
        <v>#REF!</v>
      </c>
      <c r="W40" s="178" t="e">
        <f>IF(P40="Rated",R40*#REF!,R40)</f>
        <v>#REF!</v>
      </c>
      <c r="X40" s="178">
        <f t="shared" si="25"/>
        <v>9.82</v>
      </c>
      <c r="Y40" s="178">
        <f t="shared" si="26"/>
        <v>9.82</v>
      </c>
      <c r="Z40" s="178">
        <f t="shared" si="27"/>
        <v>-27.68</v>
      </c>
      <c r="AA40" s="202">
        <f>90000/12</f>
        <v>7500</v>
      </c>
      <c r="AB40" s="189" t="s">
        <v>136</v>
      </c>
      <c r="AC40" s="178">
        <v>1.8</v>
      </c>
      <c r="AD40" s="111"/>
      <c r="AE40" s="179"/>
      <c r="AF40" s="179"/>
      <c r="AG40" s="191" t="s">
        <v>126</v>
      </c>
      <c r="AH40" s="111" t="s">
        <v>127</v>
      </c>
      <c r="AI40" s="111">
        <v>0</v>
      </c>
      <c r="AJ40" s="111">
        <v>0</v>
      </c>
      <c r="AK40" s="111">
        <f t="shared" si="28"/>
        <v>0</v>
      </c>
      <c r="AL40" s="111">
        <f t="shared" si="29"/>
        <v>0</v>
      </c>
      <c r="AM40" s="111">
        <v>0</v>
      </c>
      <c r="AN40" s="111"/>
      <c r="AO40" s="111"/>
      <c r="AP40" s="111"/>
      <c r="AQ40" s="111"/>
      <c r="AR40" s="111"/>
      <c r="AS40" s="111"/>
      <c r="AT40" s="111"/>
      <c r="AU40" s="111"/>
      <c r="AV40" s="111"/>
      <c r="AW40" s="111"/>
      <c r="AX40" s="111"/>
      <c r="AY40" s="111"/>
      <c r="AZ40" s="111"/>
      <c r="BA40" s="111"/>
      <c r="BB40" s="111"/>
    </row>
    <row r="41" spans="1:54" s="96" customFormat="1" ht="12">
      <c r="A41" s="205" t="s">
        <v>29</v>
      </c>
      <c r="B41" s="205" t="s">
        <v>152</v>
      </c>
      <c r="C41" s="117" t="s">
        <v>177</v>
      </c>
      <c r="D41" s="182" t="s">
        <v>161</v>
      </c>
      <c r="E41" s="182" t="s">
        <v>136</v>
      </c>
      <c r="F41" s="190" t="s">
        <v>137</v>
      </c>
      <c r="G41" s="181" t="s">
        <v>122</v>
      </c>
      <c r="H41" s="182" t="s">
        <v>134</v>
      </c>
      <c r="I41" s="111" t="str">
        <f t="shared" si="19"/>
        <v>No of Racks</v>
      </c>
      <c r="J41" s="210">
        <v>1</v>
      </c>
      <c r="K41" s="210">
        <v>1</v>
      </c>
      <c r="L41" s="184">
        <f t="shared" si="20"/>
        <v>0</v>
      </c>
      <c r="M41" s="111">
        <f t="shared" si="21"/>
        <v>1</v>
      </c>
      <c r="N41" s="111">
        <f t="shared" si="22"/>
        <v>0</v>
      </c>
      <c r="O41" s="202">
        <f>280000/4/12</f>
        <v>5833.333333333333</v>
      </c>
      <c r="P41" s="186" t="str">
        <f t="shared" si="23"/>
        <v>Rated</v>
      </c>
      <c r="Q41" s="182" t="s">
        <v>6</v>
      </c>
      <c r="R41" s="210">
        <v>3.5</v>
      </c>
      <c r="S41" s="210">
        <v>2.84</v>
      </c>
      <c r="T41" s="177">
        <f t="shared" si="24"/>
        <v>0.66000000000000014</v>
      </c>
      <c r="U41" s="178">
        <v>0</v>
      </c>
      <c r="V41" s="178" t="e">
        <f>IF(T41&lt;=0,0,(IF(P41="Rated",(T41+U41)*#REF!,(T41+U41))))</f>
        <v>#REF!</v>
      </c>
      <c r="W41" s="178" t="e">
        <f>IF(P41="Rated",R41*#REF!,R41)</f>
        <v>#REF!</v>
      </c>
      <c r="X41" s="178">
        <f t="shared" si="25"/>
        <v>2.84</v>
      </c>
      <c r="Y41" s="178">
        <f t="shared" si="26"/>
        <v>2.84</v>
      </c>
      <c r="Z41" s="178">
        <f t="shared" si="27"/>
        <v>-0.66000000000000014</v>
      </c>
      <c r="AA41" s="202">
        <f>90000/12</f>
        <v>7500</v>
      </c>
      <c r="AB41" s="189" t="s">
        <v>136</v>
      </c>
      <c r="AC41" s="178">
        <v>1.8</v>
      </c>
      <c r="AD41" s="111"/>
      <c r="AE41" s="179"/>
      <c r="AF41" s="179"/>
      <c r="AG41" s="191" t="s">
        <v>126</v>
      </c>
      <c r="AH41" s="111" t="s">
        <v>127</v>
      </c>
      <c r="AI41" s="111">
        <v>0</v>
      </c>
      <c r="AJ41" s="111">
        <v>0</v>
      </c>
      <c r="AK41" s="111">
        <f t="shared" si="28"/>
        <v>0</v>
      </c>
      <c r="AL41" s="111">
        <f t="shared" si="29"/>
        <v>0</v>
      </c>
      <c r="AM41" s="111">
        <v>0</v>
      </c>
      <c r="AN41" s="111"/>
      <c r="AO41" s="111"/>
      <c r="AP41" s="111"/>
      <c r="AQ41" s="111"/>
      <c r="AR41" s="111"/>
      <c r="AS41" s="111"/>
      <c r="AT41" s="111"/>
      <c r="AU41" s="111"/>
      <c r="AV41" s="111"/>
      <c r="AW41" s="111"/>
      <c r="AX41" s="111"/>
      <c r="AY41" s="111"/>
      <c r="AZ41" s="111"/>
      <c r="BA41" s="111"/>
      <c r="BB41" s="111"/>
    </row>
    <row r="42" spans="1:54" s="96" customFormat="1" ht="12">
      <c r="A42" s="205" t="s">
        <v>29</v>
      </c>
      <c r="B42" s="205" t="s">
        <v>152</v>
      </c>
      <c r="C42" s="117" t="s">
        <v>178</v>
      </c>
      <c r="D42" s="182" t="s">
        <v>161</v>
      </c>
      <c r="E42" s="182" t="s">
        <v>136</v>
      </c>
      <c r="F42" s="190" t="s">
        <v>137</v>
      </c>
      <c r="G42" s="181" t="s">
        <v>122</v>
      </c>
      <c r="H42" s="182" t="s">
        <v>134</v>
      </c>
      <c r="I42" s="111" t="str">
        <f t="shared" si="19"/>
        <v>No of Racks</v>
      </c>
      <c r="J42" s="210">
        <v>1</v>
      </c>
      <c r="K42" s="210">
        <v>1</v>
      </c>
      <c r="L42" s="184">
        <f t="shared" si="20"/>
        <v>0</v>
      </c>
      <c r="M42" s="111">
        <f t="shared" si="21"/>
        <v>1</v>
      </c>
      <c r="N42" s="111">
        <f t="shared" si="22"/>
        <v>0</v>
      </c>
      <c r="O42" s="202">
        <v>0</v>
      </c>
      <c r="P42" s="186" t="str">
        <f t="shared" si="23"/>
        <v>Rated</v>
      </c>
      <c r="Q42" s="182" t="s">
        <v>6</v>
      </c>
      <c r="R42" s="210">
        <v>6</v>
      </c>
      <c r="S42" s="210">
        <v>8.02</v>
      </c>
      <c r="T42" s="177">
        <f t="shared" si="24"/>
        <v>-2.0199999999999996</v>
      </c>
      <c r="U42" s="178">
        <v>0</v>
      </c>
      <c r="V42" s="178">
        <f>IF(T42&lt;=0,0,(IF(P42="Rated",(T42+U42)*#REF!,(T42+U42))))</f>
        <v>0</v>
      </c>
      <c r="W42" s="178" t="e">
        <f>IF(P42="Rated",R42*#REF!,R42)</f>
        <v>#REF!</v>
      </c>
      <c r="X42" s="178">
        <f t="shared" si="25"/>
        <v>8.02</v>
      </c>
      <c r="Y42" s="178">
        <f t="shared" si="26"/>
        <v>8.02</v>
      </c>
      <c r="Z42" s="178">
        <f t="shared" si="27"/>
        <v>2.0199999999999996</v>
      </c>
      <c r="AA42" s="202">
        <v>0</v>
      </c>
      <c r="AB42" s="189" t="s">
        <v>136</v>
      </c>
      <c r="AC42" s="178">
        <v>1.8</v>
      </c>
      <c r="AD42" s="111"/>
      <c r="AE42" s="179"/>
      <c r="AF42" s="179"/>
      <c r="AG42" s="191" t="s">
        <v>126</v>
      </c>
      <c r="AH42" s="111" t="s">
        <v>127</v>
      </c>
      <c r="AI42" s="111">
        <v>0</v>
      </c>
      <c r="AJ42" s="111">
        <v>0</v>
      </c>
      <c r="AK42" s="111">
        <f t="shared" si="28"/>
        <v>0</v>
      </c>
      <c r="AL42" s="111">
        <f t="shared" si="29"/>
        <v>0</v>
      </c>
      <c r="AM42" s="111">
        <v>0</v>
      </c>
      <c r="AN42" s="111"/>
      <c r="AO42" s="111"/>
      <c r="AP42" s="111"/>
      <c r="AQ42" s="111"/>
      <c r="AR42" s="111"/>
      <c r="AS42" s="111"/>
      <c r="AT42" s="111"/>
      <c r="AU42" s="111"/>
      <c r="AV42" s="111"/>
      <c r="AW42" s="111"/>
      <c r="AX42" s="111"/>
      <c r="AY42" s="111"/>
      <c r="AZ42" s="111"/>
      <c r="BA42" s="111"/>
      <c r="BB42" s="111"/>
    </row>
    <row r="43" spans="1:54" s="96" customFormat="1" ht="12">
      <c r="A43" s="205" t="s">
        <v>29</v>
      </c>
      <c r="B43" s="205" t="s">
        <v>152</v>
      </c>
      <c r="C43" s="117" t="s">
        <v>179</v>
      </c>
      <c r="D43" s="182" t="s">
        <v>161</v>
      </c>
      <c r="E43" s="182" t="s">
        <v>136</v>
      </c>
      <c r="F43" s="190" t="s">
        <v>137</v>
      </c>
      <c r="G43" s="181" t="s">
        <v>122</v>
      </c>
      <c r="H43" s="182" t="s">
        <v>134</v>
      </c>
      <c r="I43" s="111" t="str">
        <f t="shared" si="19"/>
        <v>No of Racks</v>
      </c>
      <c r="J43" s="210">
        <v>1</v>
      </c>
      <c r="K43" s="210">
        <v>1</v>
      </c>
      <c r="L43" s="184">
        <f t="shared" si="20"/>
        <v>0</v>
      </c>
      <c r="M43" s="111">
        <f t="shared" si="21"/>
        <v>1</v>
      </c>
      <c r="N43" s="111">
        <f t="shared" si="22"/>
        <v>0</v>
      </c>
      <c r="O43" s="202">
        <f>400000/12</f>
        <v>33333.333333333336</v>
      </c>
      <c r="P43" s="186" t="str">
        <f t="shared" si="23"/>
        <v>Rated</v>
      </c>
      <c r="Q43" s="182" t="s">
        <v>6</v>
      </c>
      <c r="R43" s="210">
        <v>3</v>
      </c>
      <c r="S43" s="210">
        <v>3.97</v>
      </c>
      <c r="T43" s="177">
        <f t="shared" si="24"/>
        <v>-0.9700000000000002</v>
      </c>
      <c r="U43" s="178">
        <v>0</v>
      </c>
      <c r="V43" s="178">
        <f>IF(T43&lt;=0,0,(IF(P43="Rated",(T43+U43)*#REF!,(T43+U43))))</f>
        <v>0</v>
      </c>
      <c r="W43" s="178" t="e">
        <f>IF(P43="Rated",R43*#REF!,R43)</f>
        <v>#REF!</v>
      </c>
      <c r="X43" s="178">
        <f t="shared" si="25"/>
        <v>3.97</v>
      </c>
      <c r="Y43" s="178">
        <f t="shared" si="26"/>
        <v>3.97</v>
      </c>
      <c r="Z43" s="178">
        <f t="shared" si="27"/>
        <v>0.9700000000000002</v>
      </c>
      <c r="AA43" s="202">
        <v>0</v>
      </c>
      <c r="AB43" s="189" t="s">
        <v>136</v>
      </c>
      <c r="AC43" s="178">
        <v>1.8</v>
      </c>
      <c r="AD43" s="111"/>
      <c r="AE43" s="179"/>
      <c r="AF43" s="179"/>
      <c r="AG43" s="191" t="s">
        <v>126</v>
      </c>
      <c r="AH43" s="111" t="s">
        <v>127</v>
      </c>
      <c r="AI43" s="111">
        <v>0</v>
      </c>
      <c r="AJ43" s="111">
        <v>0</v>
      </c>
      <c r="AK43" s="111">
        <f t="shared" si="28"/>
        <v>0</v>
      </c>
      <c r="AL43" s="111">
        <f t="shared" si="29"/>
        <v>0</v>
      </c>
      <c r="AM43" s="111">
        <v>0</v>
      </c>
      <c r="AN43" s="111"/>
      <c r="AO43" s="111"/>
      <c r="AP43" s="111"/>
      <c r="AQ43" s="111"/>
      <c r="AR43" s="111"/>
      <c r="AS43" s="111"/>
      <c r="AT43" s="111"/>
      <c r="AU43" s="111"/>
      <c r="AV43" s="111"/>
      <c r="AW43" s="111"/>
      <c r="AX43" s="111"/>
      <c r="AY43" s="111"/>
      <c r="AZ43" s="111"/>
      <c r="BA43" s="111"/>
      <c r="BB43" s="111"/>
    </row>
    <row r="44" spans="1:54" s="96" customFormat="1" ht="12">
      <c r="A44" s="205" t="s">
        <v>29</v>
      </c>
      <c r="B44" s="205" t="s">
        <v>152</v>
      </c>
      <c r="C44" s="117" t="s">
        <v>180</v>
      </c>
      <c r="D44" s="182" t="s">
        <v>161</v>
      </c>
      <c r="E44" s="182" t="s">
        <v>136</v>
      </c>
      <c r="F44" s="190" t="s">
        <v>137</v>
      </c>
      <c r="G44" s="181" t="s">
        <v>122</v>
      </c>
      <c r="H44" s="182" t="s">
        <v>134</v>
      </c>
      <c r="I44" s="111" t="str">
        <f t="shared" si="19"/>
        <v>No of Racks</v>
      </c>
      <c r="J44" s="210">
        <v>2</v>
      </c>
      <c r="K44" s="210">
        <v>2</v>
      </c>
      <c r="L44" s="184">
        <f t="shared" si="20"/>
        <v>0</v>
      </c>
      <c r="M44" s="111">
        <f t="shared" si="21"/>
        <v>2</v>
      </c>
      <c r="N44" s="111">
        <f t="shared" si="22"/>
        <v>0</v>
      </c>
      <c r="O44" s="202">
        <f>550000/12</f>
        <v>45833.333333333336</v>
      </c>
      <c r="P44" s="186" t="str">
        <f t="shared" si="23"/>
        <v>Rated</v>
      </c>
      <c r="Q44" s="182" t="s">
        <v>6</v>
      </c>
      <c r="R44" s="210">
        <v>9</v>
      </c>
      <c r="S44" s="210">
        <v>4.91</v>
      </c>
      <c r="T44" s="177">
        <f t="shared" si="24"/>
        <v>4.09</v>
      </c>
      <c r="U44" s="178">
        <v>0</v>
      </c>
      <c r="V44" s="178" t="e">
        <f>IF(T44&lt;=0,0,(IF(P44="Rated",(T44+U44)*#REF!,(T44+U44))))</f>
        <v>#REF!</v>
      </c>
      <c r="W44" s="178" t="e">
        <f>IF(P44="Rated",R44*#REF!,R44)</f>
        <v>#REF!</v>
      </c>
      <c r="X44" s="178">
        <f t="shared" si="25"/>
        <v>4.91</v>
      </c>
      <c r="Y44" s="178">
        <f t="shared" si="26"/>
        <v>4.91</v>
      </c>
      <c r="Z44" s="178">
        <f t="shared" si="27"/>
        <v>-4.09</v>
      </c>
      <c r="AA44" s="202">
        <f>90000/12</f>
        <v>7500</v>
      </c>
      <c r="AB44" s="189" t="s">
        <v>136</v>
      </c>
      <c r="AC44" s="178">
        <v>1.8</v>
      </c>
      <c r="AD44" s="111"/>
      <c r="AE44" s="179"/>
      <c r="AF44" s="179"/>
      <c r="AG44" s="191" t="s">
        <v>126</v>
      </c>
      <c r="AH44" s="111" t="s">
        <v>127</v>
      </c>
      <c r="AI44" s="111">
        <v>0</v>
      </c>
      <c r="AJ44" s="111">
        <v>0</v>
      </c>
      <c r="AK44" s="111">
        <f t="shared" si="28"/>
        <v>0</v>
      </c>
      <c r="AL44" s="111">
        <f t="shared" si="29"/>
        <v>0</v>
      </c>
      <c r="AM44" s="111">
        <v>0</v>
      </c>
      <c r="AN44" s="111"/>
      <c r="AO44" s="111"/>
      <c r="AP44" s="111"/>
      <c r="AQ44" s="111"/>
      <c r="AR44" s="111"/>
      <c r="AS44" s="111"/>
      <c r="AT44" s="111"/>
      <c r="AU44" s="111"/>
      <c r="AV44" s="111"/>
      <c r="AW44" s="111"/>
      <c r="AX44" s="111"/>
      <c r="AY44" s="111"/>
      <c r="AZ44" s="111"/>
      <c r="BA44" s="111"/>
      <c r="BB44" s="111"/>
    </row>
    <row r="45" spans="1:54" s="96" customFormat="1" ht="12">
      <c r="A45" s="205" t="s">
        <v>29</v>
      </c>
      <c r="B45" s="205" t="s">
        <v>152</v>
      </c>
      <c r="C45" s="118" t="s">
        <v>181</v>
      </c>
      <c r="D45" s="182" t="s">
        <v>161</v>
      </c>
      <c r="E45" s="182" t="s">
        <v>136</v>
      </c>
      <c r="F45" s="190" t="s">
        <v>137</v>
      </c>
      <c r="G45" s="114" t="s">
        <v>122</v>
      </c>
      <c r="H45" s="182" t="s">
        <v>134</v>
      </c>
      <c r="I45" s="111" t="str">
        <f t="shared" si="19"/>
        <v>No of Racks</v>
      </c>
      <c r="J45" s="114">
        <v>1</v>
      </c>
      <c r="K45" s="114">
        <v>1</v>
      </c>
      <c r="L45" s="184">
        <f t="shared" si="20"/>
        <v>0</v>
      </c>
      <c r="M45" s="111">
        <f t="shared" si="21"/>
        <v>1</v>
      </c>
      <c r="N45" s="111">
        <f t="shared" si="22"/>
        <v>0</v>
      </c>
      <c r="O45" s="202">
        <f>480000/12</f>
        <v>40000</v>
      </c>
      <c r="P45" s="186" t="str">
        <f t="shared" si="23"/>
        <v>Rated</v>
      </c>
      <c r="Q45" s="182" t="s">
        <v>6</v>
      </c>
      <c r="R45" s="234">
        <v>3</v>
      </c>
      <c r="S45" s="210">
        <v>1.64</v>
      </c>
      <c r="T45" s="177">
        <f t="shared" si="24"/>
        <v>1.36</v>
      </c>
      <c r="U45" s="178">
        <v>0</v>
      </c>
      <c r="V45" s="178" t="e">
        <f>IF(T45&lt;=0,0,(IF(P45="Rated",(T45+U45)*#REF!,(T45+U45))))</f>
        <v>#REF!</v>
      </c>
      <c r="W45" s="178" t="e">
        <f>IF(P45="Rated",R45*#REF!,R45)</f>
        <v>#REF!</v>
      </c>
      <c r="X45" s="178">
        <f t="shared" si="25"/>
        <v>1.64</v>
      </c>
      <c r="Y45" s="178">
        <f t="shared" si="26"/>
        <v>1.64</v>
      </c>
      <c r="Z45" s="178">
        <f t="shared" si="27"/>
        <v>-1.36</v>
      </c>
      <c r="AA45" s="202">
        <f>98000/12</f>
        <v>8166.666666666667</v>
      </c>
      <c r="AB45" s="189" t="s">
        <v>136</v>
      </c>
      <c r="AC45" s="178">
        <v>1.8</v>
      </c>
      <c r="AD45" s="111"/>
      <c r="AE45" s="179"/>
      <c r="AF45" s="179"/>
      <c r="AG45" s="191" t="s">
        <v>126</v>
      </c>
      <c r="AH45" s="111" t="s">
        <v>127</v>
      </c>
      <c r="AI45" s="111">
        <v>0</v>
      </c>
      <c r="AJ45" s="111">
        <v>0</v>
      </c>
      <c r="AK45" s="111">
        <f t="shared" si="28"/>
        <v>0</v>
      </c>
      <c r="AL45" s="111">
        <f t="shared" si="29"/>
        <v>0</v>
      </c>
      <c r="AM45" s="111">
        <v>0</v>
      </c>
      <c r="AN45" s="111"/>
      <c r="AO45" s="111"/>
      <c r="AP45" s="111"/>
      <c r="AQ45" s="111"/>
      <c r="AR45" s="111"/>
      <c r="AS45" s="111"/>
      <c r="AT45" s="111"/>
      <c r="AU45" s="111"/>
      <c r="AV45" s="111"/>
      <c r="AW45" s="111"/>
      <c r="AX45" s="111"/>
      <c r="AY45" s="111"/>
      <c r="AZ45" s="111"/>
      <c r="BA45" s="111"/>
      <c r="BB45" s="111"/>
    </row>
    <row r="46" spans="1:54" s="96" customFormat="1" ht="12">
      <c r="A46" s="205" t="s">
        <v>29</v>
      </c>
      <c r="B46" s="205" t="s">
        <v>152</v>
      </c>
      <c r="C46" s="118" t="s">
        <v>182</v>
      </c>
      <c r="D46" s="182" t="s">
        <v>161</v>
      </c>
      <c r="E46" s="182" t="s">
        <v>136</v>
      </c>
      <c r="F46" s="190" t="s">
        <v>137</v>
      </c>
      <c r="G46" s="114" t="s">
        <v>122</v>
      </c>
      <c r="H46" s="182" t="s">
        <v>134</v>
      </c>
      <c r="I46" s="111" t="str">
        <f t="shared" si="19"/>
        <v>No of Racks</v>
      </c>
      <c r="J46" s="114">
        <v>4</v>
      </c>
      <c r="K46" s="114">
        <v>3</v>
      </c>
      <c r="L46" s="184">
        <f t="shared" si="20"/>
        <v>1</v>
      </c>
      <c r="M46" s="111">
        <f t="shared" si="21"/>
        <v>4</v>
      </c>
      <c r="N46" s="111">
        <f t="shared" si="22"/>
        <v>0</v>
      </c>
      <c r="O46" s="202">
        <f>295000/12/21</f>
        <v>1170.6349206349205</v>
      </c>
      <c r="P46" s="186" t="str">
        <f t="shared" si="23"/>
        <v>Rated</v>
      </c>
      <c r="Q46" s="182" t="s">
        <v>6</v>
      </c>
      <c r="R46" s="234">
        <v>1</v>
      </c>
      <c r="S46" s="210">
        <v>0.44</v>
      </c>
      <c r="T46" s="177">
        <f t="shared" si="24"/>
        <v>0.56000000000000005</v>
      </c>
      <c r="U46" s="178">
        <v>0</v>
      </c>
      <c r="V46" s="178" t="e">
        <f>IF(T46&lt;=0,0,(IF(P46="Rated",(T46+U46)*#REF!,(T46+U46))))</f>
        <v>#REF!</v>
      </c>
      <c r="W46" s="178" t="e">
        <f>IF(P46="Rated",R46*#REF!,R46)</f>
        <v>#REF!</v>
      </c>
      <c r="X46" s="178">
        <f t="shared" si="25"/>
        <v>0.44</v>
      </c>
      <c r="Y46" s="178">
        <f t="shared" si="26"/>
        <v>0.44</v>
      </c>
      <c r="Z46" s="178">
        <f t="shared" si="27"/>
        <v>-0.56000000000000005</v>
      </c>
      <c r="AA46" s="202"/>
      <c r="AB46" s="189" t="s">
        <v>136</v>
      </c>
      <c r="AC46" s="178">
        <v>1.8</v>
      </c>
      <c r="AD46" s="111"/>
      <c r="AE46" s="179"/>
      <c r="AF46" s="179"/>
      <c r="AG46" s="191" t="s">
        <v>126</v>
      </c>
      <c r="AH46" s="111" t="s">
        <v>127</v>
      </c>
      <c r="AI46" s="111">
        <v>0</v>
      </c>
      <c r="AJ46" s="111">
        <v>0</v>
      </c>
      <c r="AK46" s="111">
        <f t="shared" si="28"/>
        <v>0</v>
      </c>
      <c r="AL46" s="111">
        <f t="shared" si="29"/>
        <v>0</v>
      </c>
      <c r="AM46" s="111">
        <v>0</v>
      </c>
      <c r="AN46" s="111"/>
      <c r="AO46" s="111"/>
      <c r="AP46" s="111"/>
      <c r="AQ46" s="111"/>
      <c r="AR46" s="111"/>
      <c r="AS46" s="111"/>
      <c r="AT46" s="111"/>
      <c r="AU46" s="111"/>
      <c r="AV46" s="111"/>
      <c r="AW46" s="111"/>
      <c r="AX46" s="111"/>
      <c r="AY46" s="111"/>
      <c r="AZ46" s="111"/>
      <c r="BA46" s="111"/>
      <c r="BB46" s="111"/>
    </row>
    <row r="47" spans="1:54" s="96" customFormat="1" ht="12">
      <c r="A47" s="205" t="s">
        <v>29</v>
      </c>
      <c r="B47" s="205" t="s">
        <v>152</v>
      </c>
      <c r="C47" s="118" t="s">
        <v>183</v>
      </c>
      <c r="D47" s="182" t="s">
        <v>161</v>
      </c>
      <c r="E47" s="182" t="s">
        <v>136</v>
      </c>
      <c r="F47" s="190" t="s">
        <v>137</v>
      </c>
      <c r="G47" s="114" t="s">
        <v>122</v>
      </c>
      <c r="H47" s="182" t="s">
        <v>134</v>
      </c>
      <c r="I47" s="111" t="str">
        <f t="shared" si="19"/>
        <v>No of Racks</v>
      </c>
      <c r="J47" s="114">
        <v>1</v>
      </c>
      <c r="K47" s="114">
        <v>1</v>
      </c>
      <c r="L47" s="184">
        <f t="shared" si="20"/>
        <v>0</v>
      </c>
      <c r="M47" s="111">
        <f t="shared" si="21"/>
        <v>1</v>
      </c>
      <c r="N47" s="111">
        <f t="shared" si="22"/>
        <v>0</v>
      </c>
      <c r="O47" s="202">
        <f>540000/12</f>
        <v>45000</v>
      </c>
      <c r="P47" s="186" t="str">
        <f t="shared" si="23"/>
        <v>Rated</v>
      </c>
      <c r="Q47" s="182" t="s">
        <v>6</v>
      </c>
      <c r="R47" s="234">
        <v>6</v>
      </c>
      <c r="S47" s="210">
        <v>5.52</v>
      </c>
      <c r="T47" s="177">
        <f t="shared" si="24"/>
        <v>0.48000000000000043</v>
      </c>
      <c r="U47" s="178">
        <v>0</v>
      </c>
      <c r="V47" s="178" t="e">
        <f>IF(T47&lt;=0,0,(IF(P47="Rated",(T47+U47)*#REF!,(T47+U47))))</f>
        <v>#REF!</v>
      </c>
      <c r="W47" s="178" t="e">
        <f>IF(P47="Rated",R47*#REF!,R47)</f>
        <v>#REF!</v>
      </c>
      <c r="X47" s="178">
        <f t="shared" si="25"/>
        <v>5.52</v>
      </c>
      <c r="Y47" s="178">
        <f t="shared" si="26"/>
        <v>5.52</v>
      </c>
      <c r="Z47" s="178">
        <f t="shared" si="27"/>
        <v>-0.48000000000000043</v>
      </c>
      <c r="AA47" s="202">
        <f>90000/12</f>
        <v>7500</v>
      </c>
      <c r="AB47" s="189" t="s">
        <v>136</v>
      </c>
      <c r="AC47" s="178">
        <v>1.8</v>
      </c>
      <c r="AD47" s="111"/>
      <c r="AE47" s="179"/>
      <c r="AF47" s="179"/>
      <c r="AG47" s="191" t="s">
        <v>126</v>
      </c>
      <c r="AH47" s="111" t="s">
        <v>127</v>
      </c>
      <c r="AI47" s="111">
        <v>0</v>
      </c>
      <c r="AJ47" s="111">
        <v>0</v>
      </c>
      <c r="AK47" s="111">
        <f t="shared" si="28"/>
        <v>0</v>
      </c>
      <c r="AL47" s="111">
        <f t="shared" si="29"/>
        <v>0</v>
      </c>
      <c r="AM47" s="111">
        <v>0</v>
      </c>
      <c r="AN47" s="111"/>
      <c r="AO47" s="111"/>
      <c r="AP47" s="111"/>
      <c r="AQ47" s="111"/>
      <c r="AR47" s="111"/>
      <c r="AS47" s="111"/>
      <c r="AT47" s="111"/>
      <c r="AU47" s="111"/>
      <c r="AV47" s="111"/>
      <c r="AW47" s="111"/>
      <c r="AX47" s="111"/>
      <c r="AY47" s="111"/>
      <c r="AZ47" s="111"/>
      <c r="BA47" s="111"/>
      <c r="BB47" s="111"/>
    </row>
    <row r="48" spans="1:54" s="96" customFormat="1" ht="12">
      <c r="A48" s="205" t="s">
        <v>29</v>
      </c>
      <c r="B48" s="205" t="s">
        <v>152</v>
      </c>
      <c r="C48" s="118" t="s">
        <v>184</v>
      </c>
      <c r="D48" s="182" t="s">
        <v>161</v>
      </c>
      <c r="E48" s="182" t="s">
        <v>136</v>
      </c>
      <c r="F48" s="190" t="s">
        <v>137</v>
      </c>
      <c r="G48" s="114" t="s">
        <v>122</v>
      </c>
      <c r="H48" s="182" t="s">
        <v>134</v>
      </c>
      <c r="I48" s="111" t="str">
        <f t="shared" si="19"/>
        <v>No of Racks</v>
      </c>
      <c r="J48" s="114">
        <v>1</v>
      </c>
      <c r="K48" s="114">
        <v>1</v>
      </c>
      <c r="L48" s="184">
        <f t="shared" si="20"/>
        <v>0</v>
      </c>
      <c r="M48" s="111">
        <f t="shared" si="21"/>
        <v>1</v>
      </c>
      <c r="N48" s="111">
        <f t="shared" si="22"/>
        <v>0</v>
      </c>
      <c r="O48" s="202">
        <f>485000/12</f>
        <v>40416.666666666664</v>
      </c>
      <c r="P48" s="186" t="str">
        <f t="shared" si="23"/>
        <v>Rated</v>
      </c>
      <c r="Q48" s="182" t="s">
        <v>6</v>
      </c>
      <c r="R48" s="234">
        <v>3</v>
      </c>
      <c r="S48" s="210">
        <v>1.98</v>
      </c>
      <c r="T48" s="177">
        <f t="shared" si="24"/>
        <v>1.02</v>
      </c>
      <c r="U48" s="178">
        <v>0</v>
      </c>
      <c r="V48" s="178" t="e">
        <f>IF(T48&lt;=0,0,(IF(P48="Rated",(T48+U48)*#REF!,(T48+U48))))</f>
        <v>#REF!</v>
      </c>
      <c r="W48" s="178" t="e">
        <f>IF(P48="Rated",R48*#REF!,R48)</f>
        <v>#REF!</v>
      </c>
      <c r="X48" s="178">
        <f t="shared" si="25"/>
        <v>1.98</v>
      </c>
      <c r="Y48" s="178">
        <f t="shared" si="26"/>
        <v>1.98</v>
      </c>
      <c r="Z48" s="178">
        <f t="shared" si="27"/>
        <v>-1.02</v>
      </c>
      <c r="AA48" s="202"/>
      <c r="AB48" s="189" t="s">
        <v>136</v>
      </c>
      <c r="AC48" s="178">
        <v>1.8</v>
      </c>
      <c r="AD48" s="111"/>
      <c r="AE48" s="179"/>
      <c r="AF48" s="179"/>
      <c r="AG48" s="191" t="s">
        <v>126</v>
      </c>
      <c r="AH48" s="111" t="s">
        <v>127</v>
      </c>
      <c r="AI48" s="111">
        <v>0</v>
      </c>
      <c r="AJ48" s="111">
        <v>0</v>
      </c>
      <c r="AK48" s="111">
        <f t="shared" si="28"/>
        <v>0</v>
      </c>
      <c r="AL48" s="111">
        <f t="shared" si="29"/>
        <v>0</v>
      </c>
      <c r="AM48" s="111">
        <v>0</v>
      </c>
      <c r="AN48" s="111"/>
      <c r="AO48" s="111"/>
      <c r="AP48" s="111"/>
      <c r="AQ48" s="111"/>
      <c r="AR48" s="111"/>
      <c r="AS48" s="111"/>
      <c r="AT48" s="111"/>
      <c r="AU48" s="111"/>
      <c r="AV48" s="111"/>
      <c r="AW48" s="111"/>
      <c r="AX48" s="111"/>
      <c r="AY48" s="111"/>
      <c r="AZ48" s="111"/>
      <c r="BA48" s="111"/>
      <c r="BB48" s="111"/>
    </row>
    <row r="49" spans="1:54" s="96" customFormat="1" ht="12">
      <c r="A49" s="205" t="s">
        <v>29</v>
      </c>
      <c r="B49" s="205" t="s">
        <v>152</v>
      </c>
      <c r="C49" s="118" t="s">
        <v>185</v>
      </c>
      <c r="D49" s="182" t="s">
        <v>161</v>
      </c>
      <c r="E49" s="182" t="s">
        <v>136</v>
      </c>
      <c r="F49" s="190" t="s">
        <v>137</v>
      </c>
      <c r="G49" s="114" t="s">
        <v>156</v>
      </c>
      <c r="H49" s="182" t="s">
        <v>134</v>
      </c>
      <c r="I49" s="111" t="str">
        <f t="shared" si="19"/>
        <v>U Space</v>
      </c>
      <c r="J49" s="114">
        <v>1</v>
      </c>
      <c r="K49" s="114">
        <v>1</v>
      </c>
      <c r="L49" s="184">
        <f t="shared" si="20"/>
        <v>0</v>
      </c>
      <c r="M49" s="111">
        <f t="shared" si="21"/>
        <v>1</v>
      </c>
      <c r="N49" s="111">
        <f t="shared" si="22"/>
        <v>0</v>
      </c>
      <c r="O49" s="202">
        <f>785000/12</f>
        <v>65416.666666666664</v>
      </c>
      <c r="P49" s="186" t="str">
        <f t="shared" si="23"/>
        <v>Rated</v>
      </c>
      <c r="Q49" s="182" t="s">
        <v>6</v>
      </c>
      <c r="R49" s="235">
        <v>0.5</v>
      </c>
      <c r="S49" s="210">
        <v>0.27</v>
      </c>
      <c r="T49" s="177">
        <f t="shared" si="24"/>
        <v>0.22999999999999998</v>
      </c>
      <c r="U49" s="178">
        <v>0</v>
      </c>
      <c r="V49" s="178" t="e">
        <f>IF(T49&lt;=0,0,(IF(P49="Rated",(T49+U49)*#REF!,(T49+U49))))</f>
        <v>#REF!</v>
      </c>
      <c r="W49" s="178" t="e">
        <f>IF(P49="Rated",R49*#REF!,R49)</f>
        <v>#REF!</v>
      </c>
      <c r="X49" s="178">
        <f t="shared" si="25"/>
        <v>0.27</v>
      </c>
      <c r="Y49" s="178">
        <f t="shared" si="26"/>
        <v>0.27</v>
      </c>
      <c r="Z49" s="178">
        <f t="shared" si="27"/>
        <v>-0.22999999999999998</v>
      </c>
      <c r="AA49" s="202">
        <f>95000/12</f>
        <v>7916.666666666667</v>
      </c>
      <c r="AB49" s="189" t="s">
        <v>136</v>
      </c>
      <c r="AC49" s="178">
        <v>1.8</v>
      </c>
      <c r="AD49" s="111"/>
      <c r="AE49" s="179"/>
      <c r="AF49" s="179"/>
      <c r="AG49" s="191" t="s">
        <v>126</v>
      </c>
      <c r="AH49" s="111" t="s">
        <v>127</v>
      </c>
      <c r="AI49" s="111">
        <v>0</v>
      </c>
      <c r="AJ49" s="111">
        <v>0</v>
      </c>
      <c r="AK49" s="111">
        <f t="shared" si="28"/>
        <v>0</v>
      </c>
      <c r="AL49" s="111">
        <f t="shared" si="29"/>
        <v>0</v>
      </c>
      <c r="AM49" s="111">
        <v>0</v>
      </c>
      <c r="AN49" s="111"/>
      <c r="AO49" s="111"/>
      <c r="AP49" s="111"/>
      <c r="AQ49" s="111"/>
      <c r="AR49" s="111"/>
      <c r="AS49" s="111"/>
      <c r="AT49" s="111"/>
      <c r="AU49" s="111"/>
      <c r="AV49" s="111"/>
      <c r="AW49" s="111"/>
      <c r="AX49" s="111"/>
      <c r="AY49" s="111"/>
      <c r="AZ49" s="111"/>
      <c r="BA49" s="111"/>
      <c r="BB49" s="111"/>
    </row>
    <row r="50" spans="1:54" s="96" customFormat="1" ht="12">
      <c r="A50" s="205" t="s">
        <v>29</v>
      </c>
      <c r="B50" s="205" t="s">
        <v>152</v>
      </c>
      <c r="C50" s="118" t="s">
        <v>186</v>
      </c>
      <c r="D50" s="182" t="s">
        <v>161</v>
      </c>
      <c r="E50" s="182" t="s">
        <v>136</v>
      </c>
      <c r="F50" s="190" t="s">
        <v>137</v>
      </c>
      <c r="G50" s="114" t="s">
        <v>156</v>
      </c>
      <c r="H50" s="182" t="s">
        <v>134</v>
      </c>
      <c r="I50" s="111" t="str">
        <f t="shared" si="19"/>
        <v>U Space</v>
      </c>
      <c r="J50" s="114">
        <v>1</v>
      </c>
      <c r="K50" s="114">
        <v>1</v>
      </c>
      <c r="L50" s="184">
        <f t="shared" si="20"/>
        <v>0</v>
      </c>
      <c r="M50" s="111">
        <f t="shared" si="21"/>
        <v>1</v>
      </c>
      <c r="N50" s="111">
        <f t="shared" si="22"/>
        <v>0</v>
      </c>
      <c r="O50" s="202">
        <v>70000</v>
      </c>
      <c r="P50" s="186" t="str">
        <f t="shared" si="23"/>
        <v>Rated</v>
      </c>
      <c r="Q50" s="182" t="s">
        <v>6</v>
      </c>
      <c r="R50" s="235">
        <v>0.25</v>
      </c>
      <c r="S50" s="233">
        <v>0.22</v>
      </c>
      <c r="T50" s="177">
        <f t="shared" si="24"/>
        <v>0.03</v>
      </c>
      <c r="U50" s="178">
        <v>0</v>
      </c>
      <c r="V50" s="178" t="e">
        <f>IF(T50&lt;=0,0,(IF(P50="Rated",(T50+U50)*#REF!,(T50+U50))))</f>
        <v>#REF!</v>
      </c>
      <c r="W50" s="178" t="e">
        <f>IF(P50="Rated",R50*#REF!,R50)</f>
        <v>#REF!</v>
      </c>
      <c r="X50" s="178">
        <f t="shared" si="25"/>
        <v>0.22</v>
      </c>
      <c r="Y50" s="178">
        <f t="shared" si="26"/>
        <v>0.22</v>
      </c>
      <c r="Z50" s="178">
        <f t="shared" si="27"/>
        <v>-0.03</v>
      </c>
      <c r="AA50" s="202"/>
      <c r="AB50" s="189" t="s">
        <v>136</v>
      </c>
      <c r="AC50" s="178">
        <v>1.8</v>
      </c>
      <c r="AD50" s="111"/>
      <c r="AE50" s="179"/>
      <c r="AF50" s="179"/>
      <c r="AG50" s="191" t="s">
        <v>126</v>
      </c>
      <c r="AH50" s="111" t="s">
        <v>127</v>
      </c>
      <c r="AI50" s="111">
        <v>0</v>
      </c>
      <c r="AJ50" s="111">
        <v>0</v>
      </c>
      <c r="AK50" s="111">
        <f t="shared" si="28"/>
        <v>0</v>
      </c>
      <c r="AL50" s="111">
        <f t="shared" si="29"/>
        <v>0</v>
      </c>
      <c r="AM50" s="111">
        <v>0</v>
      </c>
      <c r="AN50" s="111"/>
      <c r="AO50" s="111"/>
      <c r="AP50" s="111"/>
      <c r="AQ50" s="111"/>
      <c r="AR50" s="111"/>
      <c r="AS50" s="111"/>
      <c r="AT50" s="111"/>
      <c r="AU50" s="111"/>
      <c r="AV50" s="111"/>
      <c r="AW50" s="111"/>
      <c r="AX50" s="111"/>
      <c r="AY50" s="111"/>
      <c r="AZ50" s="111"/>
      <c r="BA50" s="111"/>
      <c r="BB50" s="111"/>
    </row>
    <row r="51" spans="1:54" s="96" customFormat="1" ht="12">
      <c r="A51" s="205" t="s">
        <v>29</v>
      </c>
      <c r="B51" s="205" t="s">
        <v>152</v>
      </c>
      <c r="C51" s="118" t="s">
        <v>187</v>
      </c>
      <c r="D51" s="182" t="s">
        <v>161</v>
      </c>
      <c r="E51" s="182" t="s">
        <v>136</v>
      </c>
      <c r="F51" s="190" t="s">
        <v>137</v>
      </c>
      <c r="G51" s="114" t="s">
        <v>156</v>
      </c>
      <c r="H51" s="182" t="s">
        <v>134</v>
      </c>
      <c r="I51" s="111" t="str">
        <f t="shared" si="19"/>
        <v>U Space</v>
      </c>
      <c r="J51" s="114">
        <v>1</v>
      </c>
      <c r="K51" s="114">
        <v>1</v>
      </c>
      <c r="L51" s="184">
        <f t="shared" si="20"/>
        <v>0</v>
      </c>
      <c r="M51" s="111">
        <f t="shared" si="21"/>
        <v>1</v>
      </c>
      <c r="N51" s="111">
        <f t="shared" si="22"/>
        <v>0</v>
      </c>
      <c r="O51" s="202">
        <f>37000/12</f>
        <v>3083.3333333333335</v>
      </c>
      <c r="P51" s="186" t="str">
        <f t="shared" si="23"/>
        <v>Rated</v>
      </c>
      <c r="Q51" s="182" t="s">
        <v>6</v>
      </c>
      <c r="R51" s="235">
        <v>0.25</v>
      </c>
      <c r="S51" s="210">
        <v>0.23300000000000001</v>
      </c>
      <c r="T51" s="177">
        <f t="shared" si="24"/>
        <v>1.6999999999999987E-2</v>
      </c>
      <c r="U51" s="178">
        <v>0</v>
      </c>
      <c r="V51" s="178" t="e">
        <f>IF(T51&lt;=0,0,(IF(P51="Rated",(T51+U51)*#REF!,(T51+U51))))</f>
        <v>#REF!</v>
      </c>
      <c r="W51" s="178" t="e">
        <f>IF(P51="Rated",R51*#REF!,R51)</f>
        <v>#REF!</v>
      </c>
      <c r="X51" s="178">
        <f t="shared" si="25"/>
        <v>0.23300000000000001</v>
      </c>
      <c r="Y51" s="178">
        <f t="shared" si="26"/>
        <v>0.23300000000000001</v>
      </c>
      <c r="Z51" s="178">
        <f t="shared" si="27"/>
        <v>-1.6999999999999987E-2</v>
      </c>
      <c r="AA51" s="202">
        <f>85000/12</f>
        <v>7083.333333333333</v>
      </c>
      <c r="AB51" s="189" t="s">
        <v>136</v>
      </c>
      <c r="AC51" s="178">
        <v>1.8</v>
      </c>
      <c r="AD51" s="111"/>
      <c r="AE51" s="179"/>
      <c r="AF51" s="179"/>
      <c r="AG51" s="191" t="s">
        <v>126</v>
      </c>
      <c r="AH51" s="111" t="s">
        <v>127</v>
      </c>
      <c r="AI51" s="111">
        <v>0</v>
      </c>
      <c r="AJ51" s="111">
        <v>0</v>
      </c>
      <c r="AK51" s="111">
        <f t="shared" si="28"/>
        <v>0</v>
      </c>
      <c r="AL51" s="111">
        <f t="shared" si="29"/>
        <v>0</v>
      </c>
      <c r="AM51" s="111">
        <v>0</v>
      </c>
      <c r="AN51" s="111"/>
      <c r="AO51" s="111"/>
      <c r="AP51" s="111"/>
      <c r="AQ51" s="111"/>
      <c r="AR51" s="111"/>
      <c r="AS51" s="111"/>
      <c r="AT51" s="111"/>
      <c r="AU51" s="111"/>
      <c r="AV51" s="111"/>
      <c r="AW51" s="111"/>
      <c r="AX51" s="111"/>
      <c r="AY51" s="111"/>
      <c r="AZ51" s="111"/>
      <c r="BA51" s="111"/>
      <c r="BB51" s="111"/>
    </row>
    <row r="52" spans="1:54" s="96" customFormat="1" ht="12">
      <c r="A52" s="205" t="s">
        <v>29</v>
      </c>
      <c r="B52" s="205" t="s">
        <v>152</v>
      </c>
      <c r="C52" s="118" t="s">
        <v>188</v>
      </c>
      <c r="D52" s="182" t="s">
        <v>161</v>
      </c>
      <c r="E52" s="182" t="s">
        <v>136</v>
      </c>
      <c r="F52" s="190" t="s">
        <v>137</v>
      </c>
      <c r="G52" s="114" t="s">
        <v>122</v>
      </c>
      <c r="H52" s="182" t="s">
        <v>134</v>
      </c>
      <c r="I52" s="111" t="str">
        <f t="shared" si="19"/>
        <v>No of Racks</v>
      </c>
      <c r="J52" s="114">
        <v>21</v>
      </c>
      <c r="K52" s="114">
        <v>21</v>
      </c>
      <c r="L52" s="184">
        <f t="shared" si="20"/>
        <v>0</v>
      </c>
      <c r="M52" s="111">
        <f t="shared" si="21"/>
        <v>21</v>
      </c>
      <c r="N52" s="111">
        <f t="shared" si="22"/>
        <v>0</v>
      </c>
      <c r="O52" s="202">
        <f>35000/12</f>
        <v>2916.6666666666665</v>
      </c>
      <c r="P52" s="186" t="str">
        <f t="shared" si="23"/>
        <v>Rated</v>
      </c>
      <c r="Q52" s="182" t="s">
        <v>6</v>
      </c>
      <c r="R52" s="236">
        <v>4</v>
      </c>
      <c r="S52" s="210">
        <v>3.93</v>
      </c>
      <c r="T52" s="177">
        <f t="shared" si="24"/>
        <v>6.999999999999984E-2</v>
      </c>
      <c r="U52" s="178">
        <v>0</v>
      </c>
      <c r="V52" s="178" t="e">
        <f>IF(T52&lt;=0,0,(IF(P52="Rated",(T52+U52)*#REF!,(T52+U52))))</f>
        <v>#REF!</v>
      </c>
      <c r="W52" s="178" t="e">
        <f>IF(P52="Rated",R52*#REF!,R52)</f>
        <v>#REF!</v>
      </c>
      <c r="X52" s="178">
        <f t="shared" si="25"/>
        <v>3.93</v>
      </c>
      <c r="Y52" s="178">
        <f t="shared" si="26"/>
        <v>3.93</v>
      </c>
      <c r="Z52" s="178">
        <f t="shared" si="27"/>
        <v>-6.999999999999984E-2</v>
      </c>
      <c r="AA52" s="202">
        <f>85000/12</f>
        <v>7083.333333333333</v>
      </c>
      <c r="AB52" s="189" t="s">
        <v>136</v>
      </c>
      <c r="AC52" s="178">
        <v>1.8</v>
      </c>
      <c r="AD52" s="111"/>
      <c r="AE52" s="179"/>
      <c r="AF52" s="179"/>
      <c r="AG52" s="191" t="s">
        <v>126</v>
      </c>
      <c r="AH52" s="111" t="s">
        <v>127</v>
      </c>
      <c r="AI52" s="111">
        <v>0</v>
      </c>
      <c r="AJ52" s="111">
        <v>0</v>
      </c>
      <c r="AK52" s="111">
        <f t="shared" si="28"/>
        <v>0</v>
      </c>
      <c r="AL52" s="111">
        <f t="shared" si="29"/>
        <v>0</v>
      </c>
      <c r="AM52" s="111">
        <v>0</v>
      </c>
      <c r="AN52" s="111"/>
      <c r="AO52" s="111"/>
      <c r="AP52" s="111"/>
      <c r="AQ52" s="111"/>
      <c r="AR52" s="111"/>
      <c r="AS52" s="111"/>
      <c r="AT52" s="111"/>
      <c r="AU52" s="111"/>
      <c r="AV52" s="111"/>
      <c r="AW52" s="111"/>
      <c r="AX52" s="111"/>
      <c r="AY52" s="111"/>
      <c r="AZ52" s="111"/>
      <c r="BA52" s="111"/>
      <c r="BB52" s="111"/>
    </row>
    <row r="53" spans="1:54" s="96" customFormat="1" ht="12">
      <c r="A53" s="205" t="s">
        <v>29</v>
      </c>
      <c r="B53" s="205" t="s">
        <v>152</v>
      </c>
      <c r="C53" s="118" t="s">
        <v>189</v>
      </c>
      <c r="D53" s="182" t="s">
        <v>161</v>
      </c>
      <c r="E53" s="182" t="s">
        <v>136</v>
      </c>
      <c r="F53" s="190" t="s">
        <v>137</v>
      </c>
      <c r="G53" s="114" t="s">
        <v>156</v>
      </c>
      <c r="H53" s="182" t="s">
        <v>134</v>
      </c>
      <c r="I53" s="111" t="str">
        <f t="shared" si="19"/>
        <v>U Space</v>
      </c>
      <c r="J53" s="114">
        <v>4</v>
      </c>
      <c r="K53" s="114">
        <v>6</v>
      </c>
      <c r="L53" s="184">
        <f t="shared" si="20"/>
        <v>-2</v>
      </c>
      <c r="M53" s="111">
        <f t="shared" si="21"/>
        <v>4</v>
      </c>
      <c r="N53" s="111">
        <f t="shared" si="22"/>
        <v>0</v>
      </c>
      <c r="O53" s="202">
        <f>216000/12/21</f>
        <v>857.14285714285711</v>
      </c>
      <c r="P53" s="186" t="str">
        <f t="shared" si="23"/>
        <v>Rated</v>
      </c>
      <c r="Q53" s="182" t="s">
        <v>6</v>
      </c>
      <c r="R53" s="236">
        <v>1</v>
      </c>
      <c r="S53" s="210">
        <v>2.11</v>
      </c>
      <c r="T53" s="177">
        <f t="shared" si="24"/>
        <v>-1.1099999999999999</v>
      </c>
      <c r="U53" s="178">
        <v>0</v>
      </c>
      <c r="V53" s="178">
        <f>IF(T53&lt;=0,0,(IF(P53="Rated",(T53+U53)*#REF!,(T53+U53))))</f>
        <v>0</v>
      </c>
      <c r="W53" s="178" t="e">
        <f>IF(P53="Rated",R53*#REF!,R53)</f>
        <v>#REF!</v>
      </c>
      <c r="X53" s="178">
        <f t="shared" si="25"/>
        <v>2.11</v>
      </c>
      <c r="Y53" s="178">
        <f t="shared" si="26"/>
        <v>2.11</v>
      </c>
      <c r="Z53" s="178">
        <f t="shared" si="27"/>
        <v>1.1099999999999999</v>
      </c>
      <c r="AA53" s="202">
        <f>90000/12</f>
        <v>7500</v>
      </c>
      <c r="AB53" s="189" t="s">
        <v>136</v>
      </c>
      <c r="AC53" s="178">
        <v>1.8</v>
      </c>
      <c r="AD53" s="111"/>
      <c r="AE53" s="179"/>
      <c r="AF53" s="179"/>
      <c r="AG53" s="191" t="s">
        <v>126</v>
      </c>
      <c r="AH53" s="111" t="s">
        <v>127</v>
      </c>
      <c r="AI53" s="111">
        <v>0</v>
      </c>
      <c r="AJ53" s="111">
        <v>0</v>
      </c>
      <c r="AK53" s="111">
        <f t="shared" si="28"/>
        <v>0</v>
      </c>
      <c r="AL53" s="111">
        <f t="shared" si="29"/>
        <v>0</v>
      </c>
      <c r="AM53" s="111">
        <v>0</v>
      </c>
      <c r="AN53" s="111"/>
      <c r="AO53" s="111"/>
      <c r="AP53" s="111"/>
      <c r="AQ53" s="111"/>
      <c r="AR53" s="111"/>
      <c r="AS53" s="111"/>
      <c r="AT53" s="111"/>
      <c r="AU53" s="111"/>
      <c r="AV53" s="111"/>
      <c r="AW53" s="111"/>
      <c r="AX53" s="111"/>
      <c r="AY53" s="111"/>
      <c r="AZ53" s="111"/>
      <c r="BA53" s="111"/>
      <c r="BB53" s="111"/>
    </row>
    <row r="54" spans="1:54" s="96" customFormat="1" ht="12">
      <c r="A54" s="205" t="s">
        <v>29</v>
      </c>
      <c r="B54" s="205" t="s">
        <v>152</v>
      </c>
      <c r="C54" s="116" t="s">
        <v>190</v>
      </c>
      <c r="D54" s="182" t="s">
        <v>161</v>
      </c>
      <c r="E54" s="182" t="s">
        <v>136</v>
      </c>
      <c r="F54" s="190" t="s">
        <v>137</v>
      </c>
      <c r="G54" s="114" t="s">
        <v>122</v>
      </c>
      <c r="H54" s="182" t="s">
        <v>134</v>
      </c>
      <c r="I54" s="111" t="str">
        <f t="shared" si="19"/>
        <v>No of Racks</v>
      </c>
      <c r="J54" s="114">
        <v>3</v>
      </c>
      <c r="K54" s="114">
        <v>3</v>
      </c>
      <c r="L54" s="184">
        <f t="shared" si="20"/>
        <v>0</v>
      </c>
      <c r="M54" s="111">
        <f t="shared" si="21"/>
        <v>3</v>
      </c>
      <c r="N54" s="111">
        <f t="shared" si="22"/>
        <v>0</v>
      </c>
      <c r="O54" s="202">
        <f>35000/12</f>
        <v>2916.6666666666665</v>
      </c>
      <c r="P54" s="186" t="str">
        <f t="shared" si="23"/>
        <v>Rated</v>
      </c>
      <c r="Q54" s="182" t="s">
        <v>6</v>
      </c>
      <c r="R54" s="234">
        <v>16</v>
      </c>
      <c r="S54" s="210">
        <v>16.16</v>
      </c>
      <c r="T54" s="177">
        <f t="shared" si="24"/>
        <v>-0.16000000000000014</v>
      </c>
      <c r="U54" s="178">
        <v>0</v>
      </c>
      <c r="V54" s="178">
        <f>IF(T54&lt;=0,0,(IF(P54="Rated",(T54+U54)*#REF!,(T54+U54))))</f>
        <v>0</v>
      </c>
      <c r="W54" s="178" t="e">
        <f>IF(P54="Rated",R54*#REF!,R54)</f>
        <v>#REF!</v>
      </c>
      <c r="X54" s="178">
        <f t="shared" si="25"/>
        <v>16.16</v>
      </c>
      <c r="Y54" s="178">
        <f t="shared" si="26"/>
        <v>16.16</v>
      </c>
      <c r="Z54" s="178">
        <f t="shared" si="27"/>
        <v>0.16000000000000014</v>
      </c>
      <c r="AA54" s="202"/>
      <c r="AB54" s="189" t="s">
        <v>136</v>
      </c>
      <c r="AC54" s="178">
        <v>1.8</v>
      </c>
      <c r="AD54" s="111"/>
      <c r="AE54" s="179"/>
      <c r="AF54" s="179"/>
      <c r="AG54" s="191" t="s">
        <v>126</v>
      </c>
      <c r="AH54" s="111" t="s">
        <v>127</v>
      </c>
      <c r="AI54" s="111">
        <v>0</v>
      </c>
      <c r="AJ54" s="111">
        <v>0</v>
      </c>
      <c r="AK54" s="111">
        <f t="shared" si="28"/>
        <v>0</v>
      </c>
      <c r="AL54" s="111">
        <f t="shared" si="29"/>
        <v>0</v>
      </c>
      <c r="AM54" s="111">
        <v>0</v>
      </c>
      <c r="AN54" s="111"/>
      <c r="AO54" s="111"/>
      <c r="AP54" s="111"/>
      <c r="AQ54" s="111"/>
      <c r="AR54" s="111"/>
      <c r="AS54" s="111"/>
      <c r="AT54" s="111"/>
      <c r="AU54" s="111"/>
      <c r="AV54" s="111"/>
      <c r="AW54" s="111"/>
      <c r="AX54" s="111"/>
      <c r="AY54" s="111"/>
      <c r="AZ54" s="111"/>
      <c r="BA54" s="111"/>
      <c r="BB54" s="111"/>
    </row>
    <row r="55" spans="1:54" s="96" customFormat="1" ht="14.1">
      <c r="A55" s="205" t="s">
        <v>29</v>
      </c>
      <c r="B55" s="205" t="s">
        <v>152</v>
      </c>
      <c r="C55" s="213" t="s">
        <v>191</v>
      </c>
      <c r="D55" s="182" t="s">
        <v>161</v>
      </c>
      <c r="E55" s="182" t="s">
        <v>136</v>
      </c>
      <c r="F55" s="190" t="s">
        <v>137</v>
      </c>
      <c r="G55" s="114" t="s">
        <v>156</v>
      </c>
      <c r="H55" s="182" t="s">
        <v>134</v>
      </c>
      <c r="I55" s="111" t="str">
        <f t="shared" si="19"/>
        <v>U Space</v>
      </c>
      <c r="J55" s="114">
        <v>4</v>
      </c>
      <c r="K55" s="114">
        <v>4</v>
      </c>
      <c r="L55" s="184">
        <f t="shared" si="20"/>
        <v>0</v>
      </c>
      <c r="M55" s="111">
        <f t="shared" si="21"/>
        <v>4</v>
      </c>
      <c r="N55" s="111">
        <f t="shared" si="22"/>
        <v>0</v>
      </c>
      <c r="O55" s="202">
        <f>(894000+480700)/12/2</f>
        <v>57279.166666666664</v>
      </c>
      <c r="P55" s="186" t="str">
        <f t="shared" si="23"/>
        <v>Rated</v>
      </c>
      <c r="Q55" s="182" t="s">
        <v>6</v>
      </c>
      <c r="R55" s="114">
        <v>1.72</v>
      </c>
      <c r="S55" s="210">
        <v>1.4</v>
      </c>
      <c r="T55" s="177">
        <f t="shared" si="24"/>
        <v>0.32000000000000006</v>
      </c>
      <c r="U55" s="178">
        <v>0</v>
      </c>
      <c r="V55" s="178" t="e">
        <f>IF(T55&lt;=0,0,(IF(P55="Rated",(T55+U55)*#REF!,(T55+U55))))</f>
        <v>#REF!</v>
      </c>
      <c r="W55" s="178" t="e">
        <f>IF(P55="Rated",R55*#REF!,R55)</f>
        <v>#REF!</v>
      </c>
      <c r="X55" s="178">
        <f t="shared" si="25"/>
        <v>1.4</v>
      </c>
      <c r="Y55" s="178">
        <f t="shared" si="26"/>
        <v>1.4</v>
      </c>
      <c r="Z55" s="178">
        <f t="shared" si="27"/>
        <v>-0.32000000000000006</v>
      </c>
      <c r="AA55" s="202">
        <f>95000/12</f>
        <v>7916.666666666667</v>
      </c>
      <c r="AB55" s="189" t="s">
        <v>136</v>
      </c>
      <c r="AC55" s="178">
        <v>1.8</v>
      </c>
      <c r="AD55" s="111"/>
      <c r="AE55" s="179"/>
      <c r="AF55" s="179"/>
      <c r="AG55" s="191" t="s">
        <v>126</v>
      </c>
      <c r="AH55" s="111" t="s">
        <v>127</v>
      </c>
      <c r="AI55" s="111">
        <v>0</v>
      </c>
      <c r="AJ55" s="111">
        <v>0</v>
      </c>
      <c r="AK55" s="111">
        <f t="shared" si="28"/>
        <v>0</v>
      </c>
      <c r="AL55" s="111">
        <f t="shared" si="29"/>
        <v>0</v>
      </c>
      <c r="AM55" s="111">
        <v>0</v>
      </c>
      <c r="AN55" s="111"/>
      <c r="AO55" s="111"/>
      <c r="AP55" s="111"/>
      <c r="AQ55" s="111"/>
      <c r="AR55" s="111"/>
      <c r="AS55" s="111"/>
      <c r="AT55" s="111"/>
      <c r="AU55" s="111"/>
      <c r="AV55" s="111"/>
      <c r="AW55" s="111"/>
      <c r="AX55" s="111"/>
      <c r="AY55" s="111"/>
      <c r="AZ55" s="111"/>
      <c r="BA55" s="111"/>
      <c r="BB55" s="111"/>
    </row>
    <row r="56" spans="1:54" s="96" customFormat="1" ht="12">
      <c r="A56" s="205" t="s">
        <v>29</v>
      </c>
      <c r="B56" s="205" t="s">
        <v>152</v>
      </c>
      <c r="C56" s="118" t="s">
        <v>192</v>
      </c>
      <c r="D56" s="182" t="s">
        <v>161</v>
      </c>
      <c r="E56" s="182" t="s">
        <v>136</v>
      </c>
      <c r="F56" s="190" t="s">
        <v>137</v>
      </c>
      <c r="G56" s="114" t="s">
        <v>122</v>
      </c>
      <c r="H56" s="182" t="s">
        <v>134</v>
      </c>
      <c r="I56" s="111" t="str">
        <f t="shared" si="19"/>
        <v>No of Racks</v>
      </c>
      <c r="J56" s="114">
        <v>1</v>
      </c>
      <c r="K56" s="114">
        <v>1</v>
      </c>
      <c r="L56" s="184">
        <f t="shared" si="20"/>
        <v>0</v>
      </c>
      <c r="M56" s="111">
        <f t="shared" si="21"/>
        <v>1</v>
      </c>
      <c r="N56" s="111">
        <f t="shared" si="22"/>
        <v>0</v>
      </c>
      <c r="O56" s="202">
        <f>(39750+39750/4)/12</f>
        <v>4140.625</v>
      </c>
      <c r="P56" s="186" t="str">
        <f t="shared" si="23"/>
        <v>Rated</v>
      </c>
      <c r="Q56" s="182" t="s">
        <v>6</v>
      </c>
      <c r="R56" s="114">
        <v>9.5</v>
      </c>
      <c r="S56" s="210">
        <v>10.53</v>
      </c>
      <c r="T56" s="177">
        <f t="shared" si="24"/>
        <v>-1.0299999999999994</v>
      </c>
      <c r="U56" s="178">
        <v>0</v>
      </c>
      <c r="V56" s="178">
        <f>IF(T56&lt;=0,0,(IF(P56="Rated",(T56+U56)*#REF!,(T56+U56))))</f>
        <v>0</v>
      </c>
      <c r="W56" s="178" t="e">
        <f>IF(P56="Rated",R56*#REF!,R56)</f>
        <v>#REF!</v>
      </c>
      <c r="X56" s="178">
        <f t="shared" si="25"/>
        <v>10.53</v>
      </c>
      <c r="Y56" s="178">
        <f t="shared" si="26"/>
        <v>10.53</v>
      </c>
      <c r="Z56" s="178">
        <f t="shared" si="27"/>
        <v>1.0299999999999994</v>
      </c>
      <c r="AA56" s="111"/>
      <c r="AB56" s="189" t="s">
        <v>136</v>
      </c>
      <c r="AC56" s="178">
        <v>1.8</v>
      </c>
      <c r="AD56" s="111"/>
      <c r="AE56" s="179"/>
      <c r="AF56" s="179"/>
      <c r="AG56" s="191" t="s">
        <v>126</v>
      </c>
      <c r="AH56" s="111" t="s">
        <v>127</v>
      </c>
      <c r="AI56" s="111">
        <v>0</v>
      </c>
      <c r="AJ56" s="111">
        <v>0</v>
      </c>
      <c r="AK56" s="111">
        <f t="shared" si="28"/>
        <v>0</v>
      </c>
      <c r="AL56" s="111">
        <f t="shared" si="29"/>
        <v>0</v>
      </c>
      <c r="AM56" s="111">
        <v>0</v>
      </c>
      <c r="AN56" s="111"/>
      <c r="AO56" s="111"/>
      <c r="AP56" s="111"/>
      <c r="AQ56" s="111"/>
      <c r="AR56" s="111"/>
      <c r="AS56" s="111"/>
      <c r="AT56" s="111"/>
      <c r="AU56" s="111"/>
      <c r="AV56" s="111"/>
      <c r="AW56" s="111"/>
      <c r="AX56" s="111"/>
      <c r="AY56" s="111"/>
      <c r="AZ56" s="111"/>
      <c r="BA56" s="111"/>
      <c r="BB56" s="111"/>
    </row>
    <row r="57" spans="1:54" s="96" customFormat="1" ht="12">
      <c r="A57" s="205" t="s">
        <v>29</v>
      </c>
      <c r="B57" s="205" t="s">
        <v>152</v>
      </c>
      <c r="C57" s="117" t="s">
        <v>193</v>
      </c>
      <c r="D57" s="182" t="s">
        <v>161</v>
      </c>
      <c r="E57" s="182" t="s">
        <v>136</v>
      </c>
      <c r="F57" s="190" t="s">
        <v>137</v>
      </c>
      <c r="G57" s="114" t="s">
        <v>156</v>
      </c>
      <c r="H57" s="182" t="s">
        <v>134</v>
      </c>
      <c r="I57" s="111" t="str">
        <f t="shared" si="19"/>
        <v>U Space</v>
      </c>
      <c r="J57" s="114">
        <v>4</v>
      </c>
      <c r="K57" s="114">
        <v>4</v>
      </c>
      <c r="L57" s="184">
        <f t="shared" si="20"/>
        <v>0</v>
      </c>
      <c r="M57" s="111">
        <f t="shared" si="21"/>
        <v>4</v>
      </c>
      <c r="N57" s="111">
        <f t="shared" si="22"/>
        <v>0</v>
      </c>
      <c r="O57" s="202">
        <f>40000/2/12</f>
        <v>1666.6666666666667</v>
      </c>
      <c r="P57" s="186" t="str">
        <f t="shared" si="23"/>
        <v>Rated</v>
      </c>
      <c r="Q57" s="182" t="s">
        <v>6</v>
      </c>
      <c r="R57" s="114">
        <v>1</v>
      </c>
      <c r="S57" s="210">
        <v>0.505</v>
      </c>
      <c r="T57" s="177">
        <f t="shared" si="24"/>
        <v>0.495</v>
      </c>
      <c r="U57" s="178">
        <v>0</v>
      </c>
      <c r="V57" s="178" t="e">
        <f>IF(T57&lt;=0,0,(IF(P57="Rated",(T57+U57)*#REF!,(T57+U57))))</f>
        <v>#REF!</v>
      </c>
      <c r="W57" s="178" t="e">
        <f>IF(P57="Rated",R57*#REF!,R57)</f>
        <v>#REF!</v>
      </c>
      <c r="X57" s="178">
        <f t="shared" si="25"/>
        <v>0.505</v>
      </c>
      <c r="Y57" s="178">
        <f t="shared" si="26"/>
        <v>0.505</v>
      </c>
      <c r="Z57" s="178">
        <f t="shared" si="27"/>
        <v>-0.495</v>
      </c>
      <c r="AA57" s="111"/>
      <c r="AB57" s="189" t="s">
        <v>136</v>
      </c>
      <c r="AC57" s="178">
        <v>1.8</v>
      </c>
      <c r="AD57" s="111"/>
      <c r="AE57" s="179"/>
      <c r="AF57" s="179"/>
      <c r="AG57" s="191" t="s">
        <v>126</v>
      </c>
      <c r="AH57" s="111" t="s">
        <v>127</v>
      </c>
      <c r="AI57" s="111">
        <v>0</v>
      </c>
      <c r="AJ57" s="111">
        <v>0</v>
      </c>
      <c r="AK57" s="111">
        <f t="shared" si="28"/>
        <v>0</v>
      </c>
      <c r="AL57" s="111">
        <f t="shared" si="29"/>
        <v>0</v>
      </c>
      <c r="AM57" s="111">
        <v>0</v>
      </c>
      <c r="AN57" s="111"/>
      <c r="AO57" s="111"/>
      <c r="AP57" s="111"/>
      <c r="AQ57" s="111"/>
      <c r="AR57" s="111"/>
      <c r="AS57" s="111"/>
      <c r="AT57" s="111"/>
      <c r="AU57" s="111"/>
      <c r="AV57" s="111"/>
      <c r="AW57" s="111"/>
      <c r="AX57" s="111"/>
      <c r="AY57" s="111"/>
      <c r="AZ57" s="111"/>
      <c r="BA57" s="111"/>
      <c r="BB57" s="111"/>
    </row>
    <row r="58" spans="1:54" s="96" customFormat="1" ht="11.45">
      <c r="A58" s="205" t="s">
        <v>29</v>
      </c>
      <c r="B58" s="205" t="s">
        <v>152</v>
      </c>
      <c r="C58" s="117" t="s">
        <v>194</v>
      </c>
      <c r="D58" s="182" t="s">
        <v>161</v>
      </c>
      <c r="E58" s="182" t="s">
        <v>136</v>
      </c>
      <c r="F58" s="190" t="s">
        <v>137</v>
      </c>
      <c r="G58" s="114" t="s">
        <v>156</v>
      </c>
      <c r="H58" s="182" t="s">
        <v>134</v>
      </c>
      <c r="I58" s="111" t="str">
        <f t="shared" si="19"/>
        <v>U Space</v>
      </c>
      <c r="J58" s="114">
        <v>21</v>
      </c>
      <c r="K58" s="114">
        <v>21</v>
      </c>
      <c r="L58" s="184">
        <f t="shared" si="20"/>
        <v>0</v>
      </c>
      <c r="M58" s="111">
        <f t="shared" si="21"/>
        <v>21</v>
      </c>
      <c r="N58" s="111">
        <f t="shared" si="22"/>
        <v>0</v>
      </c>
      <c r="O58" s="178"/>
      <c r="P58" s="186" t="str">
        <f t="shared" si="23"/>
        <v>Rated</v>
      </c>
      <c r="Q58" s="182" t="s">
        <v>6</v>
      </c>
      <c r="R58" s="114">
        <v>1.5</v>
      </c>
      <c r="S58" s="210">
        <v>1.44</v>
      </c>
      <c r="T58" s="177">
        <f t="shared" si="24"/>
        <v>6.0000000000000053E-2</v>
      </c>
      <c r="U58" s="178">
        <v>0</v>
      </c>
      <c r="V58" s="178" t="e">
        <f>IF(T58&lt;=0,0,(IF(P58="Rated",(T58+U58)*#REF!,(T58+U58))))</f>
        <v>#REF!</v>
      </c>
      <c r="W58" s="178" t="e">
        <f>IF(P58="Rated",R58*#REF!,R58)</f>
        <v>#REF!</v>
      </c>
      <c r="X58" s="178">
        <f t="shared" si="25"/>
        <v>1.44</v>
      </c>
      <c r="Y58" s="178">
        <f t="shared" si="26"/>
        <v>1.44</v>
      </c>
      <c r="Z58" s="178">
        <f t="shared" si="27"/>
        <v>-6.0000000000000053E-2</v>
      </c>
      <c r="AA58" s="111"/>
      <c r="AB58" s="189" t="s">
        <v>136</v>
      </c>
      <c r="AC58" s="178">
        <v>1.8</v>
      </c>
      <c r="AD58" s="111"/>
      <c r="AE58" s="179"/>
      <c r="AF58" s="179"/>
      <c r="AG58" s="191" t="s">
        <v>126</v>
      </c>
      <c r="AH58" s="111" t="s">
        <v>127</v>
      </c>
      <c r="AI58" s="111">
        <v>0</v>
      </c>
      <c r="AJ58" s="111">
        <v>0</v>
      </c>
      <c r="AK58" s="111">
        <f t="shared" si="28"/>
        <v>0</v>
      </c>
      <c r="AL58" s="111">
        <f t="shared" si="29"/>
        <v>0</v>
      </c>
      <c r="AM58" s="111">
        <v>0</v>
      </c>
      <c r="AN58" s="111"/>
      <c r="AO58" s="111"/>
      <c r="AP58" s="111"/>
      <c r="AQ58" s="111"/>
      <c r="AR58" s="111"/>
      <c r="AS58" s="111"/>
      <c r="AT58" s="111"/>
      <c r="AU58" s="111"/>
      <c r="AV58" s="111"/>
      <c r="AW58" s="111"/>
      <c r="AX58" s="111"/>
      <c r="AY58" s="111"/>
      <c r="AZ58" s="111"/>
      <c r="BA58" s="111"/>
      <c r="BB58" s="111"/>
    </row>
    <row r="59" spans="1:54" s="96" customFormat="1" ht="11.45">
      <c r="A59" s="205" t="s">
        <v>29</v>
      </c>
      <c r="B59" s="205" t="s">
        <v>152</v>
      </c>
      <c r="C59" s="117" t="s">
        <v>195</v>
      </c>
      <c r="D59" s="182" t="s">
        <v>161</v>
      </c>
      <c r="E59" s="182" t="s">
        <v>136</v>
      </c>
      <c r="F59" s="190" t="s">
        <v>137</v>
      </c>
      <c r="G59" s="114" t="s">
        <v>122</v>
      </c>
      <c r="H59" s="182" t="s">
        <v>134</v>
      </c>
      <c r="I59" s="111" t="str">
        <f t="shared" si="19"/>
        <v>No of Racks</v>
      </c>
      <c r="J59" s="114">
        <v>1</v>
      </c>
      <c r="K59" s="114">
        <v>1</v>
      </c>
      <c r="L59" s="184">
        <f t="shared" si="20"/>
        <v>0</v>
      </c>
      <c r="M59" s="111">
        <f t="shared" si="21"/>
        <v>1</v>
      </c>
      <c r="N59" s="111">
        <f t="shared" si="22"/>
        <v>0</v>
      </c>
      <c r="O59" s="178"/>
      <c r="P59" s="186" t="str">
        <f t="shared" si="23"/>
        <v>Rated</v>
      </c>
      <c r="Q59" s="182" t="s">
        <v>6</v>
      </c>
      <c r="R59" s="234">
        <v>8</v>
      </c>
      <c r="S59" s="210">
        <v>7.28</v>
      </c>
      <c r="T59" s="177">
        <f t="shared" si="24"/>
        <v>0.71999999999999975</v>
      </c>
      <c r="U59" s="178">
        <v>0</v>
      </c>
      <c r="V59" s="178" t="e">
        <f>IF(T59&lt;=0,0,(IF(P59="Rated",(T59+U59)*#REF!,(T59+U59))))</f>
        <v>#REF!</v>
      </c>
      <c r="W59" s="178" t="e">
        <f>IF(P59="Rated",R59*#REF!,R59)</f>
        <v>#REF!</v>
      </c>
      <c r="X59" s="178">
        <f t="shared" si="25"/>
        <v>7.28</v>
      </c>
      <c r="Y59" s="178">
        <f t="shared" si="26"/>
        <v>7.28</v>
      </c>
      <c r="Z59" s="178">
        <f t="shared" si="27"/>
        <v>-0.71999999999999975</v>
      </c>
      <c r="AA59" s="111"/>
      <c r="AB59" s="189" t="s">
        <v>136</v>
      </c>
      <c r="AC59" s="178">
        <v>1.8</v>
      </c>
      <c r="AD59" s="111"/>
      <c r="AE59" s="179"/>
      <c r="AF59" s="179"/>
      <c r="AG59" s="191" t="s">
        <v>126</v>
      </c>
      <c r="AH59" s="111" t="s">
        <v>127</v>
      </c>
      <c r="AI59" s="111">
        <v>0</v>
      </c>
      <c r="AJ59" s="111">
        <v>0</v>
      </c>
      <c r="AK59" s="111">
        <f t="shared" si="28"/>
        <v>0</v>
      </c>
      <c r="AL59" s="111">
        <f t="shared" si="29"/>
        <v>0</v>
      </c>
      <c r="AM59" s="111">
        <v>0</v>
      </c>
      <c r="AN59" s="111"/>
      <c r="AO59" s="111"/>
      <c r="AP59" s="111"/>
      <c r="AQ59" s="111"/>
      <c r="AR59" s="111"/>
      <c r="AS59" s="111"/>
      <c r="AT59" s="111"/>
      <c r="AU59" s="111"/>
      <c r="AV59" s="111"/>
      <c r="AW59" s="111"/>
      <c r="AX59" s="111"/>
      <c r="AY59" s="111"/>
      <c r="AZ59" s="111"/>
      <c r="BA59" s="111"/>
      <c r="BB59" s="111"/>
    </row>
    <row r="60" spans="1:54" s="96" customFormat="1" ht="11.45">
      <c r="A60" s="205" t="s">
        <v>29</v>
      </c>
      <c r="B60" s="205" t="s">
        <v>152</v>
      </c>
      <c r="C60" s="117" t="s">
        <v>196</v>
      </c>
      <c r="D60" s="182" t="s">
        <v>161</v>
      </c>
      <c r="E60" s="182" t="s">
        <v>136</v>
      </c>
      <c r="F60" s="190" t="s">
        <v>137</v>
      </c>
      <c r="G60" s="114" t="s">
        <v>122</v>
      </c>
      <c r="H60" s="182" t="s">
        <v>134</v>
      </c>
      <c r="I60" s="111" t="str">
        <f t="shared" si="19"/>
        <v>No of Racks</v>
      </c>
      <c r="J60" s="114">
        <v>2</v>
      </c>
      <c r="K60" s="114">
        <v>2</v>
      </c>
      <c r="L60" s="184">
        <f t="shared" si="20"/>
        <v>0</v>
      </c>
      <c r="M60" s="111">
        <f t="shared" si="21"/>
        <v>2</v>
      </c>
      <c r="N60" s="111">
        <f t="shared" si="22"/>
        <v>0</v>
      </c>
      <c r="O60" s="178"/>
      <c r="P60" s="186" t="str">
        <f t="shared" si="23"/>
        <v>Rated</v>
      </c>
      <c r="Q60" s="182" t="s">
        <v>6</v>
      </c>
      <c r="R60" s="234">
        <v>22</v>
      </c>
      <c r="S60" s="210">
        <v>22.87</v>
      </c>
      <c r="T60" s="177">
        <f t="shared" si="24"/>
        <v>-0.87000000000000099</v>
      </c>
      <c r="U60" s="178">
        <v>0</v>
      </c>
      <c r="V60" s="178">
        <f>IF(T60&lt;=0,0,(IF(P60="Rated",(T60+U60)*#REF!,(T60+U60))))</f>
        <v>0</v>
      </c>
      <c r="W60" s="178" t="e">
        <f>IF(P60="Rated",R60*#REF!,R60)</f>
        <v>#REF!</v>
      </c>
      <c r="X60" s="178">
        <f t="shared" si="25"/>
        <v>22.87</v>
      </c>
      <c r="Y60" s="178">
        <f t="shared" si="26"/>
        <v>22.87</v>
      </c>
      <c r="Z60" s="178">
        <f t="shared" si="27"/>
        <v>0.87000000000000099</v>
      </c>
      <c r="AA60" s="111"/>
      <c r="AB60" s="189" t="s">
        <v>136</v>
      </c>
      <c r="AC60" s="178">
        <v>1.8</v>
      </c>
      <c r="AD60" s="111"/>
      <c r="AE60" s="179"/>
      <c r="AF60" s="179"/>
      <c r="AG60" s="191" t="s">
        <v>126</v>
      </c>
      <c r="AH60" s="111" t="s">
        <v>127</v>
      </c>
      <c r="AI60" s="111">
        <v>0</v>
      </c>
      <c r="AJ60" s="111">
        <v>0</v>
      </c>
      <c r="AK60" s="111">
        <f t="shared" si="28"/>
        <v>0</v>
      </c>
      <c r="AL60" s="111">
        <f t="shared" si="29"/>
        <v>0</v>
      </c>
      <c r="AM60" s="111">
        <v>0</v>
      </c>
      <c r="AN60" s="111"/>
      <c r="AO60" s="111"/>
      <c r="AP60" s="111"/>
      <c r="AQ60" s="111"/>
      <c r="AR60" s="111"/>
      <c r="AS60" s="111"/>
      <c r="AT60" s="111"/>
      <c r="AU60" s="111"/>
      <c r="AV60" s="111"/>
      <c r="AW60" s="111"/>
      <c r="AX60" s="111"/>
      <c r="AY60" s="111"/>
      <c r="AZ60" s="111"/>
      <c r="BA60" s="111"/>
      <c r="BB60" s="111"/>
    </row>
    <row r="61" spans="1:54" s="96" customFormat="1" ht="11.45">
      <c r="A61" s="205" t="s">
        <v>29</v>
      </c>
      <c r="B61" s="205" t="s">
        <v>152</v>
      </c>
      <c r="C61" s="118" t="s">
        <v>197</v>
      </c>
      <c r="D61" s="182" t="s">
        <v>161</v>
      </c>
      <c r="E61" s="182" t="s">
        <v>136</v>
      </c>
      <c r="F61" s="190" t="s">
        <v>137</v>
      </c>
      <c r="G61" s="114" t="s">
        <v>156</v>
      </c>
      <c r="H61" s="182" t="s">
        <v>134</v>
      </c>
      <c r="I61" s="111" t="str">
        <f t="shared" si="19"/>
        <v>U Space</v>
      </c>
      <c r="J61" s="114">
        <v>3</v>
      </c>
      <c r="K61" s="114">
        <v>3</v>
      </c>
      <c r="L61" s="184">
        <f t="shared" si="20"/>
        <v>0</v>
      </c>
      <c r="M61" s="111">
        <f t="shared" si="21"/>
        <v>3</v>
      </c>
      <c r="N61" s="111">
        <f t="shared" si="22"/>
        <v>0</v>
      </c>
      <c r="O61" s="178"/>
      <c r="P61" s="186" t="str">
        <f t="shared" si="23"/>
        <v>Rated</v>
      </c>
      <c r="Q61" s="182" t="s">
        <v>6</v>
      </c>
      <c r="R61" s="114">
        <v>0.75</v>
      </c>
      <c r="S61" s="210">
        <v>0.36599999999999999</v>
      </c>
      <c r="T61" s="177">
        <f t="shared" si="24"/>
        <v>0.38400000000000001</v>
      </c>
      <c r="U61" s="178">
        <v>0</v>
      </c>
      <c r="V61" s="178" t="e">
        <f>IF(T61&lt;=0,0,(IF(P61="Rated",(T61+U61)*#REF!,(T61+U61))))</f>
        <v>#REF!</v>
      </c>
      <c r="W61" s="178" t="e">
        <f>IF(P61="Rated",R61*#REF!,R61)</f>
        <v>#REF!</v>
      </c>
      <c r="X61" s="178">
        <f t="shared" si="25"/>
        <v>0.36599999999999999</v>
      </c>
      <c r="Y61" s="178">
        <f t="shared" si="26"/>
        <v>0.36599999999999999</v>
      </c>
      <c r="Z61" s="178">
        <f t="shared" si="27"/>
        <v>-0.38400000000000001</v>
      </c>
      <c r="AA61" s="111"/>
      <c r="AB61" s="189" t="s">
        <v>136</v>
      </c>
      <c r="AC61" s="178">
        <v>1.8</v>
      </c>
      <c r="AD61" s="111"/>
      <c r="AE61" s="179"/>
      <c r="AF61" s="179"/>
      <c r="AG61" s="191" t="s">
        <v>126</v>
      </c>
      <c r="AH61" s="111" t="s">
        <v>127</v>
      </c>
      <c r="AI61" s="111">
        <v>0</v>
      </c>
      <c r="AJ61" s="111">
        <v>0</v>
      </c>
      <c r="AK61" s="111">
        <f t="shared" si="28"/>
        <v>0</v>
      </c>
      <c r="AL61" s="111">
        <f t="shared" si="29"/>
        <v>0</v>
      </c>
      <c r="AM61" s="111">
        <v>0</v>
      </c>
      <c r="AN61" s="111"/>
      <c r="AO61" s="111"/>
      <c r="AP61" s="111"/>
      <c r="AQ61" s="111"/>
      <c r="AR61" s="111"/>
      <c r="AS61" s="111"/>
      <c r="AT61" s="111"/>
      <c r="AU61" s="111"/>
      <c r="AV61" s="111"/>
      <c r="AW61" s="111"/>
      <c r="AX61" s="111"/>
      <c r="AY61" s="111"/>
      <c r="AZ61" s="111"/>
      <c r="BA61" s="111"/>
      <c r="BB61" s="111"/>
    </row>
    <row r="62" spans="1:54" s="96" customFormat="1" ht="11.45">
      <c r="A62" s="205" t="s">
        <v>29</v>
      </c>
      <c r="B62" s="205" t="s">
        <v>152</v>
      </c>
      <c r="C62" s="117" t="s">
        <v>198</v>
      </c>
      <c r="D62" s="182" t="s">
        <v>161</v>
      </c>
      <c r="E62" s="182" t="s">
        <v>136</v>
      </c>
      <c r="F62" s="190" t="s">
        <v>137</v>
      </c>
      <c r="G62" s="114" t="s">
        <v>156</v>
      </c>
      <c r="H62" s="182" t="s">
        <v>134</v>
      </c>
      <c r="I62" s="111" t="str">
        <f t="shared" si="19"/>
        <v>U Space</v>
      </c>
      <c r="J62" s="114">
        <v>3</v>
      </c>
      <c r="K62" s="114">
        <v>2</v>
      </c>
      <c r="L62" s="184">
        <f t="shared" si="20"/>
        <v>1</v>
      </c>
      <c r="M62" s="111">
        <f t="shared" si="21"/>
        <v>3</v>
      </c>
      <c r="N62" s="111">
        <f t="shared" si="22"/>
        <v>0</v>
      </c>
      <c r="O62" s="178"/>
      <c r="P62" s="186" t="str">
        <f t="shared" si="23"/>
        <v>Rated</v>
      </c>
      <c r="Q62" s="182" t="s">
        <v>6</v>
      </c>
      <c r="R62" s="114">
        <v>1</v>
      </c>
      <c r="S62" s="210">
        <v>0.83299999999999996</v>
      </c>
      <c r="T62" s="177">
        <f t="shared" si="24"/>
        <v>0.16700000000000004</v>
      </c>
      <c r="U62" s="178">
        <v>0</v>
      </c>
      <c r="V62" s="178" t="e">
        <f>IF(T62&lt;=0,0,(IF(P62="Rated",(T62+U62)*#REF!,(T62+U62))))</f>
        <v>#REF!</v>
      </c>
      <c r="W62" s="178" t="e">
        <f>IF(P62="Rated",R62*#REF!,R62)</f>
        <v>#REF!</v>
      </c>
      <c r="X62" s="178">
        <f t="shared" si="25"/>
        <v>0.83299999999999996</v>
      </c>
      <c r="Y62" s="178">
        <f t="shared" si="26"/>
        <v>0.83299999999999996</v>
      </c>
      <c r="Z62" s="178">
        <f t="shared" si="27"/>
        <v>-0.16700000000000004</v>
      </c>
      <c r="AA62" s="111"/>
      <c r="AB62" s="189" t="s">
        <v>136</v>
      </c>
      <c r="AC62" s="178">
        <v>1.8</v>
      </c>
      <c r="AD62" s="111"/>
      <c r="AE62" s="179"/>
      <c r="AF62" s="179"/>
      <c r="AG62" s="191" t="s">
        <v>126</v>
      </c>
      <c r="AH62" s="111" t="s">
        <v>127</v>
      </c>
      <c r="AI62" s="111">
        <v>0</v>
      </c>
      <c r="AJ62" s="111">
        <v>0</v>
      </c>
      <c r="AK62" s="111">
        <f t="shared" si="28"/>
        <v>0</v>
      </c>
      <c r="AL62" s="111">
        <f t="shared" si="29"/>
        <v>0</v>
      </c>
      <c r="AM62" s="111">
        <v>0</v>
      </c>
      <c r="AN62" s="111"/>
      <c r="AO62" s="111"/>
      <c r="AP62" s="111"/>
      <c r="AQ62" s="111"/>
      <c r="AR62" s="111"/>
      <c r="AS62" s="111"/>
      <c r="AT62" s="111"/>
      <c r="AU62" s="111"/>
      <c r="AV62" s="111"/>
      <c r="AW62" s="111"/>
      <c r="AX62" s="111"/>
      <c r="AY62" s="111"/>
      <c r="AZ62" s="111"/>
      <c r="BA62" s="111"/>
      <c r="BB62" s="111"/>
    </row>
    <row r="63" spans="1:54" s="96" customFormat="1" ht="11.45">
      <c r="A63" s="205" t="s">
        <v>29</v>
      </c>
      <c r="B63" s="205" t="s">
        <v>138</v>
      </c>
      <c r="C63" s="117" t="s">
        <v>199</v>
      </c>
      <c r="D63" s="182" t="s">
        <v>161</v>
      </c>
      <c r="E63" s="182" t="s">
        <v>136</v>
      </c>
      <c r="F63" s="190" t="s">
        <v>137</v>
      </c>
      <c r="G63" s="114" t="s">
        <v>122</v>
      </c>
      <c r="H63" s="182" t="s">
        <v>134</v>
      </c>
      <c r="I63" s="111" t="str">
        <f t="shared" si="19"/>
        <v>No of Racks</v>
      </c>
      <c r="J63" s="114">
        <v>1</v>
      </c>
      <c r="K63" s="114">
        <v>1</v>
      </c>
      <c r="L63" s="184">
        <f t="shared" si="20"/>
        <v>0</v>
      </c>
      <c r="M63" s="111">
        <f t="shared" si="21"/>
        <v>1</v>
      </c>
      <c r="N63" s="111">
        <f t="shared" si="22"/>
        <v>0</v>
      </c>
      <c r="O63" s="178"/>
      <c r="P63" s="186" t="str">
        <f t="shared" si="23"/>
        <v>Rated</v>
      </c>
      <c r="Q63" s="182" t="s">
        <v>6</v>
      </c>
      <c r="R63" s="234">
        <v>3</v>
      </c>
      <c r="S63" s="210">
        <v>0.71099999999999997</v>
      </c>
      <c r="T63" s="177">
        <f t="shared" si="24"/>
        <v>2.2890000000000001</v>
      </c>
      <c r="U63" s="178">
        <v>0</v>
      </c>
      <c r="V63" s="178" t="e">
        <f>IF(T63&lt;=0,0,(IF(P63="Rated",(T63+U63)*#REF!,(T63+U63))))</f>
        <v>#REF!</v>
      </c>
      <c r="W63" s="178" t="e">
        <f>IF(P63="Rated",R63*#REF!,R63)</f>
        <v>#REF!</v>
      </c>
      <c r="X63" s="178">
        <f t="shared" si="25"/>
        <v>0.71099999999999997</v>
      </c>
      <c r="Y63" s="178">
        <f t="shared" si="26"/>
        <v>0.71099999999999997</v>
      </c>
      <c r="Z63" s="178">
        <f t="shared" si="27"/>
        <v>-2.2890000000000001</v>
      </c>
      <c r="AA63" s="111"/>
      <c r="AB63" s="189" t="s">
        <v>136</v>
      </c>
      <c r="AC63" s="178">
        <v>1.8</v>
      </c>
      <c r="AD63" s="111"/>
      <c r="AE63" s="179"/>
      <c r="AF63" s="179"/>
      <c r="AG63" s="191" t="s">
        <v>126</v>
      </c>
      <c r="AH63" s="111" t="s">
        <v>127</v>
      </c>
      <c r="AI63" s="111">
        <v>0</v>
      </c>
      <c r="AJ63" s="111">
        <v>0</v>
      </c>
      <c r="AK63" s="111">
        <f t="shared" si="28"/>
        <v>0</v>
      </c>
      <c r="AL63" s="111">
        <f t="shared" si="29"/>
        <v>0</v>
      </c>
      <c r="AM63" s="111">
        <v>0</v>
      </c>
      <c r="AN63" s="111"/>
      <c r="AO63" s="111"/>
      <c r="AP63" s="111"/>
      <c r="AQ63" s="111"/>
      <c r="AR63" s="111"/>
      <c r="AS63" s="111"/>
      <c r="AT63" s="111"/>
      <c r="AU63" s="111"/>
      <c r="AV63" s="111"/>
      <c r="AW63" s="111"/>
      <c r="AX63" s="111"/>
      <c r="AY63" s="111"/>
      <c r="AZ63" s="111"/>
      <c r="BA63" s="111"/>
      <c r="BB63" s="111"/>
    </row>
    <row r="64" spans="1:54" s="96" customFormat="1" ht="11.45">
      <c r="A64" s="205" t="s">
        <v>29</v>
      </c>
      <c r="B64" s="205" t="s">
        <v>152</v>
      </c>
      <c r="C64" s="117" t="s">
        <v>200</v>
      </c>
      <c r="D64" s="182" t="s">
        <v>161</v>
      </c>
      <c r="E64" s="182" t="s">
        <v>136</v>
      </c>
      <c r="F64" s="190" t="s">
        <v>137</v>
      </c>
      <c r="G64" s="114" t="s">
        <v>122</v>
      </c>
      <c r="H64" s="182" t="s">
        <v>134</v>
      </c>
      <c r="I64" s="111" t="str">
        <f t="shared" si="19"/>
        <v>No of Racks</v>
      </c>
      <c r="J64" s="114">
        <v>1</v>
      </c>
      <c r="K64" s="114">
        <v>1</v>
      </c>
      <c r="L64" s="184">
        <f t="shared" si="20"/>
        <v>0</v>
      </c>
      <c r="M64" s="111">
        <f t="shared" si="21"/>
        <v>1</v>
      </c>
      <c r="N64" s="111">
        <f t="shared" si="22"/>
        <v>0</v>
      </c>
      <c r="O64" s="178"/>
      <c r="P64" s="186" t="str">
        <f t="shared" si="23"/>
        <v>Rated</v>
      </c>
      <c r="Q64" s="182" t="s">
        <v>6</v>
      </c>
      <c r="R64" s="234">
        <v>6.25</v>
      </c>
      <c r="S64" s="210">
        <v>5.83</v>
      </c>
      <c r="T64" s="177">
        <f t="shared" si="24"/>
        <v>0.41999999999999993</v>
      </c>
      <c r="U64" s="178">
        <v>0</v>
      </c>
      <c r="V64" s="178" t="e">
        <f>IF(T64&lt;=0,0,(IF(P64="Rated",(T64+U64)*#REF!,(T64+U64))))</f>
        <v>#REF!</v>
      </c>
      <c r="W64" s="178" t="e">
        <f>IF(P64="Rated",R64*#REF!,R64)</f>
        <v>#REF!</v>
      </c>
      <c r="X64" s="178">
        <f t="shared" si="25"/>
        <v>5.83</v>
      </c>
      <c r="Y64" s="178">
        <f t="shared" si="26"/>
        <v>5.83</v>
      </c>
      <c r="Z64" s="178">
        <f t="shared" si="27"/>
        <v>-0.41999999999999993</v>
      </c>
      <c r="AA64" s="111"/>
      <c r="AB64" s="189" t="s">
        <v>136</v>
      </c>
      <c r="AC64" s="178">
        <v>1.8</v>
      </c>
      <c r="AD64" s="111"/>
      <c r="AE64" s="179"/>
      <c r="AF64" s="179"/>
      <c r="AG64" s="191" t="s">
        <v>126</v>
      </c>
      <c r="AH64" s="111" t="s">
        <v>127</v>
      </c>
      <c r="AI64" s="111">
        <v>0</v>
      </c>
      <c r="AJ64" s="111">
        <v>0</v>
      </c>
      <c r="AK64" s="111">
        <f t="shared" si="28"/>
        <v>0</v>
      </c>
      <c r="AL64" s="111">
        <f t="shared" si="29"/>
        <v>0</v>
      </c>
      <c r="AM64" s="111">
        <v>0</v>
      </c>
      <c r="AN64" s="111"/>
      <c r="AO64" s="111"/>
      <c r="AP64" s="111"/>
      <c r="AQ64" s="111"/>
      <c r="AR64" s="111"/>
      <c r="AS64" s="111"/>
      <c r="AT64" s="111"/>
      <c r="AU64" s="111"/>
      <c r="AV64" s="111"/>
      <c r="AW64" s="111"/>
      <c r="AX64" s="111"/>
      <c r="AY64" s="111"/>
      <c r="AZ64" s="111"/>
      <c r="BA64" s="111"/>
      <c r="BB64" s="111"/>
    </row>
    <row r="65" spans="1:54" s="96" customFormat="1" ht="11.45">
      <c r="A65" s="205" t="s">
        <v>29</v>
      </c>
      <c r="B65" s="205" t="s">
        <v>152</v>
      </c>
      <c r="C65" s="118" t="s">
        <v>201</v>
      </c>
      <c r="D65" s="182" t="s">
        <v>161</v>
      </c>
      <c r="E65" s="182" t="s">
        <v>136</v>
      </c>
      <c r="F65" s="190" t="s">
        <v>137</v>
      </c>
      <c r="G65" s="114" t="s">
        <v>156</v>
      </c>
      <c r="H65" s="182" t="s">
        <v>134</v>
      </c>
      <c r="I65" s="111" t="str">
        <f t="shared" si="19"/>
        <v>U Space</v>
      </c>
      <c r="J65" s="114">
        <v>2</v>
      </c>
      <c r="K65" s="114">
        <v>2</v>
      </c>
      <c r="L65" s="184">
        <f t="shared" si="20"/>
        <v>0</v>
      </c>
      <c r="M65" s="111">
        <f t="shared" si="21"/>
        <v>2</v>
      </c>
      <c r="N65" s="111">
        <f t="shared" si="22"/>
        <v>0</v>
      </c>
      <c r="O65" s="178"/>
      <c r="P65" s="186" t="str">
        <f t="shared" si="23"/>
        <v>Rated</v>
      </c>
      <c r="Q65" s="182" t="s">
        <v>6</v>
      </c>
      <c r="R65" s="234">
        <v>0.5</v>
      </c>
      <c r="S65" s="210">
        <v>0.13800000000000001</v>
      </c>
      <c r="T65" s="177">
        <f t="shared" si="24"/>
        <v>0.36199999999999999</v>
      </c>
      <c r="U65" s="178">
        <v>0</v>
      </c>
      <c r="V65" s="178" t="e">
        <f>IF(T65&lt;=0,0,(IF(P65="Rated",(T65+U65)*#REF!,(T65+U65))))</f>
        <v>#REF!</v>
      </c>
      <c r="W65" s="178" t="e">
        <f>IF(P65="Rated",R65*#REF!,R65)</f>
        <v>#REF!</v>
      </c>
      <c r="X65" s="178">
        <f t="shared" si="25"/>
        <v>0.13800000000000001</v>
      </c>
      <c r="Y65" s="178">
        <f t="shared" si="26"/>
        <v>0.13800000000000001</v>
      </c>
      <c r="Z65" s="178">
        <f t="shared" si="27"/>
        <v>-0.36199999999999999</v>
      </c>
      <c r="AA65" s="111"/>
      <c r="AB65" s="189" t="s">
        <v>136</v>
      </c>
      <c r="AC65" s="178">
        <v>1.8</v>
      </c>
      <c r="AD65" s="111"/>
      <c r="AE65" s="179"/>
      <c r="AF65" s="179"/>
      <c r="AG65" s="191" t="s">
        <v>126</v>
      </c>
      <c r="AH65" s="111" t="s">
        <v>127</v>
      </c>
      <c r="AI65" s="111">
        <v>0</v>
      </c>
      <c r="AJ65" s="111">
        <v>0</v>
      </c>
      <c r="AK65" s="111">
        <f t="shared" si="28"/>
        <v>0</v>
      </c>
      <c r="AL65" s="111">
        <f t="shared" si="29"/>
        <v>0</v>
      </c>
      <c r="AM65" s="111">
        <v>0</v>
      </c>
      <c r="AN65" s="111"/>
      <c r="AO65" s="111"/>
      <c r="AP65" s="111"/>
      <c r="AQ65" s="111"/>
      <c r="AR65" s="111"/>
      <c r="AS65" s="111"/>
      <c r="AT65" s="111"/>
      <c r="AU65" s="111"/>
      <c r="AV65" s="111"/>
      <c r="AW65" s="111"/>
      <c r="AX65" s="111"/>
      <c r="AY65" s="111"/>
      <c r="AZ65" s="111"/>
      <c r="BA65" s="111"/>
      <c r="BB65" s="111"/>
    </row>
    <row r="66" spans="1:54" s="96" customFormat="1" ht="11.45">
      <c r="A66" s="205" t="s">
        <v>29</v>
      </c>
      <c r="B66" s="205" t="s">
        <v>152</v>
      </c>
      <c r="C66" s="118" t="s">
        <v>202</v>
      </c>
      <c r="D66" s="182" t="s">
        <v>161</v>
      </c>
      <c r="E66" s="182" t="s">
        <v>136</v>
      </c>
      <c r="F66" s="190" t="s">
        <v>137</v>
      </c>
      <c r="G66" s="114" t="s">
        <v>156</v>
      </c>
      <c r="H66" s="182" t="s">
        <v>134</v>
      </c>
      <c r="I66" s="111" t="str">
        <f t="shared" ref="I66:I89" si="30">IF(G66="Rack","No of Racks",(IF(G66="Space","Sq Ft","U Space")))</f>
        <v>U Space</v>
      </c>
      <c r="J66" s="114">
        <v>1</v>
      </c>
      <c r="K66" s="114">
        <v>1</v>
      </c>
      <c r="L66" s="184">
        <f t="shared" ref="L66:L89" si="31">J66-K66</f>
        <v>0</v>
      </c>
      <c r="M66" s="111">
        <f t="shared" ref="M66:M89" si="32">J66</f>
        <v>1</v>
      </c>
      <c r="N66" s="111">
        <f t="shared" ref="N66:N89" si="33">J66-M66</f>
        <v>0</v>
      </c>
      <c r="O66" s="178"/>
      <c r="P66" s="186" t="str">
        <f t="shared" ref="P66:P88" si="34">E66</f>
        <v>Rated</v>
      </c>
      <c r="Q66" s="182" t="s">
        <v>6</v>
      </c>
      <c r="R66" s="234">
        <v>0.25</v>
      </c>
      <c r="S66" s="210">
        <v>0.26</v>
      </c>
      <c r="T66" s="177">
        <f t="shared" ref="T66:T89" si="35">R66-S66</f>
        <v>-1.0000000000000009E-2</v>
      </c>
      <c r="U66" s="178">
        <v>0</v>
      </c>
      <c r="V66" s="178">
        <f>IF(T66&lt;=0,0,(IF(P66="Rated",(T66+U66)*#REF!,(T66+U66))))</f>
        <v>0</v>
      </c>
      <c r="W66" s="178" t="e">
        <f>IF(P66="Rated",R66*#REF!,R66)</f>
        <v>#REF!</v>
      </c>
      <c r="X66" s="178">
        <f t="shared" ref="X66:X89" si="36">S66</f>
        <v>0.26</v>
      </c>
      <c r="Y66" s="178">
        <f t="shared" ref="Y66:Y89" si="37">S66</f>
        <v>0.26</v>
      </c>
      <c r="Z66" s="178">
        <f t="shared" ref="Z66:Z89" si="38">T66*-1</f>
        <v>1.0000000000000009E-2</v>
      </c>
      <c r="AA66" s="111"/>
      <c r="AB66" s="189" t="s">
        <v>136</v>
      </c>
      <c r="AC66" s="178">
        <v>1.8</v>
      </c>
      <c r="AD66" s="111"/>
      <c r="AE66" s="179"/>
      <c r="AF66" s="179"/>
      <c r="AG66" s="191" t="s">
        <v>126</v>
      </c>
      <c r="AH66" s="111" t="s">
        <v>127</v>
      </c>
      <c r="AI66" s="111">
        <v>0</v>
      </c>
      <c r="AJ66" s="111">
        <v>0</v>
      </c>
      <c r="AK66" s="111">
        <f t="shared" ref="AK66:AK89" si="39">AI66-AJ66</f>
        <v>0</v>
      </c>
      <c r="AL66" s="111">
        <f t="shared" ref="AL66:AL89" si="40">AI66</f>
        <v>0</v>
      </c>
      <c r="AM66" s="111">
        <v>0</v>
      </c>
      <c r="AN66" s="111"/>
      <c r="AO66" s="111"/>
      <c r="AP66" s="111"/>
      <c r="AQ66" s="111"/>
      <c r="AR66" s="111"/>
      <c r="AS66" s="111"/>
      <c r="AT66" s="111"/>
      <c r="AU66" s="111"/>
      <c r="AV66" s="111"/>
      <c r="AW66" s="111"/>
      <c r="AX66" s="111"/>
      <c r="AY66" s="111"/>
      <c r="AZ66" s="111"/>
      <c r="BA66" s="111"/>
      <c r="BB66" s="111"/>
    </row>
    <row r="67" spans="1:54" s="96" customFormat="1" ht="11.45">
      <c r="A67" s="205" t="s">
        <v>29</v>
      </c>
      <c r="B67" s="205" t="s">
        <v>152</v>
      </c>
      <c r="C67" s="118" t="s">
        <v>203</v>
      </c>
      <c r="D67" s="182" t="s">
        <v>161</v>
      </c>
      <c r="E67" s="182" t="s">
        <v>136</v>
      </c>
      <c r="F67" s="190" t="s">
        <v>137</v>
      </c>
      <c r="G67" s="114" t="s">
        <v>122</v>
      </c>
      <c r="H67" s="182" t="s">
        <v>134</v>
      </c>
      <c r="I67" s="111" t="str">
        <f t="shared" si="30"/>
        <v>No of Racks</v>
      </c>
      <c r="J67" s="114">
        <v>2</v>
      </c>
      <c r="K67" s="114">
        <v>2</v>
      </c>
      <c r="L67" s="184">
        <f t="shared" si="31"/>
        <v>0</v>
      </c>
      <c r="M67" s="111">
        <f t="shared" si="32"/>
        <v>2</v>
      </c>
      <c r="N67" s="111">
        <f t="shared" si="33"/>
        <v>0</v>
      </c>
      <c r="O67" s="178"/>
      <c r="P67" s="186" t="str">
        <f t="shared" si="34"/>
        <v>Rated</v>
      </c>
      <c r="Q67" s="182" t="s">
        <v>6</v>
      </c>
      <c r="R67" s="234">
        <v>12</v>
      </c>
      <c r="S67" s="210">
        <v>11.4</v>
      </c>
      <c r="T67" s="177">
        <f t="shared" si="35"/>
        <v>0.59999999999999964</v>
      </c>
      <c r="U67" s="178">
        <v>0</v>
      </c>
      <c r="V67" s="178" t="e">
        <f>IF(T67&lt;=0,0,(IF(P67="Rated",(T67+U67)*#REF!,(T67+U67))))</f>
        <v>#REF!</v>
      </c>
      <c r="W67" s="178" t="e">
        <f>IF(P67="Rated",R67*#REF!,R67)</f>
        <v>#REF!</v>
      </c>
      <c r="X67" s="178">
        <f t="shared" si="36"/>
        <v>11.4</v>
      </c>
      <c r="Y67" s="178">
        <f t="shared" si="37"/>
        <v>11.4</v>
      </c>
      <c r="Z67" s="178">
        <f t="shared" si="38"/>
        <v>-0.59999999999999964</v>
      </c>
      <c r="AA67" s="111"/>
      <c r="AB67" s="189" t="s">
        <v>136</v>
      </c>
      <c r="AC67" s="178">
        <v>1.8</v>
      </c>
      <c r="AD67" s="111"/>
      <c r="AE67" s="179"/>
      <c r="AF67" s="179"/>
      <c r="AG67" s="191" t="s">
        <v>126</v>
      </c>
      <c r="AH67" s="111" t="s">
        <v>127</v>
      </c>
      <c r="AI67" s="111">
        <v>0</v>
      </c>
      <c r="AJ67" s="111">
        <v>0</v>
      </c>
      <c r="AK67" s="111">
        <f t="shared" si="39"/>
        <v>0</v>
      </c>
      <c r="AL67" s="111">
        <f t="shared" si="40"/>
        <v>0</v>
      </c>
      <c r="AM67" s="111">
        <v>0</v>
      </c>
      <c r="AN67" s="111"/>
      <c r="AO67" s="111"/>
      <c r="AP67" s="111"/>
      <c r="AQ67" s="111"/>
      <c r="AR67" s="111"/>
      <c r="AS67" s="111"/>
      <c r="AT67" s="111"/>
      <c r="AU67" s="111"/>
      <c r="AV67" s="111"/>
      <c r="AW67" s="111"/>
      <c r="AX67" s="111"/>
      <c r="AY67" s="111"/>
      <c r="AZ67" s="111"/>
      <c r="BA67" s="111"/>
      <c r="BB67" s="111"/>
    </row>
    <row r="68" spans="1:54" s="96" customFormat="1" ht="11.45">
      <c r="A68" s="205" t="s">
        <v>29</v>
      </c>
      <c r="B68" s="205" t="s">
        <v>204</v>
      </c>
      <c r="C68" s="117" t="s">
        <v>205</v>
      </c>
      <c r="D68" s="182" t="s">
        <v>161</v>
      </c>
      <c r="E68" s="182" t="s">
        <v>136</v>
      </c>
      <c r="F68" s="190" t="s">
        <v>137</v>
      </c>
      <c r="G68" s="181" t="s">
        <v>122</v>
      </c>
      <c r="H68" s="182" t="s">
        <v>134</v>
      </c>
      <c r="I68" s="111" t="str">
        <f t="shared" si="30"/>
        <v>No of Racks</v>
      </c>
      <c r="J68" s="210">
        <v>2</v>
      </c>
      <c r="K68" s="210">
        <v>2</v>
      </c>
      <c r="L68" s="184">
        <f t="shared" si="31"/>
        <v>0</v>
      </c>
      <c r="M68" s="111">
        <f t="shared" si="32"/>
        <v>2</v>
      </c>
      <c r="N68" s="111">
        <f t="shared" si="33"/>
        <v>0</v>
      </c>
      <c r="O68" s="178"/>
      <c r="P68" s="186" t="str">
        <f t="shared" si="34"/>
        <v>Rated</v>
      </c>
      <c r="Q68" s="182" t="s">
        <v>6</v>
      </c>
      <c r="R68" s="201">
        <v>8</v>
      </c>
      <c r="S68" s="210">
        <v>4.01</v>
      </c>
      <c r="T68" s="177">
        <f t="shared" si="35"/>
        <v>3.99</v>
      </c>
      <c r="U68" s="178">
        <v>0</v>
      </c>
      <c r="V68" s="178" t="e">
        <f>IF(T68&lt;=0,0,(IF(P68="Rated",(T68+U68)*#REF!,(T68+U68))))</f>
        <v>#REF!</v>
      </c>
      <c r="W68" s="178" t="e">
        <f>IF(P68="Rated",R68*#REF!,R68)</f>
        <v>#REF!</v>
      </c>
      <c r="X68" s="178">
        <f t="shared" si="36"/>
        <v>4.01</v>
      </c>
      <c r="Y68" s="178">
        <f t="shared" si="37"/>
        <v>4.01</v>
      </c>
      <c r="Z68" s="178">
        <f t="shared" si="38"/>
        <v>-3.99</v>
      </c>
      <c r="AA68" s="111"/>
      <c r="AB68" s="189" t="s">
        <v>136</v>
      </c>
      <c r="AC68" s="178">
        <v>1.8</v>
      </c>
      <c r="AD68" s="111"/>
      <c r="AE68" s="179"/>
      <c r="AF68" s="179"/>
      <c r="AG68" s="191" t="s">
        <v>126</v>
      </c>
      <c r="AH68" s="111" t="s">
        <v>127</v>
      </c>
      <c r="AI68" s="111">
        <v>0</v>
      </c>
      <c r="AJ68" s="111">
        <v>0</v>
      </c>
      <c r="AK68" s="111">
        <f t="shared" si="39"/>
        <v>0</v>
      </c>
      <c r="AL68" s="111">
        <f t="shared" si="40"/>
        <v>0</v>
      </c>
      <c r="AM68" s="111">
        <v>0</v>
      </c>
      <c r="AN68" s="111"/>
      <c r="AO68" s="111"/>
      <c r="AP68" s="111"/>
      <c r="AQ68" s="111"/>
      <c r="AR68" s="111"/>
      <c r="AS68" s="111"/>
      <c r="AT68" s="111"/>
      <c r="AU68" s="111"/>
      <c r="AV68" s="111"/>
      <c r="AW68" s="111"/>
      <c r="AX68" s="111"/>
      <c r="AY68" s="111"/>
      <c r="AZ68" s="111"/>
      <c r="BA68" s="111"/>
      <c r="BB68" s="111"/>
    </row>
    <row r="69" spans="1:54" s="96" customFormat="1" ht="11.45">
      <c r="A69" s="205" t="s">
        <v>29</v>
      </c>
      <c r="B69" s="205" t="s">
        <v>152</v>
      </c>
      <c r="C69" s="117" t="s">
        <v>206</v>
      </c>
      <c r="D69" s="182" t="s">
        <v>161</v>
      </c>
      <c r="E69" s="182" t="s">
        <v>136</v>
      </c>
      <c r="F69" s="190" t="s">
        <v>137</v>
      </c>
      <c r="G69" s="181" t="s">
        <v>122</v>
      </c>
      <c r="H69" s="182" t="s">
        <v>134</v>
      </c>
      <c r="I69" s="111" t="str">
        <f t="shared" si="30"/>
        <v>No of Racks</v>
      </c>
      <c r="J69" s="210">
        <v>4</v>
      </c>
      <c r="K69" s="210">
        <v>4</v>
      </c>
      <c r="L69" s="184">
        <f t="shared" si="31"/>
        <v>0</v>
      </c>
      <c r="M69" s="111">
        <f t="shared" si="32"/>
        <v>4</v>
      </c>
      <c r="N69" s="111">
        <f t="shared" si="33"/>
        <v>0</v>
      </c>
      <c r="O69" s="178"/>
      <c r="P69" s="186" t="str">
        <f t="shared" si="34"/>
        <v>Rated</v>
      </c>
      <c r="Q69" s="182" t="s">
        <v>6</v>
      </c>
      <c r="R69" s="201">
        <v>24</v>
      </c>
      <c r="S69" s="210">
        <v>36.799999999999997</v>
      </c>
      <c r="T69" s="177">
        <f t="shared" si="35"/>
        <v>-12.799999999999997</v>
      </c>
      <c r="U69" s="178">
        <v>0</v>
      </c>
      <c r="V69" s="178">
        <f>IF(T69&lt;=0,0,(IF(P69="Rated",(T69+U69)*#REF!,(T69+U69))))</f>
        <v>0</v>
      </c>
      <c r="W69" s="178" t="e">
        <f>IF(P69="Rated",R69*#REF!,R69)</f>
        <v>#REF!</v>
      </c>
      <c r="X69" s="178">
        <f t="shared" si="36"/>
        <v>36.799999999999997</v>
      </c>
      <c r="Y69" s="178">
        <f t="shared" si="37"/>
        <v>36.799999999999997</v>
      </c>
      <c r="Z69" s="178">
        <f t="shared" si="38"/>
        <v>12.799999999999997</v>
      </c>
      <c r="AA69" s="111"/>
      <c r="AB69" s="189" t="s">
        <v>136</v>
      </c>
      <c r="AC69" s="178">
        <v>1.8</v>
      </c>
      <c r="AD69" s="111"/>
      <c r="AE69" s="179"/>
      <c r="AF69" s="179"/>
      <c r="AG69" s="191" t="s">
        <v>126</v>
      </c>
      <c r="AH69" s="111" t="s">
        <v>127</v>
      </c>
      <c r="AI69" s="111">
        <v>0</v>
      </c>
      <c r="AJ69" s="111">
        <v>0</v>
      </c>
      <c r="AK69" s="111">
        <f t="shared" si="39"/>
        <v>0</v>
      </c>
      <c r="AL69" s="111">
        <f t="shared" si="40"/>
        <v>0</v>
      </c>
      <c r="AM69" s="111">
        <v>0</v>
      </c>
      <c r="AN69" s="111"/>
      <c r="AO69" s="111"/>
      <c r="AP69" s="111"/>
      <c r="AQ69" s="111"/>
      <c r="AR69" s="111"/>
      <c r="AS69" s="111"/>
      <c r="AT69" s="111"/>
      <c r="AU69" s="111"/>
      <c r="AV69" s="111"/>
      <c r="AW69" s="111"/>
      <c r="AX69" s="111"/>
      <c r="AY69" s="111"/>
      <c r="AZ69" s="111"/>
      <c r="BA69" s="111"/>
      <c r="BB69" s="111"/>
    </row>
    <row r="70" spans="1:54" s="96" customFormat="1" ht="11.45">
      <c r="A70" s="205" t="s">
        <v>29</v>
      </c>
      <c r="B70" s="205" t="s">
        <v>152</v>
      </c>
      <c r="C70" s="118" t="s">
        <v>207</v>
      </c>
      <c r="D70" s="182" t="s">
        <v>161</v>
      </c>
      <c r="E70" s="182" t="s">
        <v>136</v>
      </c>
      <c r="F70" s="190" t="s">
        <v>137</v>
      </c>
      <c r="G70" s="114" t="s">
        <v>156</v>
      </c>
      <c r="H70" s="182" t="s">
        <v>134</v>
      </c>
      <c r="I70" s="111" t="str">
        <f t="shared" si="30"/>
        <v>U Space</v>
      </c>
      <c r="J70" s="114">
        <v>21</v>
      </c>
      <c r="K70" s="114">
        <v>1</v>
      </c>
      <c r="L70" s="184">
        <f t="shared" si="31"/>
        <v>20</v>
      </c>
      <c r="M70" s="111">
        <f t="shared" si="32"/>
        <v>21</v>
      </c>
      <c r="N70" s="111">
        <f t="shared" si="33"/>
        <v>0</v>
      </c>
      <c r="O70" s="178"/>
      <c r="P70" s="186" t="str">
        <f t="shared" si="34"/>
        <v>Rated</v>
      </c>
      <c r="Q70" s="182" t="s">
        <v>6</v>
      </c>
      <c r="R70" s="234">
        <v>1.75</v>
      </c>
      <c r="S70" s="210">
        <v>0.17</v>
      </c>
      <c r="T70" s="177">
        <f t="shared" si="35"/>
        <v>1.58</v>
      </c>
      <c r="U70" s="178">
        <v>0</v>
      </c>
      <c r="V70" s="178" t="e">
        <f>IF(T70&lt;=0,0,(IF(P70="Rated",(T70+U70)*#REF!,(T70+U70))))</f>
        <v>#REF!</v>
      </c>
      <c r="W70" s="178" t="e">
        <f>IF(P70="Rated",R70*#REF!,R70)</f>
        <v>#REF!</v>
      </c>
      <c r="X70" s="178">
        <f t="shared" si="36"/>
        <v>0.17</v>
      </c>
      <c r="Y70" s="178">
        <f t="shared" si="37"/>
        <v>0.17</v>
      </c>
      <c r="Z70" s="178">
        <f t="shared" si="38"/>
        <v>-1.58</v>
      </c>
      <c r="AA70" s="111"/>
      <c r="AB70" s="189" t="s">
        <v>136</v>
      </c>
      <c r="AC70" s="178">
        <v>1.8</v>
      </c>
      <c r="AD70" s="111"/>
      <c r="AE70" s="179"/>
      <c r="AF70" s="179"/>
      <c r="AG70" s="191" t="s">
        <v>126</v>
      </c>
      <c r="AH70" s="111" t="s">
        <v>127</v>
      </c>
      <c r="AI70" s="111">
        <v>0</v>
      </c>
      <c r="AJ70" s="111">
        <v>0</v>
      </c>
      <c r="AK70" s="111">
        <f t="shared" si="39"/>
        <v>0</v>
      </c>
      <c r="AL70" s="111">
        <f t="shared" si="40"/>
        <v>0</v>
      </c>
      <c r="AM70" s="111">
        <v>0</v>
      </c>
      <c r="AN70" s="111"/>
      <c r="AO70" s="111"/>
      <c r="AP70" s="111"/>
      <c r="AQ70" s="111"/>
      <c r="AR70" s="111"/>
      <c r="AS70" s="111"/>
      <c r="AT70" s="111"/>
      <c r="AU70" s="111"/>
      <c r="AV70" s="111"/>
      <c r="AW70" s="111"/>
      <c r="AX70" s="111"/>
      <c r="AY70" s="111"/>
      <c r="AZ70" s="111"/>
      <c r="BA70" s="111"/>
      <c r="BB70" s="111"/>
    </row>
    <row r="71" spans="1:54" s="96" customFormat="1" ht="12">
      <c r="A71" s="205" t="s">
        <v>29</v>
      </c>
      <c r="B71" s="205" t="s">
        <v>152</v>
      </c>
      <c r="C71" s="117" t="s">
        <v>208</v>
      </c>
      <c r="D71" s="182" t="s">
        <v>161</v>
      </c>
      <c r="E71" s="182" t="s">
        <v>136</v>
      </c>
      <c r="F71" s="190" t="s">
        <v>137</v>
      </c>
      <c r="G71" s="114" t="s">
        <v>156</v>
      </c>
      <c r="H71" s="182" t="s">
        <v>134</v>
      </c>
      <c r="I71" s="111" t="str">
        <f t="shared" si="30"/>
        <v>U Space</v>
      </c>
      <c r="J71" s="114">
        <v>4</v>
      </c>
      <c r="K71" s="114">
        <v>3</v>
      </c>
      <c r="L71" s="184">
        <f t="shared" si="31"/>
        <v>1</v>
      </c>
      <c r="M71" s="111">
        <f t="shared" si="32"/>
        <v>4</v>
      </c>
      <c r="N71" s="111">
        <f t="shared" si="33"/>
        <v>0</v>
      </c>
      <c r="O71" s="202"/>
      <c r="P71" s="186" t="str">
        <f t="shared" si="34"/>
        <v>Rated</v>
      </c>
      <c r="Q71" s="182" t="s">
        <v>6</v>
      </c>
      <c r="R71" s="234">
        <v>1</v>
      </c>
      <c r="S71" s="210">
        <v>0.60799999999999998</v>
      </c>
      <c r="T71" s="177">
        <f t="shared" si="35"/>
        <v>0.39200000000000002</v>
      </c>
      <c r="U71" s="178">
        <v>0</v>
      </c>
      <c r="V71" s="178" t="e">
        <f>IF(T71&lt;=0,0,(IF(P71="Rated",(T71+U71)*#REF!,(T71+U71))))</f>
        <v>#REF!</v>
      </c>
      <c r="W71" s="178" t="e">
        <f>IF(P71="Rated",R71*#REF!,R71)</f>
        <v>#REF!</v>
      </c>
      <c r="X71" s="178">
        <f t="shared" si="36"/>
        <v>0.60799999999999998</v>
      </c>
      <c r="Y71" s="178">
        <f t="shared" si="37"/>
        <v>0.60799999999999998</v>
      </c>
      <c r="Z71" s="178">
        <f t="shared" si="38"/>
        <v>-0.39200000000000002</v>
      </c>
      <c r="AA71" s="111"/>
      <c r="AB71" s="189" t="s">
        <v>136</v>
      </c>
      <c r="AC71" s="178">
        <v>1.8</v>
      </c>
      <c r="AD71" s="111"/>
      <c r="AE71" s="179"/>
      <c r="AF71" s="179"/>
      <c r="AG71" s="191" t="s">
        <v>126</v>
      </c>
      <c r="AH71" s="111" t="s">
        <v>127</v>
      </c>
      <c r="AI71" s="111">
        <v>0</v>
      </c>
      <c r="AJ71" s="111">
        <v>0</v>
      </c>
      <c r="AK71" s="111">
        <f t="shared" si="39"/>
        <v>0</v>
      </c>
      <c r="AL71" s="111">
        <f t="shared" si="40"/>
        <v>0</v>
      </c>
      <c r="AM71" s="111">
        <v>0</v>
      </c>
      <c r="AN71" s="111"/>
      <c r="AO71" s="111"/>
      <c r="AP71" s="111"/>
      <c r="AQ71" s="111"/>
      <c r="AR71" s="111"/>
      <c r="AS71" s="111"/>
      <c r="AT71" s="111"/>
      <c r="AU71" s="111"/>
      <c r="AV71" s="111"/>
      <c r="AW71" s="111"/>
      <c r="AX71" s="111"/>
      <c r="AY71" s="111"/>
      <c r="AZ71" s="111"/>
      <c r="BA71" s="111"/>
      <c r="BB71" s="111"/>
    </row>
    <row r="72" spans="1:54" s="96" customFormat="1" ht="12">
      <c r="A72" s="205" t="s">
        <v>29</v>
      </c>
      <c r="B72" s="205" t="s">
        <v>152</v>
      </c>
      <c r="C72" s="117" t="s">
        <v>209</v>
      </c>
      <c r="D72" s="182" t="s">
        <v>161</v>
      </c>
      <c r="E72" s="182" t="s">
        <v>136</v>
      </c>
      <c r="F72" s="190" t="s">
        <v>137</v>
      </c>
      <c r="G72" s="114" t="s">
        <v>156</v>
      </c>
      <c r="H72" s="182" t="s">
        <v>134</v>
      </c>
      <c r="I72" s="111" t="str">
        <f t="shared" si="30"/>
        <v>U Space</v>
      </c>
      <c r="J72" s="114">
        <v>1</v>
      </c>
      <c r="K72" s="114">
        <v>1</v>
      </c>
      <c r="L72" s="184">
        <f t="shared" si="31"/>
        <v>0</v>
      </c>
      <c r="M72" s="111">
        <f t="shared" si="32"/>
        <v>1</v>
      </c>
      <c r="N72" s="111">
        <f t="shared" si="33"/>
        <v>0</v>
      </c>
      <c r="O72" s="202">
        <f>295000/12/21</f>
        <v>1170.6349206349205</v>
      </c>
      <c r="P72" s="186" t="str">
        <f t="shared" si="34"/>
        <v>Rated</v>
      </c>
      <c r="Q72" s="182" t="s">
        <v>6</v>
      </c>
      <c r="R72" s="234">
        <v>0.25</v>
      </c>
      <c r="S72" s="210">
        <v>3.3000000000000002E-2</v>
      </c>
      <c r="T72" s="177">
        <f t="shared" si="35"/>
        <v>0.217</v>
      </c>
      <c r="U72" s="178">
        <v>0</v>
      </c>
      <c r="V72" s="178" t="e">
        <f>IF(T72&lt;=0,0,(IF(P72="Rated",(T72+U72)*#REF!,(T72+U72))))</f>
        <v>#REF!</v>
      </c>
      <c r="W72" s="178" t="e">
        <f>IF(P72="Rated",R72*#REF!,R72)</f>
        <v>#REF!</v>
      </c>
      <c r="X72" s="178">
        <f t="shared" si="36"/>
        <v>3.3000000000000002E-2</v>
      </c>
      <c r="Y72" s="178">
        <f t="shared" si="37"/>
        <v>3.3000000000000002E-2</v>
      </c>
      <c r="Z72" s="178">
        <f t="shared" si="38"/>
        <v>-0.217</v>
      </c>
      <c r="AA72" s="202"/>
      <c r="AB72" s="189" t="s">
        <v>136</v>
      </c>
      <c r="AC72" s="178">
        <v>1.8</v>
      </c>
      <c r="AD72" s="111"/>
      <c r="AE72" s="179"/>
      <c r="AF72" s="179"/>
      <c r="AG72" s="191" t="s">
        <v>126</v>
      </c>
      <c r="AH72" s="111" t="s">
        <v>127</v>
      </c>
      <c r="AI72" s="111">
        <v>0</v>
      </c>
      <c r="AJ72" s="111">
        <v>0</v>
      </c>
      <c r="AK72" s="111">
        <f t="shared" si="39"/>
        <v>0</v>
      </c>
      <c r="AL72" s="111">
        <f t="shared" si="40"/>
        <v>0</v>
      </c>
      <c r="AM72" s="111">
        <v>0</v>
      </c>
      <c r="AN72" s="111"/>
      <c r="AO72" s="111"/>
      <c r="AP72" s="111"/>
      <c r="AQ72" s="111"/>
      <c r="AR72" s="111"/>
      <c r="AS72" s="111"/>
      <c r="AT72" s="111"/>
      <c r="AU72" s="111"/>
      <c r="AV72" s="111"/>
      <c r="AW72" s="111"/>
      <c r="AX72" s="111"/>
      <c r="AY72" s="111"/>
      <c r="AZ72" s="111"/>
      <c r="BA72" s="111"/>
      <c r="BB72" s="111"/>
    </row>
    <row r="73" spans="1:54" s="96" customFormat="1" ht="12">
      <c r="A73" s="205" t="s">
        <v>29</v>
      </c>
      <c r="B73" s="205" t="s">
        <v>152</v>
      </c>
      <c r="C73" s="117" t="s">
        <v>210</v>
      </c>
      <c r="D73" s="182" t="s">
        <v>161</v>
      </c>
      <c r="E73" s="182" t="s">
        <v>136</v>
      </c>
      <c r="F73" s="190" t="s">
        <v>137</v>
      </c>
      <c r="G73" s="114" t="s">
        <v>156</v>
      </c>
      <c r="H73" s="182" t="s">
        <v>134</v>
      </c>
      <c r="I73" s="111" t="str">
        <f t="shared" si="30"/>
        <v>U Space</v>
      </c>
      <c r="J73" s="114">
        <v>12</v>
      </c>
      <c r="K73" s="114">
        <v>8</v>
      </c>
      <c r="L73" s="184">
        <f t="shared" si="31"/>
        <v>4</v>
      </c>
      <c r="M73" s="111">
        <f t="shared" si="32"/>
        <v>12</v>
      </c>
      <c r="N73" s="111">
        <f t="shared" si="33"/>
        <v>0</v>
      </c>
      <c r="O73" s="202"/>
      <c r="P73" s="186" t="str">
        <f t="shared" si="34"/>
        <v>Rated</v>
      </c>
      <c r="Q73" s="182" t="s">
        <v>6</v>
      </c>
      <c r="R73" s="234">
        <v>2.5</v>
      </c>
      <c r="S73" s="210">
        <v>1.3</v>
      </c>
      <c r="T73" s="177">
        <f t="shared" si="35"/>
        <v>1.2</v>
      </c>
      <c r="U73" s="178">
        <v>0</v>
      </c>
      <c r="V73" s="178" t="e">
        <f>IF(T73&lt;=0,0,(IF(P73="Rated",(T73+U73)*#REF!,(T73+U73))))</f>
        <v>#REF!</v>
      </c>
      <c r="W73" s="178" t="e">
        <f>IF(P73="Rated",R73*#REF!,R73)</f>
        <v>#REF!</v>
      </c>
      <c r="X73" s="178">
        <f t="shared" si="36"/>
        <v>1.3</v>
      </c>
      <c r="Y73" s="178">
        <f t="shared" si="37"/>
        <v>1.3</v>
      </c>
      <c r="Z73" s="178">
        <f t="shared" si="38"/>
        <v>-1.2</v>
      </c>
      <c r="AA73" s="202">
        <f>90000/12</f>
        <v>7500</v>
      </c>
      <c r="AB73" s="189" t="s">
        <v>136</v>
      </c>
      <c r="AC73" s="178">
        <v>1.8</v>
      </c>
      <c r="AD73" s="111"/>
      <c r="AE73" s="179"/>
      <c r="AF73" s="179"/>
      <c r="AG73" s="191" t="s">
        <v>126</v>
      </c>
      <c r="AH73" s="111" t="s">
        <v>127</v>
      </c>
      <c r="AI73" s="111">
        <v>0</v>
      </c>
      <c r="AJ73" s="111">
        <v>0</v>
      </c>
      <c r="AK73" s="111">
        <f t="shared" si="39"/>
        <v>0</v>
      </c>
      <c r="AL73" s="111">
        <f t="shared" si="40"/>
        <v>0</v>
      </c>
      <c r="AM73" s="111">
        <v>0</v>
      </c>
      <c r="AN73" s="111"/>
      <c r="AO73" s="111"/>
      <c r="AP73" s="111"/>
      <c r="AQ73" s="111"/>
      <c r="AR73" s="111"/>
      <c r="AS73" s="111"/>
      <c r="AT73" s="111"/>
      <c r="AU73" s="111"/>
      <c r="AV73" s="111"/>
      <c r="AW73" s="111"/>
      <c r="AX73" s="111"/>
      <c r="AY73" s="111"/>
      <c r="AZ73" s="111"/>
      <c r="BA73" s="111"/>
      <c r="BB73" s="111"/>
    </row>
    <row r="74" spans="1:54" s="96" customFormat="1" ht="12">
      <c r="A74" s="205" t="s">
        <v>29</v>
      </c>
      <c r="B74" s="205" t="s">
        <v>152</v>
      </c>
      <c r="C74" s="117" t="s">
        <v>211</v>
      </c>
      <c r="D74" s="182" t="s">
        <v>133</v>
      </c>
      <c r="E74" s="182" t="s">
        <v>136</v>
      </c>
      <c r="F74" s="190" t="s">
        <v>137</v>
      </c>
      <c r="G74" s="114" t="s">
        <v>156</v>
      </c>
      <c r="H74" s="182" t="s">
        <v>134</v>
      </c>
      <c r="I74" s="111" t="str">
        <f t="shared" si="30"/>
        <v>U Space</v>
      </c>
      <c r="J74" s="114">
        <v>1</v>
      </c>
      <c r="K74" s="114">
        <v>1</v>
      </c>
      <c r="L74" s="184">
        <f t="shared" si="31"/>
        <v>0</v>
      </c>
      <c r="M74" s="111">
        <f t="shared" si="32"/>
        <v>1</v>
      </c>
      <c r="N74" s="111">
        <f t="shared" si="33"/>
        <v>0</v>
      </c>
      <c r="O74" s="202"/>
      <c r="P74" s="186" t="str">
        <f t="shared" si="34"/>
        <v>Rated</v>
      </c>
      <c r="Q74" s="182" t="s">
        <v>6</v>
      </c>
      <c r="R74" s="234">
        <v>0.25</v>
      </c>
      <c r="S74" s="210">
        <v>2.1999999999999999E-2</v>
      </c>
      <c r="T74" s="177">
        <f t="shared" si="35"/>
        <v>0.22800000000000001</v>
      </c>
      <c r="U74" s="178">
        <v>0</v>
      </c>
      <c r="V74" s="178" t="e">
        <f>IF(T74&lt;=0,0,(IF(P74="Rated",(T74+U74)*#REF!,(T74+U74))))</f>
        <v>#REF!</v>
      </c>
      <c r="W74" s="178" t="e">
        <f>IF(P74="Rated",R74*#REF!,R74)</f>
        <v>#REF!</v>
      </c>
      <c r="X74" s="178">
        <f t="shared" si="36"/>
        <v>2.1999999999999999E-2</v>
      </c>
      <c r="Y74" s="178">
        <f t="shared" si="37"/>
        <v>2.1999999999999999E-2</v>
      </c>
      <c r="Z74" s="178">
        <f t="shared" si="38"/>
        <v>-0.22800000000000001</v>
      </c>
      <c r="AA74" s="202">
        <f>90000/12</f>
        <v>7500</v>
      </c>
      <c r="AB74" s="189" t="s">
        <v>136</v>
      </c>
      <c r="AC74" s="178">
        <v>1.8</v>
      </c>
      <c r="AD74" s="111"/>
      <c r="AE74" s="179"/>
      <c r="AF74" s="179"/>
      <c r="AG74" s="191" t="s">
        <v>126</v>
      </c>
      <c r="AH74" s="111" t="s">
        <v>212</v>
      </c>
      <c r="AI74" s="111">
        <v>0</v>
      </c>
      <c r="AJ74" s="111">
        <v>0</v>
      </c>
      <c r="AK74" s="111">
        <f t="shared" si="39"/>
        <v>0</v>
      </c>
      <c r="AL74" s="111">
        <f t="shared" si="40"/>
        <v>0</v>
      </c>
      <c r="AM74" s="111">
        <v>0</v>
      </c>
      <c r="AN74" s="111"/>
      <c r="AO74" s="111"/>
      <c r="AP74" s="111"/>
      <c r="AQ74" s="111"/>
      <c r="AR74" s="111"/>
      <c r="AS74" s="111"/>
      <c r="AT74" s="111"/>
      <c r="AU74" s="111"/>
      <c r="AV74" s="111"/>
      <c r="AW74" s="111"/>
      <c r="AX74" s="111"/>
      <c r="AY74" s="111"/>
      <c r="AZ74" s="111"/>
      <c r="BA74" s="111"/>
      <c r="BB74" s="111"/>
    </row>
    <row r="75" spans="1:54" s="96" customFormat="1" ht="12">
      <c r="A75" s="205" t="s">
        <v>29</v>
      </c>
      <c r="B75" s="205" t="s">
        <v>152</v>
      </c>
      <c r="C75" s="118" t="s">
        <v>213</v>
      </c>
      <c r="D75" s="182" t="s">
        <v>161</v>
      </c>
      <c r="E75" s="182" t="s">
        <v>136</v>
      </c>
      <c r="F75" s="190" t="s">
        <v>137</v>
      </c>
      <c r="G75" s="114" t="s">
        <v>122</v>
      </c>
      <c r="H75" s="182" t="s">
        <v>134</v>
      </c>
      <c r="I75" s="111" t="str">
        <f t="shared" si="30"/>
        <v>No of Racks</v>
      </c>
      <c r="J75" s="114">
        <v>46</v>
      </c>
      <c r="K75" s="114">
        <v>46</v>
      </c>
      <c r="L75" s="184">
        <f t="shared" si="31"/>
        <v>0</v>
      </c>
      <c r="M75" s="111">
        <f t="shared" si="32"/>
        <v>46</v>
      </c>
      <c r="N75" s="111">
        <f t="shared" si="33"/>
        <v>0</v>
      </c>
      <c r="O75" s="202"/>
      <c r="P75" s="186" t="str">
        <f t="shared" si="34"/>
        <v>Rated</v>
      </c>
      <c r="Q75" s="182" t="s">
        <v>6</v>
      </c>
      <c r="R75" s="234">
        <v>200</v>
      </c>
      <c r="S75" s="210">
        <v>153.03200000000001</v>
      </c>
      <c r="T75" s="177">
        <f t="shared" si="35"/>
        <v>46.967999999999989</v>
      </c>
      <c r="U75" s="178">
        <v>0</v>
      </c>
      <c r="V75" s="178" t="e">
        <f>IF(T75&lt;=0,0,(IF(P75="Rated",(T75+U75)*#REF!,(T75+U75))))</f>
        <v>#REF!</v>
      </c>
      <c r="W75" s="178" t="e">
        <f>IF(P75="Rated",R75*#REF!,R75)</f>
        <v>#REF!</v>
      </c>
      <c r="X75" s="178">
        <f t="shared" si="36"/>
        <v>153.03200000000001</v>
      </c>
      <c r="Y75" s="178">
        <f t="shared" si="37"/>
        <v>153.03200000000001</v>
      </c>
      <c r="Z75" s="178">
        <f t="shared" si="38"/>
        <v>-46.967999999999989</v>
      </c>
      <c r="AA75" s="111"/>
      <c r="AB75" s="189" t="s">
        <v>136</v>
      </c>
      <c r="AC75" s="178">
        <v>1.8</v>
      </c>
      <c r="AD75" s="111"/>
      <c r="AE75" s="179"/>
      <c r="AF75" s="179"/>
      <c r="AG75" s="191" t="s">
        <v>126</v>
      </c>
      <c r="AH75" s="111" t="s">
        <v>127</v>
      </c>
      <c r="AI75" s="111">
        <v>1</v>
      </c>
      <c r="AJ75" s="111">
        <v>1</v>
      </c>
      <c r="AK75" s="111">
        <f t="shared" si="39"/>
        <v>0</v>
      </c>
      <c r="AL75" s="111">
        <f t="shared" si="40"/>
        <v>1</v>
      </c>
      <c r="AM75" s="111">
        <v>0</v>
      </c>
      <c r="AN75" s="111"/>
      <c r="AO75" s="111"/>
      <c r="AP75" s="111"/>
      <c r="AQ75" s="111"/>
      <c r="AR75" s="111"/>
      <c r="AS75" s="111"/>
      <c r="AT75" s="111"/>
      <c r="AU75" s="111"/>
      <c r="AV75" s="111"/>
      <c r="AW75" s="111"/>
      <c r="AX75" s="111"/>
      <c r="AY75" s="111"/>
      <c r="AZ75" s="111"/>
      <c r="BA75" s="111"/>
      <c r="BB75" s="111"/>
    </row>
    <row r="76" spans="1:54" s="96" customFormat="1" ht="12">
      <c r="A76" s="205" t="s">
        <v>29</v>
      </c>
      <c r="B76" s="205" t="s">
        <v>152</v>
      </c>
      <c r="C76" s="118" t="s">
        <v>214</v>
      </c>
      <c r="D76" s="182" t="s">
        <v>161</v>
      </c>
      <c r="E76" s="182" t="s">
        <v>136</v>
      </c>
      <c r="F76" s="190" t="s">
        <v>137</v>
      </c>
      <c r="G76" s="114" t="s">
        <v>122</v>
      </c>
      <c r="H76" s="182" t="s">
        <v>134</v>
      </c>
      <c r="I76" s="111" t="str">
        <f t="shared" si="30"/>
        <v>No of Racks</v>
      </c>
      <c r="J76" s="114">
        <v>7</v>
      </c>
      <c r="K76" s="114">
        <v>7</v>
      </c>
      <c r="L76" s="184">
        <f t="shared" si="31"/>
        <v>0</v>
      </c>
      <c r="M76" s="111">
        <f t="shared" si="32"/>
        <v>7</v>
      </c>
      <c r="N76" s="111">
        <f t="shared" si="33"/>
        <v>0</v>
      </c>
      <c r="O76" s="207">
        <f>490000/12</f>
        <v>40833.333333333336</v>
      </c>
      <c r="P76" s="186" t="str">
        <f t="shared" si="34"/>
        <v>Rated</v>
      </c>
      <c r="Q76" s="182" t="s">
        <v>6</v>
      </c>
      <c r="R76" s="234">
        <v>42</v>
      </c>
      <c r="S76" s="210">
        <v>40.869999999999997</v>
      </c>
      <c r="T76" s="177">
        <f t="shared" si="35"/>
        <v>1.1300000000000026</v>
      </c>
      <c r="U76" s="178">
        <v>0</v>
      </c>
      <c r="V76" s="178" t="e">
        <f>IF(T76&lt;=0,0,(IF(P76="Rated",(T76+U76)*#REF!,(T76+U76))))</f>
        <v>#REF!</v>
      </c>
      <c r="W76" s="178" t="e">
        <f>IF(P76="Rated",R76*#REF!,R76)</f>
        <v>#REF!</v>
      </c>
      <c r="X76" s="178">
        <f t="shared" si="36"/>
        <v>40.869999999999997</v>
      </c>
      <c r="Y76" s="178">
        <f t="shared" si="37"/>
        <v>40.869999999999997</v>
      </c>
      <c r="Z76" s="178">
        <f t="shared" si="38"/>
        <v>-1.1300000000000026</v>
      </c>
      <c r="AA76" s="111"/>
      <c r="AB76" s="189" t="s">
        <v>136</v>
      </c>
      <c r="AC76" s="178">
        <v>1.8</v>
      </c>
      <c r="AD76" s="111"/>
      <c r="AE76" s="179"/>
      <c r="AF76" s="179"/>
      <c r="AG76" s="191" t="s">
        <v>126</v>
      </c>
      <c r="AH76" s="111" t="s">
        <v>127</v>
      </c>
      <c r="AI76" s="111">
        <v>0</v>
      </c>
      <c r="AJ76" s="111">
        <v>0</v>
      </c>
      <c r="AK76" s="111">
        <f t="shared" si="39"/>
        <v>0</v>
      </c>
      <c r="AL76" s="111">
        <f t="shared" si="40"/>
        <v>0</v>
      </c>
      <c r="AM76" s="111">
        <v>0</v>
      </c>
      <c r="AN76" s="111"/>
      <c r="AO76" s="111"/>
      <c r="AP76" s="111"/>
      <c r="AQ76" s="111"/>
      <c r="AR76" s="111"/>
      <c r="AS76" s="111"/>
      <c r="AT76" s="111"/>
      <c r="AU76" s="111"/>
      <c r="AV76" s="111"/>
      <c r="AW76" s="111"/>
      <c r="AX76" s="111"/>
      <c r="AY76" s="111"/>
      <c r="AZ76" s="111"/>
      <c r="BA76" s="111"/>
      <c r="BB76" s="111"/>
    </row>
    <row r="77" spans="1:54" s="96" customFormat="1" ht="12">
      <c r="A77" s="205" t="s">
        <v>29</v>
      </c>
      <c r="B77" s="205" t="s">
        <v>215</v>
      </c>
      <c r="C77" s="118" t="s">
        <v>215</v>
      </c>
      <c r="D77" s="182" t="s">
        <v>161</v>
      </c>
      <c r="E77" s="182" t="s">
        <v>136</v>
      </c>
      <c r="F77" s="190" t="s">
        <v>137</v>
      </c>
      <c r="G77" s="114" t="s">
        <v>122</v>
      </c>
      <c r="H77" s="182" t="s">
        <v>134</v>
      </c>
      <c r="I77" s="111" t="str">
        <f t="shared" si="30"/>
        <v>No of Racks</v>
      </c>
      <c r="J77" s="114">
        <v>14</v>
      </c>
      <c r="K77" s="114">
        <v>14</v>
      </c>
      <c r="L77" s="184">
        <f t="shared" si="31"/>
        <v>0</v>
      </c>
      <c r="M77" s="111">
        <f t="shared" si="32"/>
        <v>14</v>
      </c>
      <c r="N77" s="111">
        <f t="shared" si="33"/>
        <v>0</v>
      </c>
      <c r="O77" s="207">
        <f>490000/12</f>
        <v>40833.333333333336</v>
      </c>
      <c r="P77" s="186" t="str">
        <f t="shared" si="34"/>
        <v>Rated</v>
      </c>
      <c r="Q77" s="182" t="s">
        <v>6</v>
      </c>
      <c r="R77" s="234">
        <v>20</v>
      </c>
      <c r="S77" s="210">
        <v>39.9</v>
      </c>
      <c r="T77" s="177">
        <f t="shared" si="35"/>
        <v>-19.899999999999999</v>
      </c>
      <c r="U77" s="178">
        <v>0</v>
      </c>
      <c r="V77" s="178">
        <f>IF(T77&lt;=0,0,(IF(P77="Rated",(T77+U77)*#REF!,(T77+U77))))</f>
        <v>0</v>
      </c>
      <c r="W77" s="178" t="e">
        <f>IF(P77="Rated",R77*#REF!,R77)</f>
        <v>#REF!</v>
      </c>
      <c r="X77" s="178">
        <f t="shared" si="36"/>
        <v>39.9</v>
      </c>
      <c r="Y77" s="178">
        <f t="shared" si="37"/>
        <v>39.9</v>
      </c>
      <c r="Z77" s="178">
        <f t="shared" si="38"/>
        <v>19.899999999999999</v>
      </c>
      <c r="AA77" s="111"/>
      <c r="AB77" s="189" t="s">
        <v>136</v>
      </c>
      <c r="AC77" s="178">
        <v>1.8</v>
      </c>
      <c r="AD77" s="111"/>
      <c r="AE77" s="179"/>
      <c r="AF77" s="179"/>
      <c r="AG77" s="191" t="s">
        <v>126</v>
      </c>
      <c r="AH77" s="111" t="s">
        <v>127</v>
      </c>
      <c r="AI77" s="111">
        <v>1</v>
      </c>
      <c r="AJ77" s="111">
        <v>1</v>
      </c>
      <c r="AK77" s="111">
        <f t="shared" si="39"/>
        <v>0</v>
      </c>
      <c r="AL77" s="111">
        <f t="shared" si="40"/>
        <v>1</v>
      </c>
      <c r="AM77" s="111">
        <v>0</v>
      </c>
      <c r="AN77" s="111"/>
      <c r="AO77" s="111"/>
      <c r="AP77" s="111"/>
      <c r="AQ77" s="111"/>
      <c r="AR77" s="111"/>
      <c r="AS77" s="111"/>
      <c r="AT77" s="111"/>
      <c r="AU77" s="111"/>
      <c r="AV77" s="111"/>
      <c r="AW77" s="111"/>
      <c r="AX77" s="111"/>
      <c r="AY77" s="111"/>
      <c r="AZ77" s="111"/>
      <c r="BA77" s="111"/>
      <c r="BB77" s="111"/>
    </row>
    <row r="78" spans="1:54" s="96" customFormat="1" ht="12.95">
      <c r="A78" s="205" t="s">
        <v>29</v>
      </c>
      <c r="B78" s="205" t="s">
        <v>138</v>
      </c>
      <c r="C78" s="116" t="s">
        <v>216</v>
      </c>
      <c r="D78" s="111" t="s">
        <v>133</v>
      </c>
      <c r="E78" s="182" t="s">
        <v>120</v>
      </c>
      <c r="F78" s="190" t="s">
        <v>121</v>
      </c>
      <c r="G78" s="182" t="s">
        <v>122</v>
      </c>
      <c r="H78" s="182" t="s">
        <v>134</v>
      </c>
      <c r="I78" s="111" t="str">
        <f t="shared" si="30"/>
        <v>No of Racks</v>
      </c>
      <c r="J78" s="205">
        <v>13</v>
      </c>
      <c r="K78" s="205">
        <v>13</v>
      </c>
      <c r="L78" s="184">
        <f t="shared" si="31"/>
        <v>0</v>
      </c>
      <c r="M78" s="111">
        <f t="shared" si="32"/>
        <v>13</v>
      </c>
      <c r="N78" s="111">
        <f t="shared" si="33"/>
        <v>0</v>
      </c>
      <c r="O78" s="178"/>
      <c r="P78" s="186" t="str">
        <f t="shared" si="34"/>
        <v>Subscribed</v>
      </c>
      <c r="Q78" s="182" t="s">
        <v>6</v>
      </c>
      <c r="R78" s="206">
        <v>72.5</v>
      </c>
      <c r="S78" s="178">
        <f>AF78/672</f>
        <v>44.739479166666669</v>
      </c>
      <c r="T78" s="177">
        <f t="shared" si="35"/>
        <v>27.760520833333331</v>
      </c>
      <c r="U78" s="178">
        <v>0</v>
      </c>
      <c r="V78" s="178">
        <f>IF(T78&lt;=0,0,(IF(P78="Rated",(T78+U78)*#REF!,(T78+U78))))</f>
        <v>27.760520833333331</v>
      </c>
      <c r="W78" s="178">
        <f>IF(P78="Rated",R78*#REF!,R78)</f>
        <v>72.5</v>
      </c>
      <c r="X78" s="178">
        <f t="shared" si="36"/>
        <v>44.739479166666669</v>
      </c>
      <c r="Y78" s="178">
        <f t="shared" si="37"/>
        <v>44.739479166666669</v>
      </c>
      <c r="Z78" s="178">
        <f t="shared" si="38"/>
        <v>-27.760520833333331</v>
      </c>
      <c r="AA78" s="111"/>
      <c r="AB78" s="199" t="s">
        <v>121</v>
      </c>
      <c r="AC78" s="178">
        <v>1.8</v>
      </c>
      <c r="AD78" s="111"/>
      <c r="AE78" s="178"/>
      <c r="AF78" s="227">
        <v>30064.93</v>
      </c>
      <c r="AG78" s="191" t="s">
        <v>126</v>
      </c>
      <c r="AH78" s="111" t="s">
        <v>127</v>
      </c>
      <c r="AI78" s="178">
        <v>6</v>
      </c>
      <c r="AJ78" s="178">
        <v>6</v>
      </c>
      <c r="AK78" s="111">
        <f t="shared" si="39"/>
        <v>0</v>
      </c>
      <c r="AL78" s="178">
        <f t="shared" si="40"/>
        <v>6</v>
      </c>
      <c r="AM78" s="111">
        <v>0</v>
      </c>
      <c r="AN78" s="111"/>
      <c r="AO78" s="111"/>
      <c r="AP78" s="111"/>
      <c r="AQ78" s="111"/>
      <c r="AR78" s="111"/>
      <c r="AS78" s="111"/>
      <c r="AT78" s="111"/>
      <c r="AU78" s="111"/>
      <c r="AV78" s="111">
        <v>521007266</v>
      </c>
      <c r="AW78" s="119">
        <v>45728</v>
      </c>
      <c r="AX78" s="111"/>
      <c r="AY78" s="111"/>
      <c r="AZ78" s="111"/>
      <c r="BA78" s="111"/>
      <c r="BB78" s="111"/>
    </row>
    <row r="79" spans="1:54" s="96" customFormat="1" ht="11.45">
      <c r="A79" s="205" t="s">
        <v>29</v>
      </c>
      <c r="B79" s="180" t="s">
        <v>152</v>
      </c>
      <c r="C79" s="111" t="s">
        <v>217</v>
      </c>
      <c r="D79" s="111" t="s">
        <v>133</v>
      </c>
      <c r="E79" s="182" t="s">
        <v>136</v>
      </c>
      <c r="F79" s="190" t="s">
        <v>137</v>
      </c>
      <c r="G79" s="182" t="s">
        <v>122</v>
      </c>
      <c r="H79" s="182" t="s">
        <v>134</v>
      </c>
      <c r="I79" s="111" t="str">
        <f t="shared" si="30"/>
        <v>No of Racks</v>
      </c>
      <c r="J79" s="205">
        <v>2</v>
      </c>
      <c r="K79" s="205">
        <v>2</v>
      </c>
      <c r="L79" s="184">
        <f t="shared" si="31"/>
        <v>0</v>
      </c>
      <c r="M79" s="111">
        <f t="shared" si="32"/>
        <v>2</v>
      </c>
      <c r="N79" s="111">
        <f t="shared" si="33"/>
        <v>0</v>
      </c>
      <c r="O79" s="178"/>
      <c r="P79" s="186" t="str">
        <f t="shared" si="34"/>
        <v>Rated</v>
      </c>
      <c r="Q79" s="111" t="s">
        <v>6</v>
      </c>
      <c r="R79" s="206">
        <v>12</v>
      </c>
      <c r="S79" s="178">
        <v>6.98</v>
      </c>
      <c r="T79" s="177">
        <f t="shared" si="35"/>
        <v>5.0199999999999996</v>
      </c>
      <c r="U79" s="178">
        <v>0</v>
      </c>
      <c r="V79" s="178" t="e">
        <f>IF(T79&lt;=0,0,(IF(P79="Rated",(T79+U79)*#REF!,(T79+U79))))</f>
        <v>#REF!</v>
      </c>
      <c r="W79" s="178" t="e">
        <f>IF(P79="Rated",R79*#REF!,R79)</f>
        <v>#REF!</v>
      </c>
      <c r="X79" s="178">
        <f t="shared" si="36"/>
        <v>6.98</v>
      </c>
      <c r="Y79" s="178">
        <f t="shared" si="37"/>
        <v>6.98</v>
      </c>
      <c r="Z79" s="178">
        <f t="shared" si="38"/>
        <v>-5.0199999999999996</v>
      </c>
      <c r="AA79" s="111"/>
      <c r="AB79" s="189" t="s">
        <v>121</v>
      </c>
      <c r="AC79" s="178">
        <v>1.8</v>
      </c>
      <c r="AD79" s="178"/>
      <c r="AE79" s="178"/>
      <c r="AF79" s="178"/>
      <c r="AG79" s="191" t="s">
        <v>126</v>
      </c>
      <c r="AH79" s="111" t="s">
        <v>127</v>
      </c>
      <c r="AI79" s="178">
        <v>0</v>
      </c>
      <c r="AJ79" s="178">
        <v>0</v>
      </c>
      <c r="AK79" s="111">
        <f t="shared" si="39"/>
        <v>0</v>
      </c>
      <c r="AL79" s="178">
        <f t="shared" si="40"/>
        <v>0</v>
      </c>
      <c r="AM79" s="178">
        <v>0</v>
      </c>
      <c r="AN79" s="192"/>
      <c r="AO79" s="111"/>
      <c r="AP79" s="111"/>
      <c r="AQ79" s="111"/>
      <c r="AR79" s="111"/>
      <c r="AS79" s="111"/>
      <c r="AT79" s="111"/>
      <c r="AU79" s="111"/>
      <c r="AV79" s="214">
        <v>521007213</v>
      </c>
      <c r="AW79" s="119">
        <v>45726</v>
      </c>
      <c r="AX79" s="111"/>
      <c r="AY79" s="111"/>
      <c r="AZ79" s="111"/>
      <c r="BA79" s="111"/>
      <c r="BB79" s="111"/>
    </row>
    <row r="80" spans="1:54" s="96" customFormat="1" ht="12.95">
      <c r="A80" s="205" t="s">
        <v>29</v>
      </c>
      <c r="B80" s="205" t="s">
        <v>152</v>
      </c>
      <c r="C80" s="111" t="s">
        <v>218</v>
      </c>
      <c r="D80" s="111" t="s">
        <v>133</v>
      </c>
      <c r="E80" s="111" t="s">
        <v>120</v>
      </c>
      <c r="F80" s="178" t="s">
        <v>121</v>
      </c>
      <c r="G80" s="111" t="s">
        <v>122</v>
      </c>
      <c r="H80" s="111" t="s">
        <v>134</v>
      </c>
      <c r="I80" s="111" t="str">
        <f t="shared" si="30"/>
        <v>No of Racks</v>
      </c>
      <c r="J80" s="111">
        <v>1</v>
      </c>
      <c r="K80" s="111">
        <v>1</v>
      </c>
      <c r="L80" s="184">
        <f t="shared" si="31"/>
        <v>0</v>
      </c>
      <c r="M80" s="111">
        <f t="shared" si="32"/>
        <v>1</v>
      </c>
      <c r="N80" s="111">
        <f t="shared" si="33"/>
        <v>0</v>
      </c>
      <c r="O80" s="192"/>
      <c r="P80" s="186" t="str">
        <f t="shared" si="34"/>
        <v>Subscribed</v>
      </c>
      <c r="Q80" s="111" t="s">
        <v>150</v>
      </c>
      <c r="R80" s="206">
        <v>3</v>
      </c>
      <c r="S80" s="178">
        <f>AF80/672</f>
        <v>3.5171577380952384</v>
      </c>
      <c r="T80" s="177">
        <f t="shared" si="35"/>
        <v>-0.51715773809523835</v>
      </c>
      <c r="U80" s="178">
        <v>0</v>
      </c>
      <c r="V80" s="178">
        <f>IF(T80&lt;=0,0,(IF(P80="Rated",(T80+U80)*#REF!,(T80+U80))))</f>
        <v>0</v>
      </c>
      <c r="W80" s="178">
        <f>IF(P80="Rated",R80*#REF!,R80)</f>
        <v>3</v>
      </c>
      <c r="X80" s="178">
        <f t="shared" si="36"/>
        <v>3.5171577380952384</v>
      </c>
      <c r="Y80" s="178">
        <f t="shared" si="37"/>
        <v>3.5171577380952384</v>
      </c>
      <c r="Z80" s="178">
        <f t="shared" si="38"/>
        <v>0.51715773809523835</v>
      </c>
      <c r="AA80" s="215"/>
      <c r="AB80" s="216" t="s">
        <v>121</v>
      </c>
      <c r="AC80" s="178"/>
      <c r="AD80" s="178"/>
      <c r="AE80" s="217"/>
      <c r="AF80" s="227">
        <v>2363.5300000000002</v>
      </c>
      <c r="AG80" s="191" t="s">
        <v>126</v>
      </c>
      <c r="AH80" s="111" t="s">
        <v>127</v>
      </c>
      <c r="AI80" s="178">
        <v>0</v>
      </c>
      <c r="AJ80" s="178">
        <v>0</v>
      </c>
      <c r="AK80" s="111">
        <f t="shared" si="39"/>
        <v>0</v>
      </c>
      <c r="AL80" s="178">
        <f t="shared" si="40"/>
        <v>0</v>
      </c>
      <c r="AM80" s="178">
        <v>0</v>
      </c>
      <c r="AN80" s="111"/>
      <c r="AO80" s="218"/>
      <c r="AP80" s="215"/>
      <c r="AQ80" s="215"/>
      <c r="AR80" s="215"/>
      <c r="AS80" s="215"/>
      <c r="AT80" s="219"/>
      <c r="AU80" s="219"/>
      <c r="AV80" s="111"/>
      <c r="AW80" s="220"/>
      <c r="AX80" s="111"/>
      <c r="AY80" s="112"/>
      <c r="AZ80" s="111"/>
      <c r="BA80" s="111"/>
      <c r="BB80" s="111"/>
    </row>
    <row r="81" spans="1:54 16151:16384" s="96" customFormat="1" ht="11.45">
      <c r="A81" s="205" t="s">
        <v>29</v>
      </c>
      <c r="B81" s="205" t="s">
        <v>152</v>
      </c>
      <c r="C81" s="111" t="s">
        <v>219</v>
      </c>
      <c r="D81" s="111" t="s">
        <v>133</v>
      </c>
      <c r="E81" s="111" t="s">
        <v>136</v>
      </c>
      <c r="F81" s="178" t="s">
        <v>137</v>
      </c>
      <c r="G81" s="111" t="s">
        <v>122</v>
      </c>
      <c r="H81" s="111" t="s">
        <v>134</v>
      </c>
      <c r="I81" s="111" t="str">
        <f t="shared" si="30"/>
        <v>No of Racks</v>
      </c>
      <c r="J81" s="111">
        <v>1</v>
      </c>
      <c r="K81" s="111">
        <v>1</v>
      </c>
      <c r="L81" s="184">
        <f t="shared" si="31"/>
        <v>0</v>
      </c>
      <c r="M81" s="111">
        <f t="shared" si="32"/>
        <v>1</v>
      </c>
      <c r="N81" s="111">
        <f t="shared" si="33"/>
        <v>0</v>
      </c>
      <c r="O81" s="192"/>
      <c r="P81" s="186" t="str">
        <f t="shared" si="34"/>
        <v>Rated</v>
      </c>
      <c r="Q81" s="111" t="s">
        <v>6</v>
      </c>
      <c r="R81" s="206">
        <v>4</v>
      </c>
      <c r="S81" s="178">
        <v>3.8439999999999999</v>
      </c>
      <c r="T81" s="177">
        <f t="shared" si="35"/>
        <v>0.15600000000000014</v>
      </c>
      <c r="U81" s="178">
        <v>0</v>
      </c>
      <c r="V81" s="178" t="e">
        <f>IF(T81&lt;=0,0,(IF(P81="Rated",(T81+U81)*#REF!,(T81+U81))))</f>
        <v>#REF!</v>
      </c>
      <c r="W81" s="178" t="e">
        <f>IF(P81="Rated",R81*#REF!,R81)</f>
        <v>#REF!</v>
      </c>
      <c r="X81" s="178">
        <f t="shared" si="36"/>
        <v>3.8439999999999999</v>
      </c>
      <c r="Y81" s="178">
        <f t="shared" si="37"/>
        <v>3.8439999999999999</v>
      </c>
      <c r="Z81" s="178">
        <f t="shared" si="38"/>
        <v>-0.15600000000000014</v>
      </c>
      <c r="AA81" s="215"/>
      <c r="AB81" s="216" t="s">
        <v>136</v>
      </c>
      <c r="AC81" s="178"/>
      <c r="AD81" s="178"/>
      <c r="AE81" s="217"/>
      <c r="AF81" s="178"/>
      <c r="AG81" s="191" t="s">
        <v>126</v>
      </c>
      <c r="AH81" s="111" t="s">
        <v>127</v>
      </c>
      <c r="AI81" s="178">
        <v>0</v>
      </c>
      <c r="AJ81" s="178">
        <v>0</v>
      </c>
      <c r="AK81" s="111">
        <f t="shared" si="39"/>
        <v>0</v>
      </c>
      <c r="AL81" s="178">
        <f t="shared" si="40"/>
        <v>0</v>
      </c>
      <c r="AM81" s="178">
        <v>0</v>
      </c>
      <c r="AN81" s="111"/>
      <c r="AO81" s="218"/>
      <c r="AP81" s="215"/>
      <c r="AQ81" s="215"/>
      <c r="AR81" s="215"/>
      <c r="AS81" s="215"/>
      <c r="AT81" s="219"/>
      <c r="AU81" s="219"/>
      <c r="AV81" s="111"/>
      <c r="AW81" s="220"/>
      <c r="AX81" s="111"/>
      <c r="AY81" s="112"/>
      <c r="AZ81" s="111"/>
      <c r="BA81" s="111"/>
      <c r="BB81" s="111"/>
    </row>
    <row r="82" spans="1:54 16151:16384" s="96" customFormat="1" ht="12.95">
      <c r="A82" s="205" t="s">
        <v>29</v>
      </c>
      <c r="B82" s="205" t="s">
        <v>152</v>
      </c>
      <c r="C82" s="208" t="s">
        <v>220</v>
      </c>
      <c r="D82" s="111" t="s">
        <v>133</v>
      </c>
      <c r="E82" s="111" t="s">
        <v>136</v>
      </c>
      <c r="F82" s="178" t="s">
        <v>137</v>
      </c>
      <c r="G82" s="111" t="s">
        <v>122</v>
      </c>
      <c r="H82" s="111" t="s">
        <v>134</v>
      </c>
      <c r="I82" s="111" t="str">
        <f t="shared" si="30"/>
        <v>No of Racks</v>
      </c>
      <c r="J82" s="111">
        <v>1</v>
      </c>
      <c r="K82" s="111">
        <v>1</v>
      </c>
      <c r="L82" s="184">
        <f t="shared" si="31"/>
        <v>0</v>
      </c>
      <c r="M82" s="111">
        <f t="shared" si="32"/>
        <v>1</v>
      </c>
      <c r="N82" s="111">
        <f t="shared" si="33"/>
        <v>0</v>
      </c>
      <c r="O82" s="192"/>
      <c r="P82" s="186" t="str">
        <f t="shared" si="34"/>
        <v>Rated</v>
      </c>
      <c r="Q82" s="111" t="s">
        <v>6</v>
      </c>
      <c r="R82" s="178">
        <v>6</v>
      </c>
      <c r="S82" s="178">
        <v>0</v>
      </c>
      <c r="T82" s="177">
        <f t="shared" si="35"/>
        <v>6</v>
      </c>
      <c r="U82" s="178">
        <v>0</v>
      </c>
      <c r="V82" s="178">
        <v>6</v>
      </c>
      <c r="W82" s="178">
        <v>0</v>
      </c>
      <c r="X82" s="178">
        <f t="shared" si="36"/>
        <v>0</v>
      </c>
      <c r="Y82" s="178">
        <f t="shared" si="37"/>
        <v>0</v>
      </c>
      <c r="Z82" s="178">
        <f t="shared" si="38"/>
        <v>-6</v>
      </c>
      <c r="AA82" s="215"/>
      <c r="AB82" s="216" t="s">
        <v>136</v>
      </c>
      <c r="AC82" s="178"/>
      <c r="AD82" s="178"/>
      <c r="AE82" s="217"/>
      <c r="AF82" s="178"/>
      <c r="AG82" s="191" t="s">
        <v>126</v>
      </c>
      <c r="AH82" s="111" t="s">
        <v>127</v>
      </c>
      <c r="AI82" s="178">
        <v>0</v>
      </c>
      <c r="AJ82" s="178">
        <v>0</v>
      </c>
      <c r="AK82" s="111">
        <f t="shared" si="39"/>
        <v>0</v>
      </c>
      <c r="AL82" s="178">
        <f t="shared" si="40"/>
        <v>0</v>
      </c>
      <c r="AM82" s="178">
        <v>0</v>
      </c>
      <c r="AN82" s="111"/>
      <c r="AO82" s="218"/>
      <c r="AP82" s="215"/>
      <c r="AQ82" s="215"/>
      <c r="AR82" s="215"/>
      <c r="AS82" s="215"/>
      <c r="AT82" s="219"/>
      <c r="AU82" s="219"/>
      <c r="AV82" s="111"/>
      <c r="AW82" s="220"/>
      <c r="AX82" s="111"/>
      <c r="AY82" s="112"/>
      <c r="AZ82" s="111"/>
      <c r="BA82" s="111"/>
      <c r="BB82" s="111"/>
    </row>
    <row r="83" spans="1:54 16151:16384" s="96" customFormat="1" ht="12.95">
      <c r="A83" s="205" t="s">
        <v>29</v>
      </c>
      <c r="B83" s="205" t="s">
        <v>152</v>
      </c>
      <c r="C83" s="208" t="s">
        <v>221</v>
      </c>
      <c r="D83" s="111" t="s">
        <v>133</v>
      </c>
      <c r="E83" s="111" t="s">
        <v>136</v>
      </c>
      <c r="F83" s="178" t="s">
        <v>137</v>
      </c>
      <c r="G83" s="111" t="s">
        <v>122</v>
      </c>
      <c r="H83" s="111" t="s">
        <v>134</v>
      </c>
      <c r="I83" s="111" t="str">
        <f t="shared" si="30"/>
        <v>No of Racks</v>
      </c>
      <c r="J83" s="111">
        <v>1</v>
      </c>
      <c r="K83" s="111">
        <v>1</v>
      </c>
      <c r="L83" s="184">
        <f t="shared" si="31"/>
        <v>0</v>
      </c>
      <c r="M83" s="111">
        <f t="shared" si="32"/>
        <v>1</v>
      </c>
      <c r="N83" s="111">
        <f t="shared" si="33"/>
        <v>0</v>
      </c>
      <c r="O83" s="192"/>
      <c r="P83" s="186" t="str">
        <f t="shared" si="34"/>
        <v>Rated</v>
      </c>
      <c r="Q83" s="111" t="s">
        <v>6</v>
      </c>
      <c r="R83" s="178">
        <v>6</v>
      </c>
      <c r="S83" s="178">
        <v>0</v>
      </c>
      <c r="T83" s="177">
        <f t="shared" si="35"/>
        <v>6</v>
      </c>
      <c r="U83" s="178">
        <v>0</v>
      </c>
      <c r="V83" s="178">
        <v>6</v>
      </c>
      <c r="W83" s="178">
        <v>0</v>
      </c>
      <c r="X83" s="178">
        <f t="shared" si="36"/>
        <v>0</v>
      </c>
      <c r="Y83" s="178">
        <f t="shared" si="37"/>
        <v>0</v>
      </c>
      <c r="Z83" s="178">
        <f t="shared" si="38"/>
        <v>-6</v>
      </c>
      <c r="AA83" s="215"/>
      <c r="AB83" s="216" t="s">
        <v>136</v>
      </c>
      <c r="AC83" s="178"/>
      <c r="AD83" s="178"/>
      <c r="AE83" s="217"/>
      <c r="AF83" s="178"/>
      <c r="AG83" s="191" t="s">
        <v>126</v>
      </c>
      <c r="AH83" s="111" t="s">
        <v>127</v>
      </c>
      <c r="AI83" s="178">
        <v>0</v>
      </c>
      <c r="AJ83" s="178">
        <v>0</v>
      </c>
      <c r="AK83" s="111">
        <f t="shared" si="39"/>
        <v>0</v>
      </c>
      <c r="AL83" s="178">
        <f t="shared" si="40"/>
        <v>0</v>
      </c>
      <c r="AM83" s="178">
        <v>0</v>
      </c>
      <c r="AN83" s="111"/>
      <c r="AO83" s="218"/>
      <c r="AP83" s="215"/>
      <c r="AQ83" s="215"/>
      <c r="AR83" s="215"/>
      <c r="AS83" s="215"/>
      <c r="AT83" s="219"/>
      <c r="AU83" s="219"/>
      <c r="AV83" s="111"/>
      <c r="AW83" s="220"/>
      <c r="AX83" s="111"/>
      <c r="AY83" s="112"/>
      <c r="AZ83" s="111"/>
      <c r="BA83" s="111"/>
      <c r="BB83" s="111"/>
    </row>
    <row r="84" spans="1:54 16151:16384" s="96" customFormat="1" ht="12.95">
      <c r="A84" s="205" t="s">
        <v>29</v>
      </c>
      <c r="B84" s="205" t="s">
        <v>152</v>
      </c>
      <c r="C84" s="111" t="s">
        <v>222</v>
      </c>
      <c r="D84" s="111" t="s">
        <v>133</v>
      </c>
      <c r="E84" s="111" t="s">
        <v>120</v>
      </c>
      <c r="F84" s="178" t="s">
        <v>121</v>
      </c>
      <c r="G84" s="111" t="s">
        <v>122</v>
      </c>
      <c r="H84" s="111" t="s">
        <v>134</v>
      </c>
      <c r="I84" s="111" t="str">
        <f t="shared" si="30"/>
        <v>No of Racks</v>
      </c>
      <c r="J84" s="111">
        <v>5</v>
      </c>
      <c r="K84" s="111">
        <v>5</v>
      </c>
      <c r="L84" s="184">
        <f t="shared" si="31"/>
        <v>0</v>
      </c>
      <c r="M84" s="111">
        <f t="shared" si="32"/>
        <v>5</v>
      </c>
      <c r="N84" s="111">
        <f t="shared" si="33"/>
        <v>0</v>
      </c>
      <c r="O84" s="192"/>
      <c r="P84" s="186" t="str">
        <f t="shared" si="34"/>
        <v>Subscribed</v>
      </c>
      <c r="Q84" s="111" t="s">
        <v>150</v>
      </c>
      <c r="R84" s="206">
        <v>15</v>
      </c>
      <c r="S84" s="178">
        <f t="shared" ref="S84:S85" si="41">AF84/672</f>
        <v>1.9681845238095237</v>
      </c>
      <c r="T84" s="177">
        <f t="shared" si="35"/>
        <v>13.031815476190477</v>
      </c>
      <c r="U84" s="178">
        <v>0</v>
      </c>
      <c r="V84" s="178">
        <f>IF(T84&lt;=0,0,(IF(P84="Rated",(T84+U84)*#REF!,(T84+U84))))</f>
        <v>13.031815476190477</v>
      </c>
      <c r="W84" s="178">
        <f>IF(P84="Rated",R84*#REF!,R84)</f>
        <v>15</v>
      </c>
      <c r="X84" s="178">
        <f t="shared" si="36"/>
        <v>1.9681845238095237</v>
      </c>
      <c r="Y84" s="178">
        <f t="shared" si="37"/>
        <v>1.9681845238095237</v>
      </c>
      <c r="Z84" s="178">
        <f t="shared" si="38"/>
        <v>-13.031815476190477</v>
      </c>
      <c r="AA84" s="215"/>
      <c r="AB84" s="199" t="s">
        <v>121</v>
      </c>
      <c r="AC84" s="178"/>
      <c r="AD84" s="178"/>
      <c r="AE84" s="217"/>
      <c r="AF84" s="227">
        <v>1322.62</v>
      </c>
      <c r="AG84" s="191" t="s">
        <v>126</v>
      </c>
      <c r="AH84" s="111" t="s">
        <v>127</v>
      </c>
      <c r="AI84" s="178">
        <v>0</v>
      </c>
      <c r="AJ84" s="178">
        <v>0</v>
      </c>
      <c r="AK84" s="111">
        <f t="shared" si="39"/>
        <v>0</v>
      </c>
      <c r="AL84" s="178">
        <f t="shared" si="40"/>
        <v>0</v>
      </c>
      <c r="AM84" s="178">
        <v>0</v>
      </c>
      <c r="AN84" s="111"/>
      <c r="AO84" s="218"/>
      <c r="AP84" s="215"/>
      <c r="AQ84" s="215"/>
      <c r="AR84" s="215"/>
      <c r="AS84" s="215"/>
      <c r="AT84" s="219"/>
      <c r="AU84" s="219"/>
      <c r="AV84" s="111"/>
      <c r="AW84" s="220"/>
      <c r="AX84" s="111"/>
      <c r="AY84" s="112"/>
      <c r="AZ84" s="111"/>
      <c r="BA84" s="111"/>
      <c r="BB84" s="111"/>
    </row>
    <row r="85" spans="1:54 16151:16384" s="96" customFormat="1" ht="12.75" customHeight="1">
      <c r="A85" s="205" t="s">
        <v>29</v>
      </c>
      <c r="B85" s="205" t="s">
        <v>152</v>
      </c>
      <c r="C85" s="221" t="s">
        <v>223</v>
      </c>
      <c r="D85" s="111" t="s">
        <v>133</v>
      </c>
      <c r="E85" s="111" t="s">
        <v>120</v>
      </c>
      <c r="F85" s="178" t="s">
        <v>121</v>
      </c>
      <c r="G85" s="111" t="s">
        <v>122</v>
      </c>
      <c r="H85" s="111" t="s">
        <v>134</v>
      </c>
      <c r="I85" s="111" t="str">
        <f t="shared" si="30"/>
        <v>No of Racks</v>
      </c>
      <c r="J85" s="111">
        <v>2</v>
      </c>
      <c r="K85" s="111">
        <v>2</v>
      </c>
      <c r="L85" s="184">
        <f t="shared" si="31"/>
        <v>0</v>
      </c>
      <c r="M85" s="111">
        <f t="shared" si="32"/>
        <v>2</v>
      </c>
      <c r="N85" s="111">
        <f t="shared" si="33"/>
        <v>0</v>
      </c>
      <c r="O85" s="192"/>
      <c r="P85" s="186" t="str">
        <f t="shared" si="34"/>
        <v>Subscribed</v>
      </c>
      <c r="Q85" s="111" t="s">
        <v>150</v>
      </c>
      <c r="R85" s="206">
        <v>7</v>
      </c>
      <c r="S85" s="178">
        <f t="shared" si="41"/>
        <v>0</v>
      </c>
      <c r="T85" s="177">
        <f t="shared" si="35"/>
        <v>7</v>
      </c>
      <c r="U85" s="178">
        <v>0</v>
      </c>
      <c r="V85" s="178">
        <f>IF(T85&lt;=0,0,(IF(P85="Rated",(T85+U85)*#REF!,(T85+U85))))</f>
        <v>7</v>
      </c>
      <c r="W85" s="178">
        <f>IF(P85="Rated",R85*#REF!,R85)</f>
        <v>7</v>
      </c>
      <c r="X85" s="178">
        <f t="shared" si="36"/>
        <v>0</v>
      </c>
      <c r="Y85" s="178">
        <f t="shared" si="37"/>
        <v>0</v>
      </c>
      <c r="Z85" s="178">
        <f t="shared" si="38"/>
        <v>-7</v>
      </c>
      <c r="AA85" s="215"/>
      <c r="AB85" s="199" t="s">
        <v>121</v>
      </c>
      <c r="AC85" s="178"/>
      <c r="AD85" s="178"/>
      <c r="AE85" s="217"/>
      <c r="AF85" s="226">
        <v>0</v>
      </c>
      <c r="AG85" s="191" t="s">
        <v>126</v>
      </c>
      <c r="AH85" s="111" t="s">
        <v>127</v>
      </c>
      <c r="AI85" s="178">
        <v>0</v>
      </c>
      <c r="AJ85" s="178">
        <v>0</v>
      </c>
      <c r="AK85" s="111">
        <f t="shared" si="39"/>
        <v>0</v>
      </c>
      <c r="AL85" s="178">
        <f t="shared" si="40"/>
        <v>0</v>
      </c>
      <c r="AM85" s="178">
        <v>0</v>
      </c>
      <c r="AN85" s="111"/>
      <c r="AO85" s="218"/>
      <c r="AP85" s="215"/>
      <c r="AQ85" s="215"/>
      <c r="AR85" s="215"/>
      <c r="AS85" s="215"/>
      <c r="AT85" s="219"/>
      <c r="AU85" s="219"/>
      <c r="AV85" s="111"/>
      <c r="AW85" s="220"/>
      <c r="AX85" s="111"/>
      <c r="AY85" s="112"/>
      <c r="AZ85" s="111"/>
      <c r="BA85" s="111"/>
      <c r="BB85" s="111"/>
    </row>
    <row r="86" spans="1:54 16151:16384" s="96" customFormat="1" ht="12.95">
      <c r="A86" s="205" t="s">
        <v>29</v>
      </c>
      <c r="B86" s="205" t="s">
        <v>152</v>
      </c>
      <c r="C86" s="208" t="s">
        <v>224</v>
      </c>
      <c r="D86" s="111" t="s">
        <v>133</v>
      </c>
      <c r="E86" s="111" t="s">
        <v>136</v>
      </c>
      <c r="F86" s="178" t="s">
        <v>137</v>
      </c>
      <c r="G86" s="111" t="s">
        <v>122</v>
      </c>
      <c r="H86" s="111" t="s">
        <v>134</v>
      </c>
      <c r="I86" s="111" t="str">
        <f t="shared" si="30"/>
        <v>No of Racks</v>
      </c>
      <c r="J86" s="111">
        <v>2</v>
      </c>
      <c r="K86" s="111">
        <v>2</v>
      </c>
      <c r="L86" s="184">
        <f t="shared" si="31"/>
        <v>0</v>
      </c>
      <c r="M86" s="111">
        <f t="shared" si="32"/>
        <v>2</v>
      </c>
      <c r="N86" s="111">
        <f t="shared" si="33"/>
        <v>0</v>
      </c>
      <c r="O86" s="192"/>
      <c r="P86" s="186" t="str">
        <f t="shared" si="34"/>
        <v>Rated</v>
      </c>
      <c r="Q86" s="111" t="s">
        <v>6</v>
      </c>
      <c r="R86" s="178">
        <v>12</v>
      </c>
      <c r="S86" s="178">
        <v>0</v>
      </c>
      <c r="T86" s="177">
        <f t="shared" si="35"/>
        <v>12</v>
      </c>
      <c r="U86" s="178">
        <v>0</v>
      </c>
      <c r="V86" s="178">
        <v>12</v>
      </c>
      <c r="W86" s="178">
        <v>0</v>
      </c>
      <c r="X86" s="178">
        <f t="shared" si="36"/>
        <v>0</v>
      </c>
      <c r="Y86" s="178">
        <f t="shared" si="37"/>
        <v>0</v>
      </c>
      <c r="Z86" s="178">
        <f t="shared" si="38"/>
        <v>-12</v>
      </c>
      <c r="AA86" s="215"/>
      <c r="AB86" s="189" t="s">
        <v>136</v>
      </c>
      <c r="AC86" s="178">
        <v>1.8</v>
      </c>
      <c r="AD86" s="178"/>
      <c r="AE86" s="217"/>
      <c r="AF86" s="178"/>
      <c r="AG86" s="191" t="s">
        <v>126</v>
      </c>
      <c r="AH86" s="111" t="s">
        <v>127</v>
      </c>
      <c r="AI86" s="178">
        <v>0</v>
      </c>
      <c r="AJ86" s="178">
        <v>0</v>
      </c>
      <c r="AK86" s="111">
        <f t="shared" si="39"/>
        <v>0</v>
      </c>
      <c r="AL86" s="178">
        <f t="shared" si="40"/>
        <v>0</v>
      </c>
      <c r="AM86" s="178">
        <v>0</v>
      </c>
      <c r="AN86" s="111"/>
      <c r="AO86" s="218"/>
      <c r="AP86" s="215"/>
      <c r="AQ86" s="215"/>
      <c r="AR86" s="215"/>
      <c r="AS86" s="215"/>
      <c r="AT86" s="219"/>
      <c r="AU86" s="219"/>
      <c r="AV86" s="111"/>
      <c r="AW86" s="220"/>
      <c r="AX86" s="111"/>
      <c r="AY86" s="112"/>
      <c r="AZ86" s="111"/>
      <c r="BA86" s="111"/>
      <c r="BB86" s="111"/>
    </row>
    <row r="87" spans="1:54 16151:16384" s="96" customFormat="1" ht="12.95">
      <c r="A87" s="205" t="s">
        <v>29</v>
      </c>
      <c r="B87" s="111" t="s">
        <v>152</v>
      </c>
      <c r="C87" s="208" t="s">
        <v>225</v>
      </c>
      <c r="D87" s="111" t="s">
        <v>133</v>
      </c>
      <c r="E87" s="182" t="s">
        <v>136</v>
      </c>
      <c r="F87" s="190" t="s">
        <v>137</v>
      </c>
      <c r="G87" s="114" t="s">
        <v>156</v>
      </c>
      <c r="H87" s="182" t="s">
        <v>134</v>
      </c>
      <c r="I87" s="111" t="str">
        <f t="shared" si="30"/>
        <v>U Space</v>
      </c>
      <c r="J87" s="111">
        <v>1</v>
      </c>
      <c r="K87" s="111">
        <v>1</v>
      </c>
      <c r="L87" s="184">
        <f t="shared" si="31"/>
        <v>0</v>
      </c>
      <c r="M87" s="111">
        <f t="shared" si="32"/>
        <v>1</v>
      </c>
      <c r="N87" s="111">
        <f t="shared" si="33"/>
        <v>0</v>
      </c>
      <c r="O87" s="178"/>
      <c r="P87" s="186" t="str">
        <f t="shared" si="34"/>
        <v>Rated</v>
      </c>
      <c r="Q87" s="182" t="s">
        <v>6</v>
      </c>
      <c r="R87" s="178">
        <v>0.25</v>
      </c>
      <c r="S87" s="111">
        <v>0.2</v>
      </c>
      <c r="T87" s="177">
        <f t="shared" si="35"/>
        <v>4.9999999999999989E-2</v>
      </c>
      <c r="U87" s="178">
        <v>0</v>
      </c>
      <c r="V87" s="178" t="e">
        <f>IF(T87&lt;=0,0,(IF(P87="Rated",(T87+U87)*#REF!,(T87+U87))))</f>
        <v>#REF!</v>
      </c>
      <c r="W87" s="178" t="e">
        <f>IF(P87="Rated",R87*#REF!,R87)</f>
        <v>#REF!</v>
      </c>
      <c r="X87" s="178">
        <f t="shared" si="36"/>
        <v>0.2</v>
      </c>
      <c r="Y87" s="178">
        <f t="shared" si="37"/>
        <v>0.2</v>
      </c>
      <c r="Z87" s="178">
        <f t="shared" si="38"/>
        <v>-4.9999999999999989E-2</v>
      </c>
      <c r="AA87" s="111"/>
      <c r="AB87" s="189" t="s">
        <v>136</v>
      </c>
      <c r="AC87" s="178">
        <v>1.8</v>
      </c>
      <c r="AD87" s="111"/>
      <c r="AE87" s="179"/>
      <c r="AF87" s="179"/>
      <c r="AG87" s="191" t="s">
        <v>126</v>
      </c>
      <c r="AH87" s="111" t="s">
        <v>127</v>
      </c>
      <c r="AI87" s="111">
        <v>0</v>
      </c>
      <c r="AJ87" s="111">
        <v>0</v>
      </c>
      <c r="AK87" s="111">
        <f t="shared" si="39"/>
        <v>0</v>
      </c>
      <c r="AL87" s="111">
        <f t="shared" si="40"/>
        <v>0</v>
      </c>
      <c r="AM87" s="178">
        <v>0</v>
      </c>
      <c r="AN87" s="111"/>
      <c r="AO87" s="111"/>
      <c r="AP87" s="111"/>
      <c r="AQ87" s="111"/>
      <c r="AR87" s="111"/>
      <c r="AS87" s="111"/>
      <c r="AT87" s="111"/>
      <c r="AU87" s="111"/>
      <c r="AV87" s="111">
        <v>521008118</v>
      </c>
      <c r="AW87" s="111"/>
      <c r="AX87" s="111"/>
      <c r="AY87" s="111"/>
      <c r="AZ87" s="111"/>
      <c r="BA87" s="111"/>
      <c r="BB87" s="111"/>
      <c r="WWE87"/>
      <c r="WWF87"/>
      <c r="WWG87"/>
      <c r="WWH87"/>
      <c r="WWI87"/>
      <c r="WWJ87"/>
      <c r="WWK87"/>
      <c r="WWL87"/>
      <c r="WWM87"/>
      <c r="WWN87"/>
      <c r="WWO87"/>
      <c r="WWP87"/>
      <c r="WWQ87"/>
      <c r="WWR87"/>
      <c r="WWS87"/>
      <c r="WWT87"/>
      <c r="WWU87"/>
      <c r="WWV87"/>
      <c r="WWW87"/>
      <c r="WWX87"/>
      <c r="WWY87"/>
      <c r="WWZ87"/>
      <c r="WXA87"/>
      <c r="WXB87"/>
      <c r="WXC87"/>
      <c r="WXD87"/>
      <c r="WXE87"/>
      <c r="WXF87"/>
      <c r="WXG87"/>
      <c r="WXH87"/>
      <c r="WXI87"/>
      <c r="WXJ87"/>
      <c r="WXK87"/>
      <c r="WXL87"/>
      <c r="WXM87"/>
      <c r="WXN87"/>
      <c r="WXO87"/>
      <c r="WXP87"/>
      <c r="WXQ87"/>
      <c r="WXR87"/>
      <c r="WXS87"/>
      <c r="WXT87"/>
      <c r="WXU87"/>
      <c r="WXV87"/>
      <c r="WXW87"/>
      <c r="WXX87"/>
      <c r="WXY87"/>
      <c r="WXZ87"/>
      <c r="WYA87"/>
      <c r="WYB87"/>
      <c r="WYC87"/>
      <c r="WYD87"/>
      <c r="WYE87"/>
      <c r="WYF87"/>
      <c r="WYG87"/>
      <c r="WYH87"/>
      <c r="WYI87"/>
      <c r="WYJ87"/>
      <c r="WYK87"/>
      <c r="WYL87"/>
      <c r="WYM87"/>
      <c r="WYN87"/>
      <c r="WYO87"/>
      <c r="WYP87"/>
      <c r="WYQ87"/>
      <c r="WYR87"/>
      <c r="WYS87"/>
      <c r="WYT87"/>
      <c r="WYU87"/>
      <c r="WYV87"/>
      <c r="WYW87"/>
      <c r="WYX87"/>
      <c r="WYY87"/>
      <c r="WYZ87"/>
      <c r="WZA87"/>
      <c r="WZB87"/>
      <c r="WZC87"/>
      <c r="WZD87"/>
      <c r="WZE87"/>
      <c r="WZF87"/>
      <c r="WZG87"/>
      <c r="WZH87"/>
      <c r="WZI87"/>
      <c r="WZJ87"/>
      <c r="WZK87"/>
      <c r="WZL87"/>
      <c r="WZM87"/>
      <c r="WZN87"/>
      <c r="WZO87"/>
      <c r="WZP87"/>
      <c r="WZQ87"/>
      <c r="WZR87"/>
      <c r="WZS87"/>
      <c r="WZT87"/>
      <c r="WZU87"/>
      <c r="WZV87"/>
      <c r="WZW87"/>
      <c r="WZX87"/>
      <c r="WZY87"/>
      <c r="WZZ87"/>
      <c r="XAA87"/>
      <c r="XAB87"/>
      <c r="XAC87"/>
      <c r="XAD87"/>
      <c r="XAE87"/>
      <c r="XAF87"/>
      <c r="XAG87"/>
      <c r="XAH87"/>
      <c r="XAI87"/>
      <c r="XAJ87"/>
      <c r="XAK87"/>
      <c r="XAL87"/>
      <c r="XAM87"/>
      <c r="XAN87"/>
      <c r="XAO87"/>
      <c r="XAP87"/>
      <c r="XAQ87"/>
      <c r="XAR87"/>
      <c r="XAS87"/>
      <c r="XAT87"/>
      <c r="XAU87"/>
      <c r="XAV87"/>
      <c r="XAW87"/>
      <c r="XAX87"/>
      <c r="XAY87"/>
      <c r="XAZ87"/>
      <c r="XBA87"/>
      <c r="XBB87"/>
      <c r="XBC87"/>
      <c r="XBD87"/>
      <c r="XBE87"/>
      <c r="XBF87"/>
      <c r="XBG87"/>
      <c r="XBH87"/>
      <c r="XBI87"/>
      <c r="XBJ87"/>
      <c r="XBK87"/>
      <c r="XBL87"/>
      <c r="XBM87"/>
      <c r="XBN87"/>
      <c r="XBO87"/>
      <c r="XBP87"/>
      <c r="XBQ87"/>
      <c r="XBR87"/>
      <c r="XBS87"/>
      <c r="XBT87"/>
      <c r="XBU87"/>
      <c r="XBV87"/>
      <c r="XBW87"/>
      <c r="XBX87"/>
      <c r="XBY87"/>
      <c r="XBZ87"/>
      <c r="XCA87"/>
      <c r="XCB87"/>
      <c r="XCC87"/>
      <c r="XCD87"/>
      <c r="XCE87"/>
      <c r="XCF87"/>
      <c r="XCG87"/>
      <c r="XCH87"/>
      <c r="XCI87"/>
      <c r="XCJ87"/>
      <c r="XCK87"/>
      <c r="XCL87"/>
      <c r="XCM87"/>
      <c r="XCN87"/>
      <c r="XCO87"/>
      <c r="XCP87"/>
      <c r="XCQ87"/>
      <c r="XCR87"/>
      <c r="XCS87"/>
      <c r="XCT87"/>
      <c r="XCU87"/>
      <c r="XCV87"/>
      <c r="XCW87"/>
      <c r="XCX87"/>
      <c r="XCY87"/>
      <c r="XCZ87"/>
      <c r="XDA87"/>
      <c r="XDB87"/>
      <c r="XDC87"/>
      <c r="XDD87"/>
      <c r="XDE87"/>
      <c r="XDF87"/>
      <c r="XDG87"/>
      <c r="XDH87"/>
      <c r="XDI87"/>
      <c r="XDJ87"/>
      <c r="XDK87"/>
      <c r="XDL87"/>
      <c r="XDM87"/>
      <c r="XDN87"/>
      <c r="XDO87"/>
      <c r="XDP87"/>
      <c r="XDQ87"/>
      <c r="XDR87"/>
      <c r="XDS87"/>
      <c r="XDT87"/>
      <c r="XDU87"/>
      <c r="XDV87"/>
      <c r="XDW87"/>
      <c r="XDX87"/>
      <c r="XDY87"/>
      <c r="XDZ87"/>
      <c r="XEA87"/>
      <c r="XEB87"/>
      <c r="XEC87"/>
      <c r="XED87"/>
      <c r="XEE87"/>
      <c r="XEF87"/>
      <c r="XEG87"/>
      <c r="XEH87"/>
      <c r="XEI87"/>
      <c r="XEJ87"/>
      <c r="XEK87"/>
      <c r="XEL87"/>
      <c r="XEM87"/>
      <c r="XEN87"/>
      <c r="XEO87"/>
      <c r="XEP87"/>
      <c r="XEQ87"/>
      <c r="XER87"/>
      <c r="XES87"/>
      <c r="XET87"/>
      <c r="XEU87"/>
      <c r="XEV87"/>
      <c r="XEW87"/>
      <c r="XEX87"/>
      <c r="XEY87"/>
      <c r="XEZ87"/>
      <c r="XFA87"/>
      <c r="XFB87"/>
      <c r="XFC87"/>
      <c r="XFD87"/>
    </row>
    <row r="88" spans="1:54 16151:16384" s="96" customFormat="1" ht="12">
      <c r="A88" s="205" t="s">
        <v>29</v>
      </c>
      <c r="B88" s="205" t="s">
        <v>152</v>
      </c>
      <c r="C88" s="117" t="s">
        <v>226</v>
      </c>
      <c r="D88" s="182" t="s">
        <v>133</v>
      </c>
      <c r="E88" s="182" t="s">
        <v>136</v>
      </c>
      <c r="F88" s="190" t="s">
        <v>137</v>
      </c>
      <c r="G88" s="114" t="s">
        <v>156</v>
      </c>
      <c r="H88" s="182" t="s">
        <v>134</v>
      </c>
      <c r="I88" s="111" t="str">
        <f t="shared" si="30"/>
        <v>U Space</v>
      </c>
      <c r="J88" s="114">
        <v>21</v>
      </c>
      <c r="K88" s="114">
        <v>21</v>
      </c>
      <c r="L88" s="184">
        <f t="shared" si="31"/>
        <v>0</v>
      </c>
      <c r="M88" s="111">
        <f t="shared" si="32"/>
        <v>21</v>
      </c>
      <c r="N88" s="111">
        <f t="shared" si="33"/>
        <v>0</v>
      </c>
      <c r="O88" s="202"/>
      <c r="P88" s="186" t="str">
        <f t="shared" si="34"/>
        <v>Rated</v>
      </c>
      <c r="Q88" s="182" t="s">
        <v>6</v>
      </c>
      <c r="R88" s="234">
        <v>3</v>
      </c>
      <c r="S88" s="210">
        <v>2.41</v>
      </c>
      <c r="T88" s="177">
        <f t="shared" si="35"/>
        <v>0.58999999999999986</v>
      </c>
      <c r="U88" s="178">
        <v>0</v>
      </c>
      <c r="V88" s="178" t="e">
        <f>IF(T88&lt;=0,0,(IF(P88="Rated",(T88+U88)*#REF!,(T88+U88))))</f>
        <v>#REF!</v>
      </c>
      <c r="W88" s="178" t="e">
        <f>IF(P88="Rated",R88*#REF!,R88)</f>
        <v>#REF!</v>
      </c>
      <c r="X88" s="178">
        <f t="shared" si="36"/>
        <v>2.41</v>
      </c>
      <c r="Y88" s="178">
        <f t="shared" si="37"/>
        <v>2.41</v>
      </c>
      <c r="Z88" s="178">
        <f t="shared" si="38"/>
        <v>-0.58999999999999986</v>
      </c>
      <c r="AA88" s="202">
        <f>90000/12</f>
        <v>7500</v>
      </c>
      <c r="AB88" s="189" t="s">
        <v>136</v>
      </c>
      <c r="AC88" s="178">
        <v>1.8</v>
      </c>
      <c r="AD88" s="111"/>
      <c r="AE88" s="179"/>
      <c r="AF88" s="179"/>
      <c r="AG88" s="191" t="s">
        <v>126</v>
      </c>
      <c r="AH88" s="111" t="s">
        <v>212</v>
      </c>
      <c r="AI88" s="111">
        <v>0</v>
      </c>
      <c r="AJ88" s="111">
        <v>0</v>
      </c>
      <c r="AK88" s="111">
        <f t="shared" si="39"/>
        <v>0</v>
      </c>
      <c r="AL88" s="111">
        <f t="shared" si="40"/>
        <v>0</v>
      </c>
      <c r="AM88" s="111">
        <v>0</v>
      </c>
      <c r="AN88" s="111"/>
      <c r="AO88" s="111"/>
      <c r="AP88" s="111"/>
      <c r="AQ88" s="111"/>
      <c r="AR88" s="111"/>
      <c r="AS88" s="111"/>
      <c r="AT88" s="111"/>
      <c r="AU88" s="111"/>
      <c r="AV88" s="111"/>
      <c r="AW88" s="111"/>
      <c r="AX88" s="111"/>
      <c r="AY88" s="111"/>
      <c r="AZ88" s="111"/>
      <c r="BA88" s="111"/>
      <c r="BB88" s="111"/>
    </row>
    <row r="89" spans="1:54 16151:16384" s="96" customFormat="1" ht="12.75" customHeight="1">
      <c r="A89" s="205" t="s">
        <v>29</v>
      </c>
      <c r="B89" s="205" t="s">
        <v>138</v>
      </c>
      <c r="C89" s="111" t="s">
        <v>227</v>
      </c>
      <c r="D89" s="111" t="s">
        <v>133</v>
      </c>
      <c r="E89" s="111" t="s">
        <v>120</v>
      </c>
      <c r="F89" s="111" t="s">
        <v>121</v>
      </c>
      <c r="G89" s="111" t="s">
        <v>122</v>
      </c>
      <c r="H89" s="111" t="s">
        <v>123</v>
      </c>
      <c r="I89" s="111" t="str">
        <f t="shared" si="30"/>
        <v>No of Racks</v>
      </c>
      <c r="J89" s="111">
        <v>11</v>
      </c>
      <c r="K89" s="111">
        <v>11</v>
      </c>
      <c r="L89" s="177">
        <f t="shared" si="31"/>
        <v>0</v>
      </c>
      <c r="M89" s="178">
        <f t="shared" si="32"/>
        <v>11</v>
      </c>
      <c r="N89" s="178">
        <f t="shared" si="33"/>
        <v>0</v>
      </c>
      <c r="O89" s="178"/>
      <c r="P89" s="178" t="s">
        <v>136</v>
      </c>
      <c r="Q89" s="182" t="s">
        <v>6</v>
      </c>
      <c r="R89" s="178">
        <v>60</v>
      </c>
      <c r="S89" s="178">
        <v>87.52</v>
      </c>
      <c r="T89" s="177">
        <f t="shared" si="35"/>
        <v>-27.519999999999996</v>
      </c>
      <c r="U89" s="111">
        <v>0</v>
      </c>
      <c r="V89" s="178">
        <f>IF(T89&lt;=0,0,(IF(P89="Rated",(T89+U89)*#REF!,(T89+U89))))</f>
        <v>0</v>
      </c>
      <c r="W89" s="111" t="e">
        <f>IF(P89="Rated",R89*#REF!,R89)</f>
        <v>#REF!</v>
      </c>
      <c r="X89" s="178">
        <f t="shared" si="36"/>
        <v>87.52</v>
      </c>
      <c r="Y89" s="178">
        <f t="shared" si="37"/>
        <v>87.52</v>
      </c>
      <c r="Z89" s="178">
        <f t="shared" si="38"/>
        <v>27.519999999999996</v>
      </c>
      <c r="AA89" s="111"/>
      <c r="AB89" s="111" t="s">
        <v>136</v>
      </c>
      <c r="AC89" s="178">
        <v>1.8</v>
      </c>
      <c r="AD89" s="111"/>
      <c r="AE89" s="111"/>
      <c r="AF89" s="227"/>
      <c r="AG89" s="191" t="s">
        <v>126</v>
      </c>
      <c r="AH89" s="111" t="s">
        <v>212</v>
      </c>
      <c r="AI89" s="111">
        <v>0</v>
      </c>
      <c r="AJ89" s="111">
        <v>0</v>
      </c>
      <c r="AK89" s="111">
        <f t="shared" si="39"/>
        <v>0</v>
      </c>
      <c r="AL89" s="111">
        <f t="shared" si="40"/>
        <v>0</v>
      </c>
      <c r="AM89" s="111"/>
      <c r="AN89" s="111"/>
      <c r="AO89" s="111"/>
      <c r="AP89" s="111"/>
      <c r="AQ89" s="111"/>
      <c r="AR89" s="111"/>
      <c r="AS89" s="111"/>
      <c r="AT89" s="111"/>
      <c r="AU89" s="111"/>
      <c r="AV89" s="111"/>
      <c r="AW89" s="111"/>
      <c r="AX89" s="111"/>
      <c r="AY89" s="111"/>
      <c r="AZ89" s="111"/>
      <c r="BA89" s="111"/>
      <c r="BB89" s="111"/>
    </row>
    <row r="90" spans="1:54 16151:16384" s="96" customFormat="1" ht="12.75" customHeight="1">
      <c r="A90" s="205" t="s">
        <v>29</v>
      </c>
      <c r="B90" s="205" t="s">
        <v>152</v>
      </c>
      <c r="C90" s="111" t="s">
        <v>228</v>
      </c>
      <c r="D90" s="111" t="s">
        <v>133</v>
      </c>
      <c r="E90" s="111" t="s">
        <v>120</v>
      </c>
      <c r="F90" s="111" t="s">
        <v>121</v>
      </c>
      <c r="G90" s="111" t="s">
        <v>122</v>
      </c>
      <c r="H90" s="111" t="s">
        <v>123</v>
      </c>
      <c r="I90" s="111" t="str">
        <f t="shared" ref="I90" si="42">IF(G90="Rack","No of Racks",(IF(G90="Space","Sq Ft","U Space")))</f>
        <v>No of Racks</v>
      </c>
      <c r="J90" s="111">
        <v>2</v>
      </c>
      <c r="K90" s="111">
        <v>2</v>
      </c>
      <c r="L90" s="177">
        <f t="shared" ref="L90:L91" si="43">J90-K90</f>
        <v>0</v>
      </c>
      <c r="M90" s="178">
        <f t="shared" ref="M90:M91" si="44">J90</f>
        <v>2</v>
      </c>
      <c r="N90" s="178">
        <f t="shared" ref="N90:N91" si="45">J90-M90</f>
        <v>0</v>
      </c>
      <c r="O90" s="178"/>
      <c r="P90" s="178" t="s">
        <v>136</v>
      </c>
      <c r="Q90" s="182" t="s">
        <v>6</v>
      </c>
      <c r="R90" s="178">
        <v>10</v>
      </c>
      <c r="S90" s="178">
        <v>67.31</v>
      </c>
      <c r="T90" s="177">
        <f t="shared" ref="T90" si="46">R90-S90</f>
        <v>-57.31</v>
      </c>
      <c r="U90" s="111">
        <v>0</v>
      </c>
      <c r="V90" s="178">
        <f>IF(T90&lt;=0,0,(IF(P90="Rated",(T90+U90)*#REF!,(T90+U90))))</f>
        <v>0</v>
      </c>
      <c r="W90" s="111" t="e">
        <f>IF(P90="Rated",R90*#REF!,R90)</f>
        <v>#REF!</v>
      </c>
      <c r="X90" s="178">
        <f t="shared" ref="X90" si="47">S90</f>
        <v>67.31</v>
      </c>
      <c r="Y90" s="178">
        <f t="shared" ref="Y90" si="48">S90</f>
        <v>67.31</v>
      </c>
      <c r="Z90" s="178">
        <f t="shared" ref="Z90" si="49">T90*-1</f>
        <v>57.31</v>
      </c>
      <c r="AA90" s="111"/>
      <c r="AB90" s="111" t="s">
        <v>136</v>
      </c>
      <c r="AC90" s="178">
        <v>1.8</v>
      </c>
      <c r="AD90" s="111"/>
      <c r="AE90" s="111"/>
      <c r="AF90" s="227"/>
      <c r="AG90" s="191" t="s">
        <v>126</v>
      </c>
      <c r="AH90" s="111" t="s">
        <v>212</v>
      </c>
      <c r="AI90" s="111">
        <v>0</v>
      </c>
      <c r="AJ90" s="111">
        <v>0</v>
      </c>
      <c r="AK90" s="111">
        <f t="shared" ref="AK90" si="50">AI90-AJ90</f>
        <v>0</v>
      </c>
      <c r="AL90" s="111">
        <f t="shared" ref="AL90" si="51">AI90</f>
        <v>0</v>
      </c>
      <c r="AM90" s="111"/>
      <c r="AN90" s="111"/>
      <c r="AO90" s="111"/>
      <c r="AP90" s="111"/>
      <c r="AQ90" s="111"/>
      <c r="AR90" s="111"/>
      <c r="AS90" s="111"/>
      <c r="AT90" s="111"/>
      <c r="AU90" s="111"/>
      <c r="AV90" s="111"/>
      <c r="AW90" s="111"/>
      <c r="AX90" s="111"/>
      <c r="AY90" s="111"/>
      <c r="AZ90" s="111"/>
      <c r="BA90" s="111"/>
      <c r="BB90" s="111"/>
    </row>
    <row r="91" spans="1:54 16151:16384" s="96" customFormat="1" ht="12.75" customHeight="1">
      <c r="A91" s="205" t="s">
        <v>29</v>
      </c>
      <c r="B91" s="205" t="s">
        <v>130</v>
      </c>
      <c r="C91" s="111" t="s">
        <v>229</v>
      </c>
      <c r="D91" s="111"/>
      <c r="E91" s="111"/>
      <c r="F91" s="111"/>
      <c r="G91" s="111"/>
      <c r="H91" s="111"/>
      <c r="I91" s="111" t="str">
        <f>IF(G91="Rack","No of Racks",(IF(G91="Space","Sq Ft","U Space")))</f>
        <v>U Space</v>
      </c>
      <c r="J91" s="111">
        <v>21</v>
      </c>
      <c r="K91" s="111">
        <v>21</v>
      </c>
      <c r="L91" s="177">
        <f t="shared" si="43"/>
        <v>0</v>
      </c>
      <c r="M91" s="178">
        <f t="shared" si="44"/>
        <v>21</v>
      </c>
      <c r="N91" s="178">
        <f t="shared" si="45"/>
        <v>0</v>
      </c>
      <c r="O91" s="178"/>
      <c r="P91" s="178" t="s">
        <v>136</v>
      </c>
      <c r="Q91" s="182" t="s">
        <v>6</v>
      </c>
      <c r="R91" s="178">
        <v>1.5</v>
      </c>
      <c r="S91" s="178">
        <v>0</v>
      </c>
      <c r="T91" s="177">
        <f t="shared" ref="T91" si="52">R91-S91</f>
        <v>1.5</v>
      </c>
      <c r="U91" s="111">
        <v>0</v>
      </c>
      <c r="V91" s="178" t="e">
        <f>IF(T91&lt;=0,0,(IF(P91="Rated",(T91+U91)*#REF!,(T91+U91))))</f>
        <v>#REF!</v>
      </c>
      <c r="W91" s="111" t="e">
        <f>IF(P91="Rated",R91*#REF!,R91)</f>
        <v>#REF!</v>
      </c>
      <c r="X91" s="178">
        <f t="shared" ref="X91" si="53">S91</f>
        <v>0</v>
      </c>
      <c r="Y91" s="178">
        <f t="shared" ref="Y91" si="54">S91</f>
        <v>0</v>
      </c>
      <c r="Z91" s="178">
        <f t="shared" ref="Z91" si="55">T91*-1</f>
        <v>-1.5</v>
      </c>
      <c r="AA91" s="111"/>
      <c r="AB91" s="111" t="s">
        <v>136</v>
      </c>
      <c r="AC91" s="178">
        <v>1.8</v>
      </c>
      <c r="AD91" s="111"/>
      <c r="AE91" s="111"/>
      <c r="AF91" s="227"/>
      <c r="AG91" s="191" t="s">
        <v>126</v>
      </c>
      <c r="AH91" s="111" t="s">
        <v>212</v>
      </c>
      <c r="AI91" s="111">
        <v>0</v>
      </c>
      <c r="AJ91" s="111">
        <v>0</v>
      </c>
      <c r="AK91" s="111">
        <f t="shared" ref="AK91" si="56">AI91-AJ91</f>
        <v>0</v>
      </c>
      <c r="AL91" s="111">
        <f t="shared" ref="AL91" si="57">AI91</f>
        <v>0</v>
      </c>
      <c r="AM91" s="111"/>
      <c r="AN91" s="111"/>
      <c r="AO91" s="111"/>
      <c r="AP91" s="111"/>
      <c r="AQ91" s="111"/>
      <c r="AR91" s="101"/>
      <c r="AS91" s="101"/>
      <c r="AT91" s="101"/>
      <c r="AU91" s="101"/>
      <c r="AV91" s="101"/>
      <c r="AW91" s="101"/>
      <c r="AX91" s="101"/>
      <c r="AY91" s="101"/>
      <c r="AZ91" s="101"/>
      <c r="BA91" s="101"/>
      <c r="BB91" s="101"/>
    </row>
    <row r="95" spans="1:54 16151:16384" s="96" customFormat="1" ht="12.75" customHeight="1">
      <c r="A95" s="101"/>
      <c r="B95" s="101"/>
      <c r="C95" s="101"/>
      <c r="D95" s="101"/>
      <c r="E95" s="101"/>
      <c r="F95" s="101"/>
      <c r="G95" s="101"/>
      <c r="H95" s="101"/>
      <c r="I95" s="101"/>
      <c r="J95" s="101"/>
      <c r="K95" s="101"/>
      <c r="L95" s="223"/>
      <c r="M95" s="224"/>
      <c r="N95" s="224"/>
      <c r="O95" s="224"/>
      <c r="P95" s="224"/>
      <c r="Q95" s="224"/>
      <c r="R95" s="224"/>
      <c r="S95" s="101"/>
      <c r="T95" s="223"/>
      <c r="U95" s="101"/>
      <c r="V95" s="101"/>
      <c r="W95" s="101"/>
      <c r="X95" s="101"/>
      <c r="Y95" s="101"/>
      <c r="Z95" s="101"/>
      <c r="AA95" s="101"/>
      <c r="AB95" s="101"/>
      <c r="AC95" s="101"/>
      <c r="AD95" s="101"/>
      <c r="AE95" s="101"/>
      <c r="AF95" s="225"/>
      <c r="AG95" s="225"/>
      <c r="AH95" s="225"/>
      <c r="AI95" s="101"/>
      <c r="AJ95" s="101"/>
      <c r="AK95" s="101"/>
      <c r="AL95" s="101"/>
      <c r="AM95" s="101"/>
      <c r="AN95" s="101"/>
      <c r="AO95" s="101"/>
      <c r="AP95" s="101"/>
      <c r="AQ95" s="101"/>
      <c r="AR95" s="101"/>
      <c r="AS95" s="101"/>
      <c r="AT95" s="101"/>
      <c r="AU95" s="101"/>
      <c r="AV95" s="101"/>
      <c r="AW95" s="101"/>
      <c r="AX95" s="101"/>
      <c r="AY95" s="101"/>
      <c r="AZ95" s="101"/>
      <c r="BA95" s="101"/>
      <c r="BB95" s="101"/>
    </row>
    <row r="96" spans="1:54 16151:16384" s="96" customFormat="1" ht="12.75" customHeight="1">
      <c r="A96" s="101"/>
      <c r="B96" s="101"/>
      <c r="C96" s="101"/>
      <c r="D96" s="101"/>
      <c r="E96" s="101"/>
      <c r="F96" s="101"/>
      <c r="G96" s="101"/>
      <c r="H96" s="101"/>
      <c r="I96" s="101"/>
      <c r="J96" s="101"/>
      <c r="K96" s="101"/>
      <c r="L96" s="223"/>
      <c r="M96" s="224"/>
      <c r="N96" s="224"/>
      <c r="O96" s="224"/>
      <c r="P96" s="224"/>
      <c r="Q96" s="224"/>
      <c r="R96" s="224"/>
      <c r="S96" s="101"/>
      <c r="T96" s="223"/>
      <c r="U96" s="101"/>
      <c r="V96" s="101"/>
      <c r="W96" s="101"/>
      <c r="X96" s="101"/>
      <c r="Y96" s="101"/>
      <c r="Z96" s="101"/>
      <c r="AA96" s="101"/>
      <c r="AB96" s="101"/>
      <c r="AC96" s="101"/>
      <c r="AD96" s="101"/>
      <c r="AE96" s="101"/>
      <c r="AF96" s="225"/>
      <c r="AG96" s="225"/>
      <c r="AH96" s="225"/>
      <c r="AI96" s="101"/>
      <c r="AJ96" s="101"/>
      <c r="AK96" s="101"/>
      <c r="AL96" s="101"/>
      <c r="AM96" s="101"/>
      <c r="AN96" s="101"/>
      <c r="AO96" s="101"/>
      <c r="AP96" s="101"/>
      <c r="AQ96" s="101"/>
      <c r="AR96" s="101"/>
      <c r="AS96" s="101"/>
      <c r="AT96" s="101"/>
      <c r="AU96" s="101"/>
      <c r="AV96" s="101"/>
      <c r="AW96" s="101"/>
      <c r="AX96" s="101"/>
      <c r="AY96" s="101"/>
      <c r="AZ96" s="101"/>
      <c r="BA96" s="101"/>
      <c r="BB96" s="101"/>
    </row>
    <row r="100" spans="1:54" s="96" customFormat="1" ht="12.75" customHeight="1">
      <c r="A100" s="101"/>
      <c r="B100" s="101"/>
      <c r="C100" s="101"/>
      <c r="D100" s="101"/>
      <c r="E100" s="222"/>
      <c r="F100" s="101"/>
      <c r="G100" s="101"/>
      <c r="H100" s="101"/>
      <c r="I100" s="101"/>
      <c r="J100" s="101"/>
      <c r="K100" s="101"/>
      <c r="L100" s="223"/>
      <c r="M100" s="224"/>
      <c r="N100" s="224"/>
      <c r="O100" s="224"/>
      <c r="P100" s="224"/>
      <c r="Q100" s="224"/>
      <c r="R100" s="224"/>
      <c r="S100" s="101"/>
      <c r="T100" s="223"/>
      <c r="U100" s="101"/>
      <c r="V100" s="101"/>
      <c r="W100" s="101"/>
      <c r="X100" s="101"/>
      <c r="Y100" s="101"/>
      <c r="Z100" s="101"/>
      <c r="AA100" s="101"/>
      <c r="AB100" s="101"/>
      <c r="AC100" s="101"/>
      <c r="AD100" s="101"/>
      <c r="AE100" s="101"/>
      <c r="AF100" s="225"/>
      <c r="AG100" s="225"/>
      <c r="AH100" s="225"/>
      <c r="AI100" s="101"/>
      <c r="AJ100" s="101"/>
      <c r="AK100" s="101"/>
      <c r="AL100" s="101"/>
      <c r="AM100" s="101"/>
      <c r="AN100" s="101"/>
      <c r="AO100" s="101"/>
      <c r="AP100" s="101"/>
      <c r="AQ100" s="101"/>
      <c r="AR100" s="101"/>
      <c r="AS100" s="101"/>
      <c r="AT100" s="101"/>
      <c r="AU100" s="101"/>
      <c r="AV100" s="101"/>
      <c r="AW100" s="101"/>
      <c r="AX100" s="101"/>
      <c r="AY100" s="101"/>
      <c r="AZ100" s="101"/>
      <c r="BA100" s="101"/>
      <c r="BB100" s="101"/>
    </row>
  </sheetData>
  <conditionalFormatting sqref="AA2:AA8 AA10:AA14 AA16:AA23 AA25 AA31:AA33">
    <cfRule type="cellIs" dxfId="19" priority="4" operator="lessThanOrEqual">
      <formula>0</formula>
    </cfRule>
    <cfRule type="cellIs" dxfId="18" priority="5" operator="lessThanOrEqual">
      <formula>0</formula>
    </cfRule>
  </conditionalFormatting>
  <conditionalFormatting sqref="AA9 AA15 AA24 AA26:AA30 AA34:AA55">
    <cfRule type="cellIs" dxfId="17" priority="6" operator="lessThanOrEqual">
      <formula>0</formula>
    </cfRule>
    <cfRule type="cellIs" dxfId="16" priority="7" operator="lessThanOrEqual">
      <formula>0</formula>
    </cfRule>
  </conditionalFormatting>
  <conditionalFormatting sqref="AA72:AA74">
    <cfRule type="cellIs" dxfId="15" priority="8" operator="lessThanOrEqual">
      <formula>0</formula>
    </cfRule>
    <cfRule type="cellIs" dxfId="14" priority="9" operator="lessThanOrEqual">
      <formula>0</formula>
    </cfRule>
  </conditionalFormatting>
  <conditionalFormatting sqref="AA80:AA86">
    <cfRule type="cellIs" dxfId="13" priority="2" operator="lessThanOrEqual">
      <formula>0</formula>
    </cfRule>
    <cfRule type="cellIs" dxfId="12" priority="3" operator="lessThanOrEqual">
      <formula>0</formula>
    </cfRule>
  </conditionalFormatting>
  <conditionalFormatting sqref="AA88">
    <cfRule type="cellIs" dxfId="11" priority="10" operator="lessThanOrEqual">
      <formula>0</formula>
    </cfRule>
    <cfRule type="cellIs" dxfId="10" priority="11" operator="lessThanOrEqual">
      <formula>0</formula>
    </cfRule>
  </conditionalFormatting>
  <dataValidations count="16">
    <dataValidation type="list" allowBlank="1" showInputMessage="1" showErrorMessage="1" sqref="IC80:IC86 RY80:RY86 ABU80:ABU86 ALQ80:ALQ86 AVM80:AVM86 BFI80:BFI86 BPE80:BPE86 BZA80:BZA86 CIW80:CIW86 CSS80:CSS86 DCO80:DCO86 DMK80:DMK86 DWG80:DWG86 EGC80:EGC86 EPY80:EPY86 EZU80:EZU86 FJQ80:FJQ86 FTM80:FTM86 GDI80:GDI86 GNE80:GNE86 GXA80:GXA86 HGW80:HGW86 HQS80:HQS86 IAO80:IAO86 IKK80:IKK86 IUG80:IUG86 JEC80:JEC86 JNY80:JNY86 JXU80:JXU86 KHQ80:KHQ86 KRM80:KRM86 LBI80:LBI86 LLE80:LLE86 LVA80:LVA86 MEW80:MEW86 MOS80:MOS86 MYO80:MYO86 NIK80:NIK86 NSG80:NSG86 OCC80:OCC86 OLY80:OLY86 OVU80:OVU86 PFQ80:PFQ86 PPM80:PPM86 PZI80:PZI86 QJE80:QJE86 QTA80:QTA86 RCW80:RCW86 RMS80:RMS86 RWO80:RWO86 SGK80:SGK86 SQG80:SQG86 TAC80:TAC86 TJY80:TJY86 TTU80:TTU86 UDQ80:UDQ86 UNM80:UNM86 UXI80:UXI86 VHE80:VHE86 VRA80:VRA86 WAW80:WAW86 WKS80:WKS86 WUO80:WUO86 E3:E88" xr:uid="{00000000-0002-0000-0300-000000000000}">
      <formula1>"Rated,Subscribed"</formula1>
      <formula2>0</formula2>
    </dataValidation>
    <dataValidation type="list" allowBlank="1" showInputMessage="1" showErrorMessage="1" sqref="ID80:ID86 RZ80:RZ86 ABV80:ABV86 ALR80:ALR86 AVN80:AVN86 BFJ80:BFJ86 BPF80:BPF86 BZB80:BZB86 CIX80:CIX86 CST80:CST86 DCP80:DCP86 DML80:DML86 DWH80:DWH86 EGD80:EGD86 EPZ80:EPZ86 EZV80:EZV86 FJR80:FJR86 FTN80:FTN86 GDJ80:GDJ86 GNF80:GNF86 GXB80:GXB86 HGX80:HGX86 HQT80:HQT86 IAP80:IAP86 IKL80:IKL86 IUH80:IUH86 JED80:JED86 JNZ80:JNZ86 JXV80:JXV86 KHR80:KHR86 KRN80:KRN86 LBJ80:LBJ86 LLF80:LLF86 LVB80:LVB86 MEX80:MEX86 MOT80:MOT86 MYP80:MYP86 NIL80:NIL86 NSH80:NSH86 OCD80:OCD86 OLZ80:OLZ86 OVV80:OVV86 PFR80:PFR86 PPN80:PPN86 PZJ80:PZJ86 QJF80:QJF86 QTB80:QTB86 RCX80:RCX86 RMT80:RMT86 RWP80:RWP86 SGL80:SGL86 SQH80:SQH86 TAD80:TAD86 TJZ80:TJZ86 TTV80:TTV86 UDR80:UDR86 UNN80:UNN86 UXJ80:UXJ86 VHF80:VHF86 VRB80:VRB86 WAX80:WAX86 WKT80:WKT86 WUP80:WUP86 F3:F88" xr:uid="{00000000-0002-0000-0300-000001000000}">
      <formula1>"Bundled,Metered"</formula1>
      <formula2>0</formula2>
    </dataValidation>
    <dataValidation type="list" allowBlank="1" showInputMessage="1" showErrorMessage="1" promptTitle="Rack, U Space, Cage" sqref="G78:G86 IE80:IE86 SA80:SA86 ABW80:ABW86 ALS80:ALS86 AVO80:AVO86 BFK80:BFK86 BPG80:BPG86 BZC80:BZC86 CIY80:CIY86 CSU80:CSU86 DCQ80:DCQ86 DMM80:DMM86 DWI80:DWI86 EGE80:EGE86 EQA80:EQA86 EZW80:EZW86 FJS80:FJS86 FTO80:FTO86 GDK80:GDK86 GNG80:GNG86 GXC80:GXC86 HGY80:HGY86 HQU80:HQU86 IAQ80:IAQ86 IKM80:IKM86 IUI80:IUI86 JEE80:JEE86 JOA80:JOA86 JXW80:JXW86 KHS80:KHS86 KRO80:KRO86 LBK80:LBK86 LLG80:LLG86 LVC80:LVC86 MEY80:MEY86 MOU80:MOU86 MYQ80:MYQ86 NIM80:NIM86 NSI80:NSI86 OCE80:OCE86 OMA80:OMA86 OVW80:OVW86 PFS80:PFS86 PPO80:PPO86 PZK80:PZK86 QJG80:QJG86 QTC80:QTC86 RCY80:RCY86 RMU80:RMU86 RWQ80:RWQ86 SGM80:SGM86 SQI80:SQI86 TAE80:TAE86 TKA80:TKA86 TTW80:TTW86 UDS80:UDS86 UNO80:UNO86 UXK80:UXK86 VHG80:VHG86 VRC80:VRC86 WAY80:WAY86 WKU80:WKU86 WUQ80:WUQ86 G2:G37" xr:uid="{00000000-0002-0000-0300-000002000000}">
      <formula1>"Space,Rack,U space"</formula1>
      <formula2>0</formula2>
    </dataValidation>
    <dataValidation type="list" allowBlank="1" showInputMessage="1" showErrorMessage="1" promptTitle="Rack, U Space, Cage" sqref="IF80:IF86 SB80:SB86 ABX80:ABX86 ALT80:ALT86 AVP80:AVP86 BFL80:BFL86 BPH80:BPH86 BZD80:BZD86 CIZ80:CIZ86 CSV80:CSV86 DCR80:DCR86 DMN80:DMN86 DWJ80:DWJ86 EGF80:EGF86 EQB80:EQB86 EZX80:EZX86 FJT80:FJT86 FTP80:FTP86 GDL80:GDL86 GNH80:GNH86 GXD80:GXD86 HGZ80:HGZ86 HQV80:HQV86 IAR80:IAR86 IKN80:IKN86 IUJ80:IUJ86 JEF80:JEF86 JOB80:JOB86 JXX80:JXX86 KHT80:KHT86 KRP80:KRP86 LBL80:LBL86 LLH80:LLH86 LVD80:LVD86 MEZ80:MEZ86 MOV80:MOV86 MYR80:MYR86 NIN80:NIN86 NSJ80:NSJ86 OCF80:OCF86 OMB80:OMB86 OVX80:OVX86 PFT80:PFT86 PPP80:PPP86 PZL80:PZL86 QJH80:QJH86 QTD80:QTD86 RCZ80:RCZ86 RMV80:RMV86 RWR80:RWR86 SGN80:SGN86 SQJ80:SQJ86 TAF80:TAF86 TKB80:TKB86 TTX80:TTX86 UDT80:UDT86 UNP80:UNP86 UXL80:UXL86 VHH80:VHH86 VRD80:VRD86 WAZ80:WAZ86 WKV80:WKV86 WUR80:WUR86 H2:H88" xr:uid="{00000000-0002-0000-0300-000003000000}">
      <formula1>"Caged,Uncaged"</formula1>
      <formula2>0</formula2>
    </dataValidation>
    <dataValidation type="list" allowBlank="1" showInputMessage="1" showErrorMessage="1" sqref="IO80:IO86 SK80:SK86 ACG80:ACG86 AMC80:AMC86 AVY80:AVY86 BFU80:BFU86 BPQ80:BPQ86 BZM80:BZM86 CJI80:CJI86 CTE80:CTE86 DDA80:DDA86 DMW80:DMW86 DWS80:DWS86 EGO80:EGO86 EQK80:EQK86 FAG80:FAG86 FKC80:FKC86 FTY80:FTY86 GDU80:GDU86 GNQ80:GNQ86 GXM80:GXM86 HHI80:HHI86 HRE80:HRE86 IBA80:IBA86 IKW80:IKW86 IUS80:IUS86 JEO80:JEO86 JOK80:JOK86 JYG80:JYG86 KIC80:KIC86 KRY80:KRY86 LBU80:LBU86 LLQ80:LLQ86 LVM80:LVM86 MFI80:MFI86 MPE80:MPE86 MZA80:MZA86 NIW80:NIW86 NSS80:NSS86 OCO80:OCO86 OMK80:OMK86 OWG80:OWG86 PGC80:PGC86 PPY80:PPY86 PZU80:PZU86 QJQ80:QJQ86 QTM80:QTM86 RDI80:RDI86 RNE80:RNE86 RXA80:RXA86 SGW80:SGW86 SQS80:SQS86 TAO80:TAO86 TKK80:TKK86 TUG80:TUG86 UEC80:UEC86 UNY80:UNY86 UXU80:UXU86 VHQ80:VHQ86 VRM80:VRM86 WBI80:WBI86 WLE80:WLE86 WVA80:WVA86 Q78:Q87" xr:uid="{00000000-0002-0000-0300-000004000000}">
      <formula1>"KW,KVA"</formula1>
      <formula2>0</formula2>
    </dataValidation>
    <dataValidation type="list" allowBlank="1" showInputMessage="1" showErrorMessage="1" sqref="AD79:AD86 JA80:JA86 SW80:SW86 ACS80:ACS86 AMO80:AMO86 AWK80:AWK86 BGG80:BGG86 BQC80:BQC86 BZY80:BZY86 CJU80:CJU86 CTQ80:CTQ86 DDM80:DDM86 DNI80:DNI86 DXE80:DXE86 EHA80:EHA86 EQW80:EQW86 FAS80:FAS86 FKO80:FKO86 FUK80:FUK86 GEG80:GEG86 GOC80:GOC86 GXY80:GXY86 HHU80:HHU86 HRQ80:HRQ86 IBM80:IBM86 ILI80:ILI86 IVE80:IVE86 JFA80:JFA86 JOW80:JOW86 JYS80:JYS86 KIO80:KIO86 KSK80:KSK86 LCG80:LCG86 LMC80:LMC86 LVY80:LVY86 MFU80:MFU86 MPQ80:MPQ86 MZM80:MZM86 NJI80:NJI86 NTE80:NTE86 ODA80:ODA86 OMW80:OMW86 OWS80:OWS86 PGO80:PGO86 PQK80:PQK86 QAG80:QAG86 QKC80:QKC86 QTY80:QTY86 RDU80:RDU86 RNQ80:RNQ86 RXM80:RXM86 SHI80:SHI86 SRE80:SRE86 TBA80:TBA86 TKW80:TKW86 TUS80:TUS86 UEO80:UEO86 UOK80:UOK86 UYG80:UYG86 VIC80:VIC86 VRY80:VRY86 WBU80:WBU86 WLQ80:WLQ86 WVM80:WVM86 AD2:AD37" xr:uid="{00000000-0002-0000-0300-000005000000}">
      <formula1>"Fixed,Variable"</formula1>
      <formula2>0</formula2>
    </dataValidation>
    <dataValidation type="list" allowBlank="1" showInputMessage="1" showErrorMessage="1" sqref="JD80:JD86 SZ80:SZ86 ACV80:ACV86 AMR80:AMR86 AWN80:AWN86 BGJ80:BGJ86 BQF80:BQF86 CAB80:CAB86 CJX80:CJX86 CTT80:CTT86 DDP80:DDP86 DNL80:DNL86 DXH80:DXH86 EHD80:EHD86 EQZ80:EQZ86 FAV80:FAV86 FKR80:FKR86 FUN80:FUN86 GEJ80:GEJ86 GOF80:GOF86 GYB80:GYB86 HHX80:HHX86 HRT80:HRT86 IBP80:IBP86 ILL80:ILL86 IVH80:IVH86 JFD80:JFD86 JOZ80:JOZ86 JYV80:JYV86 KIR80:KIR86 KSN80:KSN86 LCJ80:LCJ86 LMF80:LMF86 LWB80:LWB86 MFX80:MFX86 MPT80:MPT86 MZP80:MZP86 NJL80:NJL86 NTH80:NTH86 ODD80:ODD86 OMZ80:OMZ86 OWV80:OWV86 PGR80:PGR86 PQN80:PQN86 QAJ80:QAJ86 QKF80:QKF86 QUB80:QUB86 RDX80:RDX86 RNT80:RNT86 RXP80:RXP86 SHL80:SHL86 SRH80:SRH86 TBD80:TBD86 TKZ80:TKZ86 TUV80:TUV86 UER80:UER86 UON80:UON86 UYJ80:UYJ86 VIF80:VIF86 VSB80:VSB86 WBX80:WBX86 WLT80:WLT86 WVP80:WVP86 AG2:AG91" xr:uid="{00000000-0002-0000-0300-000006000000}">
      <formula1>"No of Seats,Space"</formula1>
      <formula2>0</formula2>
    </dataValidation>
    <dataValidation type="list" allowBlank="1" showInputMessage="1" showErrorMessage="1" sqref="AU80:AU86 JR80:JR86 TN80:TN86 ADJ80:ADJ86 ANF80:ANF86 AXB80:AXB86 BGX80:BGX86 BQT80:BQT86 CAP80:CAP86 CKL80:CKL86 CUH80:CUH86 DED80:DED86 DNZ80:DNZ86 DXV80:DXV86 EHR80:EHR86 ERN80:ERN86 FBJ80:FBJ86 FLF80:FLF86 FVB80:FVB86 GEX80:GEX86 GOT80:GOT86 GYP80:GYP86 HIL80:HIL86 HSH80:HSH86 ICD80:ICD86 ILZ80:ILZ86 IVV80:IVV86 JFR80:JFR86 JPN80:JPN86 JZJ80:JZJ86 KJF80:KJF86 KTB80:KTB86 LCX80:LCX86 LMT80:LMT86 LWP80:LWP86 MGL80:MGL86 MQH80:MQH86 NAD80:NAD86 NJZ80:NJZ86 NTV80:NTV86 ODR80:ODR86 ONN80:ONN86 OXJ80:OXJ86 PHF80:PHF86 PRB80:PRB86 QAX80:QAX86 QKT80:QKT86 QUP80:QUP86 REL80:REL86 ROH80:ROH86 RYD80:RYD86 SHZ80:SHZ86 SRV80:SRV86 TBR80:TBR86 TLN80:TLN86 TVJ80:TVJ86 UFF80:UFF86 UPB80:UPB86 UYX80:UYX86 VIT80:VIT86 VSP80:VSP86 WCL80:WCL86 WMH80:WMH86 WWD80:WWD86" xr:uid="{00000000-0002-0000-0300-000007000000}">
      <formula1>"Qtrly Adv,Qtry Ars,Monthly Adv,Monthly Ars"</formula1>
      <formula2>0</formula2>
    </dataValidation>
    <dataValidation type="list" operator="equal" allowBlank="1" showInputMessage="1" showErrorMessage="1" sqref="Q88:Q91 WVA2:WVA36 WLE2:WLE36 WBI2:WBI36 VRM2:VRM36 VHQ2:VHQ36 UXU2:UXU36 UNY2:UNY36 UEC2:UEC36 TUG2:TUG36 TKK2:TKK36 TAO2:TAO36 SQS2:SQS36 SGW2:SGW36 RXA2:RXA36 RNE2:RNE36 RDI2:RDI36 QTM2:QTM36 QJQ2:QJQ36 PZU2:PZU36 PPY2:PPY36 PGC2:PGC36 OWG2:OWG36 OMK2:OMK36 OCO2:OCO36 NSS2:NSS36 NIW2:NIW36 MZA2:MZA36 MPE2:MPE36 MFI2:MFI36 LVM2:LVM36 LLQ2:LLQ36 LBU2:LBU36 KRY2:KRY36 KIC2:KIC36 JYG2:JYG36 JOK2:JOK36 JEO2:JEO36 IUS2:IUS36 IKW2:IKW36 IBA2:IBA36 HRE2:HRE36 HHI2:HHI36 GXM2:GXM36 GNQ2:GNQ36 GDU2:GDU36 FTY2:FTY36 FKC2:FKC36 FAG2:FAG36 EQK2:EQK36 EGO2:EGO36 DWS2:DWS36 DMW2:DMW36 DDA2:DDA36 CTE2:CTE36 CJI2:CJI36 BZM2:BZM36 BPQ2:BPQ36 BFU2:BFU36 AVY2:AVY36 AMC2:AMC36 ACG2:ACG36 SK2:SK36 IO2:IO36 Q2:Q77" xr:uid="{00000000-0002-0000-0300-00000A000000}">
      <formula1>"KW,KVA"</formula1>
      <formula2>0</formula2>
    </dataValidation>
    <dataValidation type="list" operator="equal" allowBlank="1" showInputMessage="1" showErrorMessage="1" sqref="JA2:JA36 WVM2:WVM36 WLQ2:WLQ36 WBU2:WBU36 VRY2:VRY36 VIC2:VIC36 UYG2:UYG36 UOK2:UOK36 UEO2:UEO36 TUS2:TUS36 TKW2:TKW36 TBA2:TBA36 SRE2:SRE36 SHI2:SHI36 RXM2:RXM36 RNQ2:RNQ36 RDU2:RDU36 QTY2:QTY36 QKC2:QKC36 QAG2:QAG36 PQK2:PQK36 PGO2:PGO36 OWS2:OWS36 OMW2:OMW36 ODA2:ODA36 NTE2:NTE36 NJI2:NJI36 MZM2:MZM36 MPQ2:MPQ36 MFU2:MFU36 LVY2:LVY36 LMC2:LMC36 LCG2:LCG36 KSK2:KSK36 KIO2:KIO36 JYS2:JYS36 JOW2:JOW36 JFA2:JFA36 IVE2:IVE36 ILI2:ILI36 IBM2:IBM36 HRQ2:HRQ36 HHU2:HHU36 GXY2:GXY36 GOC2:GOC36 GEG2:GEG36 FUK2:FUK36 FKO2:FKO36 FAS2:FAS36 EQW2:EQW36 EHA2:EHA36 DXE2:DXE36 DNI2:DNI36 DDM2:DDM36 CTQ2:CTQ36 CJU2:CJU36 BZY2:BZY36 BQC2:BQC36 BGG2:BGG36 AWK2:AWK36 AMO2:AMO36 ACS2:ACS36 SW2:SW36" xr:uid="{00000000-0002-0000-0300-000008000000}">
      <formula1>"Fixed,Variable"</formula1>
      <formula2>0</formula2>
    </dataValidation>
    <dataValidation type="list" operator="equal" allowBlank="1" showInputMessage="1" showErrorMessage="1" sqref="AU2:AU36 WWD2:WWD36 WMH2:WMH36 WCL2:WCL36 VSP2:VSP36 VIT2:VIT36 UYX2:UYX36 UPB2:UPB36 UFF2:UFF36 TVJ2:TVJ36 TLN2:TLN36 TBR2:TBR36 SRV2:SRV36 SHZ2:SHZ36 RYD2:RYD36 ROH2:ROH36 REL2:REL36 QUP2:QUP36 QKT2:QKT36 QAX2:QAX36 PRB2:PRB36 PHF2:PHF36 OXJ2:OXJ36 ONN2:ONN36 ODR2:ODR36 NTV2:NTV36 NJZ2:NJZ36 NAD2:NAD36 MQH2:MQH36 MGL2:MGL36 LWP2:LWP36 LMT2:LMT36 LCX2:LCX36 KTB2:KTB36 KJF2:KJF36 JZJ2:JZJ36 JPN2:JPN36 JFR2:JFR36 IVV2:IVV36 ILZ2:ILZ36 ICD2:ICD36 HSH2:HSH36 HIL2:HIL36 GYP2:GYP36 GOT2:GOT36 GEX2:GEX36 FVB2:FVB36 FLF2:FLF36 FBJ2:FBJ36 ERN2:ERN36 EHR2:EHR36 DXV2:DXV36 DNZ2:DNZ36 DED2:DED36 CUH2:CUH36 CKL2:CKL36 CAP2:CAP36 BQT2:BQT36 BGX2:BGX36 AXB2:AXB36 ANF2:ANF36 ADJ2:ADJ36 TN2:TN36 JR2:JR36" xr:uid="{00000000-0002-0000-0300-000009000000}">
      <formula1>"Qtrly Adv,Qtry Ars,Monthly Adv,Monthly Ars"</formula1>
      <formula2>0</formula2>
    </dataValidation>
    <dataValidation type="list" operator="equal" allowBlank="1" showInputMessage="1" showErrorMessage="1" sqref="JD2:JD36 WVP2:WVP36 WLT2:WLT36 WBX2:WBX36 VSB2:VSB36 VIF2:VIF36 UYJ2:UYJ36 UON2:UON36 UER2:UER36 TUV2:TUV36 TKZ2:TKZ36 TBD2:TBD36 SRH2:SRH36 SHL2:SHL36 RXP2:RXP36 RNT2:RNT36 RDX2:RDX36 QUB2:QUB36 QKF2:QKF36 QAJ2:QAJ36 PQN2:PQN36 PGR2:PGR36 OWV2:OWV36 OMZ2:OMZ36 ODD2:ODD36 NTH2:NTH36 NJL2:NJL36 MZP2:MZP36 MPT2:MPT36 MFX2:MFX36 LWB2:LWB36 LMF2:LMF36 LCJ2:LCJ36 KSN2:KSN36 KIR2:KIR36 JYV2:JYV36 JOZ2:JOZ36 JFD2:JFD36 IVH2:IVH36 ILL2:ILL36 IBP2:IBP36 HRT2:HRT36 HHX2:HHX36 GYB2:GYB36 GOF2:GOF36 GEJ2:GEJ36 FUN2:FUN36 FKR2:FKR36 FAV2:FAV36 EQZ2:EQZ36 EHD2:EHD36 DXH2:DXH36 DNL2:DNL36 DDP2:DDP36 CTT2:CTT36 CJX2:CJX36 CAB2:CAB36 BQF2:BQF36 BGJ2:BGJ36 AWN2:AWN36 AMR2:AMR36 ACV2:ACV36 SZ2:SZ36" xr:uid="{00000000-0002-0000-0300-00000B000000}">
      <formula1>"No of Seats,Space"</formula1>
      <formula2>0</formula2>
    </dataValidation>
    <dataValidation type="list" operator="equal" allowBlank="1" showInputMessage="1" showErrorMessage="1" promptTitle="Rack, U Space, Cage" sqref="IE2:IE36 WUQ2:WUQ36 WKU2:WKU36 WAY2:WAY36 VRC2:VRC36 VHG2:VHG36 UXK2:UXK36 UNO2:UNO36 UDS2:UDS36 TTW2:TTW36 TKA2:TKA36 TAE2:TAE36 SQI2:SQI36 SGM2:SGM36 RWQ2:RWQ36 RMU2:RMU36 RCY2:RCY36 QTC2:QTC36 QJG2:QJG36 PZK2:PZK36 PPO2:PPO36 PFS2:PFS36 OVW2:OVW36 OMA2:OMA36 OCE2:OCE36 NSI2:NSI36 NIM2:NIM36 MYQ2:MYQ36 MOU2:MOU36 MEY2:MEY36 LVC2:LVC36 LLG2:LLG36 LBK2:LBK36 KRO2:KRO36 KHS2:KHS36 JXW2:JXW36 JOA2:JOA36 JEE2:JEE36 IUI2:IUI36 IKM2:IKM36 IAQ2:IAQ36 HQU2:HQU36 HGY2:HGY36 GXC2:GXC36 GNG2:GNG36 GDK2:GDK36 FTO2:FTO36 FJS2:FJS36 EZW2:EZW36 EQA2:EQA36 EGE2:EGE36 DWI2:DWI36 DMM2:DMM36 DCQ2:DCQ36 CSU2:CSU36 CIY2:CIY36 BZC2:BZC36 BPG2:BPG36 BFK2:BFK36 AVO2:AVO36 ALS2:ALS36 ABW2:ABW36 SA2:SA36" xr:uid="{00000000-0002-0000-0300-00000C000000}">
      <formula1>"Space,Rack,U space"</formula1>
      <formula2>0</formula2>
    </dataValidation>
    <dataValidation type="list" operator="equal" allowBlank="1" showInputMessage="1" showErrorMessage="1" sqref="IC2:IC36 WUO2:WUO36 WKS2:WKS36 WAW2:WAW36 VRA2:VRA36 VHE2:VHE36 UXI2:UXI36 UNM2:UNM36 UDQ2:UDQ36 TTU2:TTU36 TJY2:TJY36 TAC2:TAC36 SQG2:SQG36 SGK2:SGK36 RWO2:RWO36 RMS2:RMS36 RCW2:RCW36 QTA2:QTA36 QJE2:QJE36 PZI2:PZI36 PPM2:PPM36 PFQ2:PFQ36 OVU2:OVU36 OLY2:OLY36 OCC2:OCC36 NSG2:NSG36 NIK2:NIK36 MYO2:MYO36 MOS2:MOS36 MEW2:MEW36 LVA2:LVA36 LLE2:LLE36 LBI2:LBI36 KRM2:KRM36 KHQ2:KHQ36 JXU2:JXU36 JNY2:JNY36 JEC2:JEC36 IUG2:IUG36 IKK2:IKK36 IAO2:IAO36 HQS2:HQS36 HGW2:HGW36 GXA2:GXA36 GNE2:GNE36 GDI2:GDI36 FTM2:FTM36 FJQ2:FJQ36 EZU2:EZU36 EPY2:EPY36 EGC2:EGC36 DWG2:DWG36 DMK2:DMK36 DCO2:DCO36 CSS2:CSS36 CIW2:CIW36 BZA2:BZA36 BPE2:BPE36 BFI2:BFI36 AVM2:AVM36 ALQ2:ALQ36 ABU2:ABU36 RY2:RY36" xr:uid="{00000000-0002-0000-0300-00000D000000}">
      <formula1>"Rated,Subscribed"</formula1>
      <formula2>0</formula2>
    </dataValidation>
    <dataValidation type="list" operator="equal" allowBlank="1" showInputMessage="1" showErrorMessage="1" sqref="ID2:ID36 WUP2:WUP36 WKT2:WKT36 WAX2:WAX36 VRB2:VRB36 VHF2:VHF36 UXJ2:UXJ36 UNN2:UNN36 UDR2:UDR36 TTV2:TTV36 TJZ2:TJZ36 TAD2:TAD36 SQH2:SQH36 SGL2:SGL36 RWP2:RWP36 RMT2:RMT36 RCX2:RCX36 QTB2:QTB36 QJF2:QJF36 PZJ2:PZJ36 PPN2:PPN36 PFR2:PFR36 OVV2:OVV36 OLZ2:OLZ36 OCD2:OCD36 NSH2:NSH36 NIL2:NIL36 MYP2:MYP36 MOT2:MOT36 MEX2:MEX36 LVB2:LVB36 LLF2:LLF36 LBJ2:LBJ36 KRN2:KRN36 KHR2:KHR36 JXV2:JXV36 JNZ2:JNZ36 JED2:JED36 IUH2:IUH36 IKL2:IKL36 IAP2:IAP36 HQT2:HQT36 HGX2:HGX36 GXB2:GXB36 GNF2:GNF36 GDJ2:GDJ36 FTN2:FTN36 FJR2:FJR36 EZV2:EZV36 EPZ2:EPZ36 EGD2:EGD36 DWH2:DWH36 DML2:DML36 DCP2:DCP36 CST2:CST36 CIX2:CIX36 BZB2:BZB36 BPF2:BPF36 BFJ2:BFJ36 AVN2:AVN36 ALR2:ALR36 ABV2:ABV36 RZ2:RZ36" xr:uid="{00000000-0002-0000-0300-00000E000000}">
      <formula1>"Bundled,Metered"</formula1>
      <formula2>0</formula2>
    </dataValidation>
    <dataValidation type="list" operator="equal" allowBlank="1" showInputMessage="1" showErrorMessage="1" promptTitle="Rack, U Space, Cage" sqref="IF2:IF36 WUR2:WUR36 WKV2:WKV36 WAZ2:WAZ36 VRD2:VRD36 VHH2:VHH36 UXL2:UXL36 UNP2:UNP36 UDT2:UDT36 TTX2:TTX36 TKB2:TKB36 TAF2:TAF36 SQJ2:SQJ36 SGN2:SGN36 RWR2:RWR36 RMV2:RMV36 RCZ2:RCZ36 QTD2:QTD36 QJH2:QJH36 PZL2:PZL36 PPP2:PPP36 PFT2:PFT36 OVX2:OVX36 OMB2:OMB36 OCF2:OCF36 NSJ2:NSJ36 NIN2:NIN36 MYR2:MYR36 MOV2:MOV36 MEZ2:MEZ36 LVD2:LVD36 LLH2:LLH36 LBL2:LBL36 KRP2:KRP36 KHT2:KHT36 JXX2:JXX36 JOB2:JOB36 JEF2:JEF36 IUJ2:IUJ36 IKN2:IKN36 IAR2:IAR36 HQV2:HQV36 HGZ2:HGZ36 GXD2:GXD36 GNH2:GNH36 GDL2:GDL36 FTP2:FTP36 FJT2:FJT36 EZX2:EZX36 EQB2:EQB36 EGF2:EGF36 DWJ2:DWJ36 DMN2:DMN36 DCR2:DCR36 CSV2:CSV36 CIZ2:CIZ36 BZD2:BZD36 BPH2:BPH36 BFL2:BFL36 AVP2:AVP36 ALT2:ALT36 ABX2:ABX36 SB2:SB36" xr:uid="{00000000-0002-0000-0300-00000F000000}">
      <formula1>"Caged,Uncaged"</formula1>
      <formula2>0</formula2>
    </dataValidation>
  </dataValidations>
  <pageMargins left="0.78749999999999998" right="0.78749999999999998" top="1.0249999999999999" bottom="1.0249999999999999" header="0.78749999999999998" footer="0.78749999999999998"/>
  <pageSetup paperSize="9" orientation="portrait" horizontalDpi="300" verticalDpi="300"/>
  <headerFooter>
    <oddHeader>&amp;C&amp;"Arial,Regular"&amp;Kffffff&amp;A</oddHeader>
    <oddFooter>&amp;C&amp;"Arial,Regular"&amp;KffffffPage &amp;P</oddFoot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FD21"/>
  <sheetViews>
    <sheetView showGridLines="0" topLeftCell="A6" zoomScale="85" zoomScaleNormal="85" workbookViewId="0">
      <selection activeCell="C26" sqref="C26"/>
    </sheetView>
  </sheetViews>
  <sheetFormatPr defaultColWidth="20.140625" defaultRowHeight="12.75" customHeight="1"/>
  <cols>
    <col min="1" max="1" width="20.140625" style="96"/>
    <col min="2" max="2" width="16.5703125" style="96" customWidth="1"/>
    <col min="3" max="3" width="47.5703125" style="96" customWidth="1"/>
    <col min="4" max="4" width="22.28515625" style="96" customWidth="1"/>
    <col min="5" max="5" width="25.7109375" style="96" customWidth="1"/>
    <col min="6" max="6" width="21.140625" style="96" customWidth="1"/>
    <col min="7" max="7" width="20" style="96" customWidth="1"/>
    <col min="8" max="8" width="18.140625" style="96" customWidth="1"/>
    <col min="9" max="9" width="9.28515625" style="96" customWidth="1"/>
    <col min="10" max="10" width="15.28515625" style="96" customWidth="1"/>
    <col min="11" max="11" width="10.140625" style="96" customWidth="1"/>
    <col min="12" max="12" width="18" style="97" customWidth="1"/>
    <col min="13" max="13" width="9.85546875" style="98" customWidth="1"/>
    <col min="14" max="14" width="23.5703125" style="98" customWidth="1"/>
    <col min="15" max="15" width="20" style="98" customWidth="1"/>
    <col min="16" max="16" width="20.42578125" style="98" customWidth="1"/>
    <col min="17" max="17" width="8.7109375" style="98" customWidth="1"/>
    <col min="18" max="18" width="24" style="99" customWidth="1"/>
    <col min="19" max="19" width="17.28515625" style="96" customWidth="1"/>
    <col min="20" max="20" width="21.42578125" style="97" customWidth="1"/>
    <col min="21" max="21" width="16.5703125" style="96" customWidth="1"/>
    <col min="22" max="22" width="23.7109375" style="96" customWidth="1"/>
    <col min="23" max="24" width="23.42578125" style="96" customWidth="1"/>
    <col min="25" max="25" width="14.85546875" style="96" customWidth="1"/>
    <col min="26" max="26" width="19.5703125" style="96" customWidth="1"/>
    <col min="27" max="27" width="20.7109375" style="96" customWidth="1"/>
    <col min="28" max="28" width="15" style="96" customWidth="1"/>
    <col min="29" max="29" width="10.42578125" style="96" customWidth="1"/>
    <col min="30" max="30" width="15.85546875" style="96" customWidth="1"/>
    <col min="31" max="31" width="20.42578125" style="96" customWidth="1"/>
    <col min="32" max="32" width="17.140625" style="100" customWidth="1"/>
    <col min="33" max="33" width="20.85546875" style="100" customWidth="1"/>
    <col min="34" max="34" width="9.140625" style="100" customWidth="1"/>
    <col min="35" max="35" width="15.28515625" style="96" customWidth="1"/>
    <col min="36" max="36" width="10.140625" style="96" customWidth="1"/>
    <col min="37" max="37" width="17.28515625" style="96" customWidth="1"/>
    <col min="38" max="38" width="9.85546875" style="96" customWidth="1"/>
    <col min="39" max="39" width="24.7109375" style="96" customWidth="1"/>
    <col min="40" max="40" width="15.140625" style="96" customWidth="1"/>
    <col min="41" max="41" width="21.5703125" style="96" customWidth="1"/>
    <col min="42" max="42" width="18.42578125" style="96" customWidth="1"/>
    <col min="43" max="43" width="20.42578125" style="96" customWidth="1"/>
    <col min="44" max="44" width="14" style="96" customWidth="1"/>
    <col min="45" max="45" width="15.85546875" style="96" customWidth="1"/>
    <col min="46" max="46" width="14.42578125" style="96" customWidth="1"/>
    <col min="47" max="47" width="17" style="96" customWidth="1"/>
    <col min="48" max="48" width="17.42578125" style="101" customWidth="1"/>
    <col min="49" max="49" width="18" style="101" customWidth="1"/>
    <col min="50" max="50" width="21.7109375" style="101" customWidth="1"/>
    <col min="51" max="51" width="18.7109375" style="101" customWidth="1"/>
    <col min="52" max="52" width="32.140625" style="96" customWidth="1"/>
    <col min="53" max="53" width="20.140625" style="96"/>
    <col min="54" max="54" width="26.42578125" style="96" customWidth="1"/>
    <col min="55" max="16150" width="20.140625" style="96"/>
    <col min="16151" max="16384" width="12.7109375" customWidth="1"/>
  </cols>
  <sheetData>
    <row r="1" spans="1:54 16151:16384" ht="12.95">
      <c r="A1" s="120"/>
      <c r="B1" s="121"/>
      <c r="C1" s="121"/>
      <c r="D1" s="121"/>
      <c r="E1" s="121"/>
      <c r="F1" s="121"/>
      <c r="G1" s="122"/>
      <c r="H1" s="122"/>
      <c r="I1" s="122"/>
      <c r="J1" s="122"/>
      <c r="K1" s="121"/>
      <c r="L1" s="123"/>
      <c r="M1" s="124"/>
      <c r="N1" s="124"/>
      <c r="O1" s="124"/>
      <c r="P1" s="124"/>
      <c r="Q1" s="124"/>
      <c r="R1" s="124"/>
      <c r="S1" s="121"/>
      <c r="T1" s="125" t="s">
        <v>230</v>
      </c>
      <c r="U1" s="126"/>
      <c r="V1" s="126">
        <v>0.5</v>
      </c>
      <c r="W1" s="126" t="s">
        <v>231</v>
      </c>
      <c r="X1" s="126"/>
      <c r="Y1" s="126"/>
      <c r="Z1" s="127" t="e">
        <f>#REF!</f>
        <v>#REF!</v>
      </c>
      <c r="AA1" s="126"/>
      <c r="AB1" s="126" t="s">
        <v>232</v>
      </c>
      <c r="AC1" s="126" t="e">
        <f>#REF!</f>
        <v>#REF!</v>
      </c>
      <c r="AD1" s="126" t="s">
        <v>233</v>
      </c>
      <c r="AE1" s="128" t="e">
        <f>#REF!</f>
        <v>#REF!</v>
      </c>
      <c r="AF1" s="129" t="e">
        <f>+AC1*(AE1*(30.5*24-AH1)+AH1*20)</f>
        <v>#REF!</v>
      </c>
      <c r="AG1" s="129" t="s">
        <v>234</v>
      </c>
      <c r="AH1" s="129">
        <v>5</v>
      </c>
      <c r="AI1" s="126"/>
      <c r="AJ1" s="126"/>
      <c r="AK1" s="126"/>
      <c r="AL1" s="126"/>
      <c r="AM1" s="126"/>
      <c r="AN1" s="126"/>
      <c r="AO1" s="120"/>
      <c r="AP1" s="120"/>
      <c r="AQ1" s="120"/>
      <c r="AR1" s="120"/>
      <c r="AS1" s="120"/>
      <c r="AT1" s="120"/>
      <c r="AU1" s="120"/>
      <c r="AV1" s="120"/>
      <c r="AW1" s="120"/>
      <c r="AX1" s="120"/>
      <c r="AY1" s="120"/>
      <c r="AZ1" s="120"/>
      <c r="BA1" s="120"/>
      <c r="BB1" s="120"/>
    </row>
    <row r="2" spans="1:54 16151:16384" s="132" customFormat="1" ht="12" customHeight="1">
      <c r="A2" s="243"/>
      <c r="B2" s="130"/>
      <c r="C2" s="130"/>
      <c r="D2" s="130"/>
      <c r="E2" s="253" t="s">
        <v>235</v>
      </c>
      <c r="F2" s="253"/>
      <c r="G2" s="254" t="s">
        <v>140</v>
      </c>
      <c r="H2" s="254"/>
      <c r="I2" s="254"/>
      <c r="J2" s="254"/>
      <c r="K2" s="254"/>
      <c r="L2" s="254"/>
      <c r="M2" s="254"/>
      <c r="N2" s="254"/>
      <c r="O2" s="254"/>
      <c r="P2" s="255" t="s">
        <v>236</v>
      </c>
      <c r="Q2" s="255"/>
      <c r="R2" s="255"/>
      <c r="S2" s="255"/>
      <c r="T2" s="255"/>
      <c r="U2" s="255"/>
      <c r="V2" s="255"/>
      <c r="W2" s="255"/>
      <c r="X2" s="255"/>
      <c r="Y2" s="255"/>
      <c r="Z2" s="255"/>
      <c r="AA2" s="255"/>
      <c r="AB2" s="255" t="s">
        <v>237</v>
      </c>
      <c r="AC2" s="255"/>
      <c r="AD2" s="255"/>
      <c r="AE2" s="255"/>
      <c r="AF2" s="255"/>
      <c r="AG2" s="255" t="s">
        <v>108</v>
      </c>
      <c r="AH2" s="255"/>
      <c r="AI2" s="255"/>
      <c r="AJ2" s="255"/>
      <c r="AK2" s="255"/>
      <c r="AL2" s="255"/>
      <c r="AM2" s="255"/>
      <c r="AN2" s="255"/>
      <c r="AO2" s="252" t="s">
        <v>238</v>
      </c>
      <c r="AP2" s="252"/>
      <c r="AQ2" s="252"/>
      <c r="AR2" s="252"/>
      <c r="AS2" s="252"/>
      <c r="AT2" s="252"/>
      <c r="AU2" s="252"/>
      <c r="AV2" s="252" t="s">
        <v>239</v>
      </c>
      <c r="AW2" s="252"/>
      <c r="AX2" s="252"/>
      <c r="AY2" s="252"/>
      <c r="AZ2" s="243"/>
      <c r="BA2" s="243"/>
      <c r="BB2" s="131"/>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c r="XFD2"/>
    </row>
    <row r="3" spans="1:54 16151:16384" s="132" customFormat="1" ht="26.1">
      <c r="A3" s="243" t="s">
        <v>72</v>
      </c>
      <c r="B3" s="130" t="s">
        <v>73</v>
      </c>
      <c r="C3" s="130" t="s">
        <v>74</v>
      </c>
      <c r="D3" s="130" t="s">
        <v>75</v>
      </c>
      <c r="E3" s="244" t="s">
        <v>76</v>
      </c>
      <c r="F3" s="244" t="s">
        <v>77</v>
      </c>
      <c r="G3" s="244" t="s">
        <v>78</v>
      </c>
      <c r="H3" s="244" t="s">
        <v>79</v>
      </c>
      <c r="I3" s="133" t="s">
        <v>80</v>
      </c>
      <c r="J3" s="244" t="s">
        <v>81</v>
      </c>
      <c r="K3" s="130" t="s">
        <v>82</v>
      </c>
      <c r="L3" s="134" t="s">
        <v>83</v>
      </c>
      <c r="M3" s="244" t="s">
        <v>84</v>
      </c>
      <c r="N3" s="244" t="s">
        <v>85</v>
      </c>
      <c r="O3" s="244" t="s">
        <v>86</v>
      </c>
      <c r="P3" s="135" t="s">
        <v>87</v>
      </c>
      <c r="Q3" s="133" t="s">
        <v>80</v>
      </c>
      <c r="R3" s="133" t="s">
        <v>88</v>
      </c>
      <c r="S3" s="133" t="s">
        <v>89</v>
      </c>
      <c r="T3" s="136" t="s">
        <v>90</v>
      </c>
      <c r="U3" s="244" t="s">
        <v>91</v>
      </c>
      <c r="V3" s="133" t="s">
        <v>92</v>
      </c>
      <c r="W3" s="133" t="s">
        <v>93</v>
      </c>
      <c r="X3" s="133" t="s">
        <v>94</v>
      </c>
      <c r="Y3" s="133" t="s">
        <v>95</v>
      </c>
      <c r="Z3" s="133" t="s">
        <v>96</v>
      </c>
      <c r="AA3" s="133" t="s">
        <v>97</v>
      </c>
      <c r="AB3" s="133" t="s">
        <v>98</v>
      </c>
      <c r="AC3" s="243" t="s">
        <v>99</v>
      </c>
      <c r="AD3" s="137" t="s">
        <v>100</v>
      </c>
      <c r="AE3" s="137" t="s">
        <v>101</v>
      </c>
      <c r="AF3" s="137" t="s">
        <v>102</v>
      </c>
      <c r="AG3" s="137" t="s">
        <v>87</v>
      </c>
      <c r="AH3" s="137" t="s">
        <v>80</v>
      </c>
      <c r="AI3" s="137" t="s">
        <v>81</v>
      </c>
      <c r="AJ3" s="137" t="s">
        <v>82</v>
      </c>
      <c r="AK3" s="137" t="s">
        <v>103</v>
      </c>
      <c r="AL3" s="137" t="s">
        <v>84</v>
      </c>
      <c r="AM3" s="137" t="s">
        <v>91</v>
      </c>
      <c r="AN3" s="137" t="s">
        <v>104</v>
      </c>
      <c r="AO3" s="137" t="s">
        <v>105</v>
      </c>
      <c r="AP3" s="137" t="s">
        <v>106</v>
      </c>
      <c r="AQ3" s="137" t="s">
        <v>107</v>
      </c>
      <c r="AR3" s="137" t="s">
        <v>108</v>
      </c>
      <c r="AS3" s="137" t="s">
        <v>109</v>
      </c>
      <c r="AT3" s="137" t="s">
        <v>110</v>
      </c>
      <c r="AU3" s="137" t="s">
        <v>111</v>
      </c>
      <c r="AV3" s="137" t="s">
        <v>112</v>
      </c>
      <c r="AW3" s="137" t="s">
        <v>113</v>
      </c>
      <c r="AX3" s="137" t="s">
        <v>114</v>
      </c>
      <c r="AY3" s="137" t="s">
        <v>115</v>
      </c>
      <c r="AZ3" s="243" t="s">
        <v>116</v>
      </c>
      <c r="BA3" s="243" t="s">
        <v>117</v>
      </c>
      <c r="BB3" s="131"/>
      <c r="WWE3"/>
      <c r="WWF3"/>
      <c r="WWG3"/>
      <c r="WWH3"/>
      <c r="WWI3"/>
      <c r="WWJ3"/>
      <c r="WWK3"/>
      <c r="WWL3"/>
      <c r="WWM3"/>
      <c r="WWN3"/>
      <c r="WWO3"/>
      <c r="WWP3"/>
      <c r="WWQ3"/>
      <c r="WWR3"/>
      <c r="WWS3"/>
      <c r="WWT3"/>
      <c r="WWU3"/>
      <c r="WWV3"/>
      <c r="WWW3"/>
      <c r="WWX3"/>
      <c r="WWY3"/>
      <c r="WWZ3"/>
      <c r="WXA3"/>
      <c r="WXB3"/>
      <c r="WXC3"/>
      <c r="WXD3"/>
      <c r="WXE3"/>
      <c r="WXF3"/>
      <c r="WXG3"/>
      <c r="WXH3"/>
      <c r="WXI3"/>
      <c r="WXJ3"/>
      <c r="WXK3"/>
      <c r="WXL3"/>
      <c r="WXM3"/>
      <c r="WXN3"/>
      <c r="WXO3"/>
      <c r="WXP3"/>
      <c r="WXQ3"/>
      <c r="WXR3"/>
      <c r="WXS3"/>
      <c r="WXT3"/>
      <c r="WXU3"/>
      <c r="WXV3"/>
      <c r="WXW3"/>
      <c r="WXX3"/>
      <c r="WXY3"/>
      <c r="WXZ3"/>
      <c r="WYA3"/>
      <c r="WYB3"/>
      <c r="WYC3"/>
      <c r="WYD3"/>
      <c r="WYE3"/>
      <c r="WYF3"/>
      <c r="WYG3"/>
      <c r="WYH3"/>
      <c r="WYI3"/>
      <c r="WYJ3"/>
      <c r="WYK3"/>
      <c r="WYL3"/>
      <c r="WYM3"/>
      <c r="WYN3"/>
      <c r="WYO3"/>
      <c r="WYP3"/>
      <c r="WYQ3"/>
      <c r="WYR3"/>
      <c r="WYS3"/>
      <c r="WYT3"/>
      <c r="WYU3"/>
      <c r="WYV3"/>
      <c r="WYW3"/>
      <c r="WYX3"/>
      <c r="WYY3"/>
      <c r="WYZ3"/>
      <c r="WZA3"/>
      <c r="WZB3"/>
      <c r="WZC3"/>
      <c r="WZD3"/>
      <c r="WZE3"/>
      <c r="WZF3"/>
      <c r="WZG3"/>
      <c r="WZH3"/>
      <c r="WZI3"/>
      <c r="WZJ3"/>
      <c r="WZK3"/>
      <c r="WZL3"/>
      <c r="WZM3"/>
      <c r="WZN3"/>
      <c r="WZO3"/>
      <c r="WZP3"/>
      <c r="WZQ3"/>
      <c r="WZR3"/>
      <c r="WZS3"/>
      <c r="WZT3"/>
      <c r="WZU3"/>
      <c r="WZV3"/>
      <c r="WZW3"/>
      <c r="WZX3"/>
      <c r="WZY3"/>
      <c r="WZZ3"/>
      <c r="XAA3"/>
      <c r="XAB3"/>
      <c r="XAC3"/>
      <c r="XAD3"/>
      <c r="XAE3"/>
      <c r="XAF3"/>
      <c r="XAG3"/>
      <c r="XAH3"/>
      <c r="XAI3"/>
      <c r="XAJ3"/>
      <c r="XAK3"/>
      <c r="XAL3"/>
      <c r="XAM3"/>
      <c r="XAN3"/>
      <c r="XAO3"/>
      <c r="XAP3"/>
      <c r="XAQ3"/>
      <c r="XAR3"/>
      <c r="XAS3"/>
      <c r="XAT3"/>
      <c r="XAU3"/>
      <c r="XAV3"/>
      <c r="XAW3"/>
      <c r="XAX3"/>
      <c r="XAY3"/>
      <c r="XAZ3"/>
      <c r="XBA3"/>
      <c r="XBB3"/>
      <c r="XBC3"/>
      <c r="XBD3"/>
      <c r="XBE3"/>
      <c r="XBF3"/>
      <c r="XBG3"/>
      <c r="XBH3"/>
      <c r="XBI3"/>
      <c r="XBJ3"/>
      <c r="XBK3"/>
      <c r="XBL3"/>
      <c r="XBM3"/>
      <c r="XBN3"/>
      <c r="XBO3"/>
      <c r="XBP3"/>
      <c r="XBQ3"/>
      <c r="XBR3"/>
      <c r="XBS3"/>
      <c r="XBT3"/>
      <c r="XBU3"/>
      <c r="XBV3"/>
      <c r="XBW3"/>
      <c r="XBX3"/>
      <c r="XBY3"/>
      <c r="XBZ3"/>
      <c r="XCA3"/>
      <c r="XCB3"/>
      <c r="XCC3"/>
      <c r="XCD3"/>
      <c r="XCE3"/>
      <c r="XCF3"/>
      <c r="XCG3"/>
      <c r="XCH3"/>
      <c r="XCI3"/>
      <c r="XCJ3"/>
      <c r="XCK3"/>
      <c r="XCL3"/>
      <c r="XCM3"/>
      <c r="XCN3"/>
      <c r="XCO3"/>
      <c r="XCP3"/>
      <c r="XCQ3"/>
      <c r="XCR3"/>
      <c r="XCS3"/>
      <c r="XCT3"/>
      <c r="XCU3"/>
      <c r="XCV3"/>
      <c r="XCW3"/>
      <c r="XCX3"/>
      <c r="XCY3"/>
      <c r="XCZ3"/>
      <c r="XDA3"/>
      <c r="XDB3"/>
      <c r="XDC3"/>
      <c r="XDD3"/>
      <c r="XDE3"/>
      <c r="XDF3"/>
      <c r="XDG3"/>
      <c r="XDH3"/>
      <c r="XDI3"/>
      <c r="XDJ3"/>
      <c r="XDK3"/>
      <c r="XDL3"/>
      <c r="XDM3"/>
      <c r="XDN3"/>
      <c r="XDO3"/>
      <c r="XDP3"/>
      <c r="XDQ3"/>
      <c r="XDR3"/>
      <c r="XDS3"/>
      <c r="XDT3"/>
      <c r="XDU3"/>
      <c r="XDV3"/>
      <c r="XDW3"/>
      <c r="XDX3"/>
      <c r="XDY3"/>
      <c r="XDZ3"/>
      <c r="XEA3"/>
      <c r="XEB3"/>
      <c r="XEC3"/>
      <c r="XED3"/>
      <c r="XEE3"/>
      <c r="XEF3"/>
      <c r="XEG3"/>
      <c r="XEH3"/>
      <c r="XEI3"/>
      <c r="XEJ3"/>
      <c r="XEK3"/>
      <c r="XEL3"/>
      <c r="XEM3"/>
      <c r="XEN3"/>
      <c r="XEO3"/>
      <c r="XEP3"/>
      <c r="XEQ3"/>
      <c r="XER3"/>
      <c r="XES3"/>
      <c r="XET3"/>
      <c r="XEU3"/>
      <c r="XEV3"/>
      <c r="XEW3"/>
      <c r="XEX3"/>
      <c r="XEY3"/>
      <c r="XEZ3"/>
      <c r="XFA3"/>
      <c r="XFB3"/>
      <c r="XFC3"/>
      <c r="XFD3"/>
    </row>
    <row r="4" spans="1:54 16151:16384" s="132" customFormat="1" ht="14.1">
      <c r="A4" s="138" t="s">
        <v>29</v>
      </c>
      <c r="B4" s="138" t="s">
        <v>138</v>
      </c>
      <c r="C4" s="139" t="s">
        <v>240</v>
      </c>
      <c r="D4" s="140" t="s">
        <v>133</v>
      </c>
      <c r="E4" s="141" t="s">
        <v>136</v>
      </c>
      <c r="F4" s="141" t="s">
        <v>137</v>
      </c>
      <c r="G4" s="141" t="s">
        <v>122</v>
      </c>
      <c r="H4" s="141" t="s">
        <v>123</v>
      </c>
      <c r="I4" s="142" t="str">
        <f t="shared" ref="I4:I17" si="0">IF(G4="Rack","No of Racks",(IF(G4="Space","Sq Ft","U Space")))</f>
        <v>No of Racks</v>
      </c>
      <c r="J4" s="141">
        <v>33</v>
      </c>
      <c r="K4" s="141">
        <v>33</v>
      </c>
      <c r="L4" s="143">
        <f t="shared" ref="L4:L17" si="1">J4-K4</f>
        <v>0</v>
      </c>
      <c r="M4" s="142">
        <f t="shared" ref="M4:M11" si="2">J4</f>
        <v>33</v>
      </c>
      <c r="N4" s="141">
        <v>0</v>
      </c>
      <c r="O4" s="141"/>
      <c r="P4" s="144"/>
      <c r="Q4" s="145"/>
      <c r="R4" s="145"/>
      <c r="S4" s="145"/>
      <c r="T4" s="146"/>
      <c r="U4" s="141"/>
      <c r="V4" s="145"/>
      <c r="W4" s="145"/>
      <c r="X4" s="145"/>
      <c r="Y4" s="145"/>
      <c r="Z4" s="145"/>
      <c r="AA4" s="145"/>
      <c r="AB4" s="145"/>
      <c r="AC4" s="142"/>
      <c r="AD4" s="142"/>
      <c r="AE4" s="142"/>
      <c r="AF4" s="142"/>
      <c r="AG4" s="142"/>
      <c r="AH4" s="142"/>
      <c r="AI4" s="142"/>
      <c r="AJ4" s="142"/>
      <c r="AK4" s="142"/>
      <c r="AL4" s="142"/>
      <c r="AM4" s="142"/>
      <c r="AN4" s="142"/>
      <c r="AO4" s="142"/>
      <c r="AP4" s="142"/>
      <c r="AQ4" s="142"/>
      <c r="AR4" s="142"/>
      <c r="AS4" s="142"/>
      <c r="AT4" s="142"/>
      <c r="AU4" s="142"/>
      <c r="AV4" s="142"/>
      <c r="AW4" s="142"/>
      <c r="AX4" s="142"/>
      <c r="AY4" s="142"/>
      <c r="AZ4" s="142"/>
      <c r="BA4" s="142"/>
      <c r="BB4" s="142"/>
      <c r="WWE4"/>
      <c r="WWF4"/>
      <c r="WWG4"/>
      <c r="WWH4"/>
      <c r="WWI4"/>
      <c r="WWJ4"/>
      <c r="WWK4"/>
      <c r="WWL4"/>
      <c r="WWM4"/>
      <c r="WWN4"/>
      <c r="WWO4"/>
      <c r="WWP4"/>
      <c r="WWQ4"/>
      <c r="WWR4"/>
      <c r="WWS4"/>
      <c r="WWT4"/>
      <c r="WWU4"/>
      <c r="WWV4"/>
      <c r="WWW4"/>
      <c r="WWX4"/>
      <c r="WWY4"/>
      <c r="WWZ4"/>
      <c r="WXA4"/>
      <c r="WXB4"/>
      <c r="WXC4"/>
      <c r="WXD4"/>
      <c r="WXE4"/>
      <c r="WXF4"/>
      <c r="WXG4"/>
      <c r="WXH4"/>
      <c r="WXI4"/>
      <c r="WXJ4"/>
      <c r="WXK4"/>
      <c r="WXL4"/>
      <c r="WXM4"/>
      <c r="WXN4"/>
      <c r="WXO4"/>
      <c r="WXP4"/>
      <c r="WXQ4"/>
      <c r="WXR4"/>
      <c r="WXS4"/>
      <c r="WXT4"/>
      <c r="WXU4"/>
      <c r="WXV4"/>
      <c r="WXW4"/>
      <c r="WXX4"/>
      <c r="WXY4"/>
      <c r="WXZ4"/>
      <c r="WYA4"/>
      <c r="WYB4"/>
      <c r="WYC4"/>
      <c r="WYD4"/>
      <c r="WYE4"/>
      <c r="WYF4"/>
      <c r="WYG4"/>
      <c r="WYH4"/>
      <c r="WYI4"/>
      <c r="WYJ4"/>
      <c r="WYK4"/>
      <c r="WYL4"/>
      <c r="WYM4"/>
      <c r="WYN4"/>
      <c r="WYO4"/>
      <c r="WYP4"/>
      <c r="WYQ4"/>
      <c r="WYR4"/>
      <c r="WYS4"/>
      <c r="WYT4"/>
      <c r="WYU4"/>
      <c r="WYV4"/>
      <c r="WYW4"/>
      <c r="WYX4"/>
      <c r="WYY4"/>
      <c r="WYZ4"/>
      <c r="WZA4"/>
      <c r="WZB4"/>
      <c r="WZC4"/>
      <c r="WZD4"/>
      <c r="WZE4"/>
      <c r="WZF4"/>
      <c r="WZG4"/>
      <c r="WZH4"/>
      <c r="WZI4"/>
      <c r="WZJ4"/>
      <c r="WZK4"/>
      <c r="WZL4"/>
      <c r="WZM4"/>
      <c r="WZN4"/>
      <c r="WZO4"/>
      <c r="WZP4"/>
      <c r="WZQ4"/>
      <c r="WZR4"/>
      <c r="WZS4"/>
      <c r="WZT4"/>
      <c r="WZU4"/>
      <c r="WZV4"/>
      <c r="WZW4"/>
      <c r="WZX4"/>
      <c r="WZY4"/>
      <c r="WZZ4"/>
      <c r="XAA4"/>
      <c r="XAB4"/>
      <c r="XAC4"/>
      <c r="XAD4"/>
      <c r="XAE4"/>
      <c r="XAF4"/>
      <c r="XAG4"/>
      <c r="XAH4"/>
      <c r="XAI4"/>
      <c r="XAJ4"/>
      <c r="XAK4"/>
      <c r="XAL4"/>
      <c r="XAM4"/>
      <c r="XAN4"/>
      <c r="XAO4"/>
      <c r="XAP4"/>
      <c r="XAQ4"/>
      <c r="XAR4"/>
      <c r="XAS4"/>
      <c r="XAT4"/>
      <c r="XAU4"/>
      <c r="XAV4"/>
      <c r="XAW4"/>
      <c r="XAX4"/>
      <c r="XAY4"/>
      <c r="XAZ4"/>
      <c r="XBA4"/>
      <c r="XBB4"/>
      <c r="XBC4"/>
      <c r="XBD4"/>
      <c r="XBE4"/>
      <c r="XBF4"/>
      <c r="XBG4"/>
      <c r="XBH4"/>
      <c r="XBI4"/>
      <c r="XBJ4"/>
      <c r="XBK4"/>
      <c r="XBL4"/>
      <c r="XBM4"/>
      <c r="XBN4"/>
      <c r="XBO4"/>
      <c r="XBP4"/>
      <c r="XBQ4"/>
      <c r="XBR4"/>
      <c r="XBS4"/>
      <c r="XBT4"/>
      <c r="XBU4"/>
      <c r="XBV4"/>
      <c r="XBW4"/>
      <c r="XBX4"/>
      <c r="XBY4"/>
      <c r="XBZ4"/>
      <c r="XCA4"/>
      <c r="XCB4"/>
      <c r="XCC4"/>
      <c r="XCD4"/>
      <c r="XCE4"/>
      <c r="XCF4"/>
      <c r="XCG4"/>
      <c r="XCH4"/>
      <c r="XCI4"/>
      <c r="XCJ4"/>
      <c r="XCK4"/>
      <c r="XCL4"/>
      <c r="XCM4"/>
      <c r="XCN4"/>
      <c r="XCO4"/>
      <c r="XCP4"/>
      <c r="XCQ4"/>
      <c r="XCR4"/>
      <c r="XCS4"/>
      <c r="XCT4"/>
      <c r="XCU4"/>
      <c r="XCV4"/>
      <c r="XCW4"/>
      <c r="XCX4"/>
      <c r="XCY4"/>
      <c r="XCZ4"/>
      <c r="XDA4"/>
      <c r="XDB4"/>
      <c r="XDC4"/>
      <c r="XDD4"/>
      <c r="XDE4"/>
      <c r="XDF4"/>
      <c r="XDG4"/>
      <c r="XDH4"/>
      <c r="XDI4"/>
      <c r="XDJ4"/>
      <c r="XDK4"/>
      <c r="XDL4"/>
      <c r="XDM4"/>
      <c r="XDN4"/>
      <c r="XDO4"/>
      <c r="XDP4"/>
      <c r="XDQ4"/>
      <c r="XDR4"/>
      <c r="XDS4"/>
      <c r="XDT4"/>
      <c r="XDU4"/>
      <c r="XDV4"/>
      <c r="XDW4"/>
      <c r="XDX4"/>
      <c r="XDY4"/>
      <c r="XDZ4"/>
      <c r="XEA4"/>
      <c r="XEB4"/>
      <c r="XEC4"/>
      <c r="XED4"/>
      <c r="XEE4"/>
      <c r="XEF4"/>
      <c r="XEG4"/>
      <c r="XEH4"/>
      <c r="XEI4"/>
      <c r="XEJ4"/>
      <c r="XEK4"/>
      <c r="XEL4"/>
      <c r="XEM4"/>
      <c r="XEN4"/>
      <c r="XEO4"/>
      <c r="XEP4"/>
      <c r="XEQ4"/>
      <c r="XER4"/>
      <c r="XES4"/>
      <c r="XET4"/>
      <c r="XEU4"/>
      <c r="XEV4"/>
      <c r="XEW4"/>
      <c r="XEX4"/>
      <c r="XEY4"/>
      <c r="XEZ4"/>
      <c r="XFA4"/>
      <c r="XFB4"/>
      <c r="XFC4"/>
      <c r="XFD4"/>
    </row>
    <row r="5" spans="1:54 16151:16384" s="132" customFormat="1" ht="14.1">
      <c r="A5" s="138" t="s">
        <v>29</v>
      </c>
      <c r="B5" s="138" t="s">
        <v>138</v>
      </c>
      <c r="C5" s="147" t="s">
        <v>241</v>
      </c>
      <c r="D5" s="140" t="s">
        <v>133</v>
      </c>
      <c r="E5" s="141" t="s">
        <v>136</v>
      </c>
      <c r="F5" s="141" t="s">
        <v>137</v>
      </c>
      <c r="G5" s="141" t="s">
        <v>122</v>
      </c>
      <c r="H5" s="141" t="s">
        <v>134</v>
      </c>
      <c r="I5" s="142" t="str">
        <f t="shared" si="0"/>
        <v>No of Racks</v>
      </c>
      <c r="J5" s="141">
        <v>2</v>
      </c>
      <c r="K5" s="141">
        <v>2</v>
      </c>
      <c r="L5" s="143">
        <f t="shared" si="1"/>
        <v>0</v>
      </c>
      <c r="M5" s="142">
        <f t="shared" si="2"/>
        <v>2</v>
      </c>
      <c r="N5" s="141">
        <v>0</v>
      </c>
      <c r="O5" s="141"/>
      <c r="P5" s="144"/>
      <c r="Q5" s="145"/>
      <c r="R5" s="145"/>
      <c r="S5" s="145"/>
      <c r="T5" s="146"/>
      <c r="U5" s="141"/>
      <c r="V5" s="145"/>
      <c r="W5" s="145"/>
      <c r="X5" s="145"/>
      <c r="Y5" s="145"/>
      <c r="Z5" s="145"/>
      <c r="AA5" s="145"/>
      <c r="AB5" s="145"/>
      <c r="AC5" s="142"/>
      <c r="AD5" s="142"/>
      <c r="AE5" s="142"/>
      <c r="AF5" s="142"/>
      <c r="AG5" s="142"/>
      <c r="AH5" s="142"/>
      <c r="AI5" s="142"/>
      <c r="AJ5" s="142"/>
      <c r="AK5" s="142"/>
      <c r="AL5" s="142"/>
      <c r="AM5" s="142"/>
      <c r="AN5" s="142"/>
      <c r="AO5" s="142"/>
      <c r="AP5" s="142"/>
      <c r="AQ5" s="142"/>
      <c r="AR5" s="142"/>
      <c r="AS5" s="142"/>
      <c r="AT5" s="142"/>
      <c r="AU5" s="142"/>
      <c r="AV5" s="142"/>
      <c r="AW5" s="142"/>
      <c r="AX5" s="142"/>
      <c r="AY5" s="142"/>
      <c r="AZ5" s="142"/>
      <c r="BA5" s="142"/>
      <c r="BB5" s="142"/>
      <c r="WWE5"/>
      <c r="WWF5"/>
      <c r="WWG5"/>
      <c r="WWH5"/>
      <c r="WWI5"/>
      <c r="WWJ5"/>
      <c r="WWK5"/>
      <c r="WWL5"/>
      <c r="WWM5"/>
      <c r="WWN5"/>
      <c r="WWO5"/>
      <c r="WWP5"/>
      <c r="WWQ5"/>
      <c r="WWR5"/>
      <c r="WWS5"/>
      <c r="WWT5"/>
      <c r="WWU5"/>
      <c r="WWV5"/>
      <c r="WWW5"/>
      <c r="WWX5"/>
      <c r="WWY5"/>
      <c r="WWZ5"/>
      <c r="WXA5"/>
      <c r="WXB5"/>
      <c r="WXC5"/>
      <c r="WXD5"/>
      <c r="WXE5"/>
      <c r="WXF5"/>
      <c r="WXG5"/>
      <c r="WXH5"/>
      <c r="WXI5"/>
      <c r="WXJ5"/>
      <c r="WXK5"/>
      <c r="WXL5"/>
      <c r="WXM5"/>
      <c r="WXN5"/>
      <c r="WXO5"/>
      <c r="WXP5"/>
      <c r="WXQ5"/>
      <c r="WXR5"/>
      <c r="WXS5"/>
      <c r="WXT5"/>
      <c r="WXU5"/>
      <c r="WXV5"/>
      <c r="WXW5"/>
      <c r="WXX5"/>
      <c r="WXY5"/>
      <c r="WXZ5"/>
      <c r="WYA5"/>
      <c r="WYB5"/>
      <c r="WYC5"/>
      <c r="WYD5"/>
      <c r="WYE5"/>
      <c r="WYF5"/>
      <c r="WYG5"/>
      <c r="WYH5"/>
      <c r="WYI5"/>
      <c r="WYJ5"/>
      <c r="WYK5"/>
      <c r="WYL5"/>
      <c r="WYM5"/>
      <c r="WYN5"/>
      <c r="WYO5"/>
      <c r="WYP5"/>
      <c r="WYQ5"/>
      <c r="WYR5"/>
      <c r="WYS5"/>
      <c r="WYT5"/>
      <c r="WYU5"/>
      <c r="WYV5"/>
      <c r="WYW5"/>
      <c r="WYX5"/>
      <c r="WYY5"/>
      <c r="WYZ5"/>
      <c r="WZA5"/>
      <c r="WZB5"/>
      <c r="WZC5"/>
      <c r="WZD5"/>
      <c r="WZE5"/>
      <c r="WZF5"/>
      <c r="WZG5"/>
      <c r="WZH5"/>
      <c r="WZI5"/>
      <c r="WZJ5"/>
      <c r="WZK5"/>
      <c r="WZL5"/>
      <c r="WZM5"/>
      <c r="WZN5"/>
      <c r="WZO5"/>
      <c r="WZP5"/>
      <c r="WZQ5"/>
      <c r="WZR5"/>
      <c r="WZS5"/>
      <c r="WZT5"/>
      <c r="WZU5"/>
      <c r="WZV5"/>
      <c r="WZW5"/>
      <c r="WZX5"/>
      <c r="WZY5"/>
      <c r="WZZ5"/>
      <c r="XAA5"/>
      <c r="XAB5"/>
      <c r="XAC5"/>
      <c r="XAD5"/>
      <c r="XAE5"/>
      <c r="XAF5"/>
      <c r="XAG5"/>
      <c r="XAH5"/>
      <c r="XAI5"/>
      <c r="XAJ5"/>
      <c r="XAK5"/>
      <c r="XAL5"/>
      <c r="XAM5"/>
      <c r="XAN5"/>
      <c r="XAO5"/>
      <c r="XAP5"/>
      <c r="XAQ5"/>
      <c r="XAR5"/>
      <c r="XAS5"/>
      <c r="XAT5"/>
      <c r="XAU5"/>
      <c r="XAV5"/>
      <c r="XAW5"/>
      <c r="XAX5"/>
      <c r="XAY5"/>
      <c r="XAZ5"/>
      <c r="XBA5"/>
      <c r="XBB5"/>
      <c r="XBC5"/>
      <c r="XBD5"/>
      <c r="XBE5"/>
      <c r="XBF5"/>
      <c r="XBG5"/>
      <c r="XBH5"/>
      <c r="XBI5"/>
      <c r="XBJ5"/>
      <c r="XBK5"/>
      <c r="XBL5"/>
      <c r="XBM5"/>
      <c r="XBN5"/>
      <c r="XBO5"/>
      <c r="XBP5"/>
      <c r="XBQ5"/>
      <c r="XBR5"/>
      <c r="XBS5"/>
      <c r="XBT5"/>
      <c r="XBU5"/>
      <c r="XBV5"/>
      <c r="XBW5"/>
      <c r="XBX5"/>
      <c r="XBY5"/>
      <c r="XBZ5"/>
      <c r="XCA5"/>
      <c r="XCB5"/>
      <c r="XCC5"/>
      <c r="XCD5"/>
      <c r="XCE5"/>
      <c r="XCF5"/>
      <c r="XCG5"/>
      <c r="XCH5"/>
      <c r="XCI5"/>
      <c r="XCJ5"/>
      <c r="XCK5"/>
      <c r="XCL5"/>
      <c r="XCM5"/>
      <c r="XCN5"/>
      <c r="XCO5"/>
      <c r="XCP5"/>
      <c r="XCQ5"/>
      <c r="XCR5"/>
      <c r="XCS5"/>
      <c r="XCT5"/>
      <c r="XCU5"/>
      <c r="XCV5"/>
      <c r="XCW5"/>
      <c r="XCX5"/>
      <c r="XCY5"/>
      <c r="XCZ5"/>
      <c r="XDA5"/>
      <c r="XDB5"/>
      <c r="XDC5"/>
      <c r="XDD5"/>
      <c r="XDE5"/>
      <c r="XDF5"/>
      <c r="XDG5"/>
      <c r="XDH5"/>
      <c r="XDI5"/>
      <c r="XDJ5"/>
      <c r="XDK5"/>
      <c r="XDL5"/>
      <c r="XDM5"/>
      <c r="XDN5"/>
      <c r="XDO5"/>
      <c r="XDP5"/>
      <c r="XDQ5"/>
      <c r="XDR5"/>
      <c r="XDS5"/>
      <c r="XDT5"/>
      <c r="XDU5"/>
      <c r="XDV5"/>
      <c r="XDW5"/>
      <c r="XDX5"/>
      <c r="XDY5"/>
      <c r="XDZ5"/>
      <c r="XEA5"/>
      <c r="XEB5"/>
      <c r="XEC5"/>
      <c r="XED5"/>
      <c r="XEE5"/>
      <c r="XEF5"/>
      <c r="XEG5"/>
      <c r="XEH5"/>
      <c r="XEI5"/>
      <c r="XEJ5"/>
      <c r="XEK5"/>
      <c r="XEL5"/>
      <c r="XEM5"/>
      <c r="XEN5"/>
      <c r="XEO5"/>
      <c r="XEP5"/>
      <c r="XEQ5"/>
      <c r="XER5"/>
      <c r="XES5"/>
      <c r="XET5"/>
      <c r="XEU5"/>
      <c r="XEV5"/>
      <c r="XEW5"/>
      <c r="XEX5"/>
      <c r="XEY5"/>
      <c r="XEZ5"/>
      <c r="XFA5"/>
      <c r="XFB5"/>
      <c r="XFC5"/>
      <c r="XFD5"/>
    </row>
    <row r="6" spans="1:54 16151:16384" s="132" customFormat="1" ht="14.1">
      <c r="A6" s="138" t="s">
        <v>29</v>
      </c>
      <c r="B6" s="138" t="s">
        <v>152</v>
      </c>
      <c r="C6" s="147" t="s">
        <v>242</v>
      </c>
      <c r="D6" s="140" t="s">
        <v>133</v>
      </c>
      <c r="E6" s="141" t="s">
        <v>136</v>
      </c>
      <c r="F6" s="141" t="s">
        <v>137</v>
      </c>
      <c r="G6" s="141" t="s">
        <v>122</v>
      </c>
      <c r="H6" s="141" t="s">
        <v>134</v>
      </c>
      <c r="I6" s="142" t="str">
        <f t="shared" si="0"/>
        <v>No of Racks</v>
      </c>
      <c r="J6" s="141">
        <v>1</v>
      </c>
      <c r="K6" s="141">
        <v>1</v>
      </c>
      <c r="L6" s="143">
        <f t="shared" si="1"/>
        <v>0</v>
      </c>
      <c r="M6" s="142">
        <f t="shared" si="2"/>
        <v>1</v>
      </c>
      <c r="N6" s="141">
        <v>0</v>
      </c>
      <c r="O6" s="141"/>
      <c r="P6" s="144"/>
      <c r="Q6" s="145"/>
      <c r="R6" s="145"/>
      <c r="S6" s="145"/>
      <c r="T6" s="146"/>
      <c r="U6" s="141"/>
      <c r="V6" s="145"/>
      <c r="W6" s="145"/>
      <c r="X6" s="145"/>
      <c r="Y6" s="145"/>
      <c r="Z6" s="145"/>
      <c r="AA6" s="145"/>
      <c r="AB6" s="145"/>
      <c r="AC6" s="142"/>
      <c r="AD6" s="142"/>
      <c r="AE6" s="142"/>
      <c r="AF6" s="142"/>
      <c r="AG6" s="142"/>
      <c r="AH6" s="142"/>
      <c r="AI6" s="142"/>
      <c r="AJ6" s="142"/>
      <c r="AK6" s="142"/>
      <c r="AL6" s="142"/>
      <c r="AM6" s="142"/>
      <c r="AN6" s="142"/>
      <c r="AO6" s="142"/>
      <c r="AP6" s="142"/>
      <c r="AQ6" s="142"/>
      <c r="AR6" s="142"/>
      <c r="AS6" s="142"/>
      <c r="AT6" s="142"/>
      <c r="AU6" s="142"/>
      <c r="AV6" s="142"/>
      <c r="AW6" s="142"/>
      <c r="AX6" s="142"/>
      <c r="AY6" s="142"/>
      <c r="AZ6" s="142"/>
      <c r="BA6" s="142"/>
      <c r="BB6" s="142"/>
      <c r="WWE6"/>
      <c r="WWF6"/>
      <c r="WWG6"/>
      <c r="WWH6"/>
      <c r="WWI6"/>
      <c r="WWJ6"/>
      <c r="WWK6"/>
      <c r="WWL6"/>
      <c r="WWM6"/>
      <c r="WWN6"/>
      <c r="WWO6"/>
      <c r="WWP6"/>
      <c r="WWQ6"/>
      <c r="WWR6"/>
      <c r="WWS6"/>
      <c r="WWT6"/>
      <c r="WWU6"/>
      <c r="WWV6"/>
      <c r="WWW6"/>
      <c r="WWX6"/>
      <c r="WWY6"/>
      <c r="WWZ6"/>
      <c r="WXA6"/>
      <c r="WXB6"/>
      <c r="WXC6"/>
      <c r="WXD6"/>
      <c r="WXE6"/>
      <c r="WXF6"/>
      <c r="WXG6"/>
      <c r="WXH6"/>
      <c r="WXI6"/>
      <c r="WXJ6"/>
      <c r="WXK6"/>
      <c r="WXL6"/>
      <c r="WXM6"/>
      <c r="WXN6"/>
      <c r="WXO6"/>
      <c r="WXP6"/>
      <c r="WXQ6"/>
      <c r="WXR6"/>
      <c r="WXS6"/>
      <c r="WXT6"/>
      <c r="WXU6"/>
      <c r="WXV6"/>
      <c r="WXW6"/>
      <c r="WXX6"/>
      <c r="WXY6"/>
      <c r="WXZ6"/>
      <c r="WYA6"/>
      <c r="WYB6"/>
      <c r="WYC6"/>
      <c r="WYD6"/>
      <c r="WYE6"/>
      <c r="WYF6"/>
      <c r="WYG6"/>
      <c r="WYH6"/>
      <c r="WYI6"/>
      <c r="WYJ6"/>
      <c r="WYK6"/>
      <c r="WYL6"/>
      <c r="WYM6"/>
      <c r="WYN6"/>
      <c r="WYO6"/>
      <c r="WYP6"/>
      <c r="WYQ6"/>
      <c r="WYR6"/>
      <c r="WYS6"/>
      <c r="WYT6"/>
      <c r="WYU6"/>
      <c r="WYV6"/>
      <c r="WYW6"/>
      <c r="WYX6"/>
      <c r="WYY6"/>
      <c r="WYZ6"/>
      <c r="WZA6"/>
      <c r="WZB6"/>
      <c r="WZC6"/>
      <c r="WZD6"/>
      <c r="WZE6"/>
      <c r="WZF6"/>
      <c r="WZG6"/>
      <c r="WZH6"/>
      <c r="WZI6"/>
      <c r="WZJ6"/>
      <c r="WZK6"/>
      <c r="WZL6"/>
      <c r="WZM6"/>
      <c r="WZN6"/>
      <c r="WZO6"/>
      <c r="WZP6"/>
      <c r="WZQ6"/>
      <c r="WZR6"/>
      <c r="WZS6"/>
      <c r="WZT6"/>
      <c r="WZU6"/>
      <c r="WZV6"/>
      <c r="WZW6"/>
      <c r="WZX6"/>
      <c r="WZY6"/>
      <c r="WZZ6"/>
      <c r="XAA6"/>
      <c r="XAB6"/>
      <c r="XAC6"/>
      <c r="XAD6"/>
      <c r="XAE6"/>
      <c r="XAF6"/>
      <c r="XAG6"/>
      <c r="XAH6"/>
      <c r="XAI6"/>
      <c r="XAJ6"/>
      <c r="XAK6"/>
      <c r="XAL6"/>
      <c r="XAM6"/>
      <c r="XAN6"/>
      <c r="XAO6"/>
      <c r="XAP6"/>
      <c r="XAQ6"/>
      <c r="XAR6"/>
      <c r="XAS6"/>
      <c r="XAT6"/>
      <c r="XAU6"/>
      <c r="XAV6"/>
      <c r="XAW6"/>
      <c r="XAX6"/>
      <c r="XAY6"/>
      <c r="XAZ6"/>
      <c r="XBA6"/>
      <c r="XBB6"/>
      <c r="XBC6"/>
      <c r="XBD6"/>
      <c r="XBE6"/>
      <c r="XBF6"/>
      <c r="XBG6"/>
      <c r="XBH6"/>
      <c r="XBI6"/>
      <c r="XBJ6"/>
      <c r="XBK6"/>
      <c r="XBL6"/>
      <c r="XBM6"/>
      <c r="XBN6"/>
      <c r="XBO6"/>
      <c r="XBP6"/>
      <c r="XBQ6"/>
      <c r="XBR6"/>
      <c r="XBS6"/>
      <c r="XBT6"/>
      <c r="XBU6"/>
      <c r="XBV6"/>
      <c r="XBW6"/>
      <c r="XBX6"/>
      <c r="XBY6"/>
      <c r="XBZ6"/>
      <c r="XCA6"/>
      <c r="XCB6"/>
      <c r="XCC6"/>
      <c r="XCD6"/>
      <c r="XCE6"/>
      <c r="XCF6"/>
      <c r="XCG6"/>
      <c r="XCH6"/>
      <c r="XCI6"/>
      <c r="XCJ6"/>
      <c r="XCK6"/>
      <c r="XCL6"/>
      <c r="XCM6"/>
      <c r="XCN6"/>
      <c r="XCO6"/>
      <c r="XCP6"/>
      <c r="XCQ6"/>
      <c r="XCR6"/>
      <c r="XCS6"/>
      <c r="XCT6"/>
      <c r="XCU6"/>
      <c r="XCV6"/>
      <c r="XCW6"/>
      <c r="XCX6"/>
      <c r="XCY6"/>
      <c r="XCZ6"/>
      <c r="XDA6"/>
      <c r="XDB6"/>
      <c r="XDC6"/>
      <c r="XDD6"/>
      <c r="XDE6"/>
      <c r="XDF6"/>
      <c r="XDG6"/>
      <c r="XDH6"/>
      <c r="XDI6"/>
      <c r="XDJ6"/>
      <c r="XDK6"/>
      <c r="XDL6"/>
      <c r="XDM6"/>
      <c r="XDN6"/>
      <c r="XDO6"/>
      <c r="XDP6"/>
      <c r="XDQ6"/>
      <c r="XDR6"/>
      <c r="XDS6"/>
      <c r="XDT6"/>
      <c r="XDU6"/>
      <c r="XDV6"/>
      <c r="XDW6"/>
      <c r="XDX6"/>
      <c r="XDY6"/>
      <c r="XDZ6"/>
      <c r="XEA6"/>
      <c r="XEB6"/>
      <c r="XEC6"/>
      <c r="XED6"/>
      <c r="XEE6"/>
      <c r="XEF6"/>
      <c r="XEG6"/>
      <c r="XEH6"/>
      <c r="XEI6"/>
      <c r="XEJ6"/>
      <c r="XEK6"/>
      <c r="XEL6"/>
      <c r="XEM6"/>
      <c r="XEN6"/>
      <c r="XEO6"/>
      <c r="XEP6"/>
      <c r="XEQ6"/>
      <c r="XER6"/>
      <c r="XES6"/>
      <c r="XET6"/>
      <c r="XEU6"/>
      <c r="XEV6"/>
      <c r="XEW6"/>
      <c r="XEX6"/>
      <c r="XEY6"/>
      <c r="XEZ6"/>
      <c r="XFA6"/>
      <c r="XFB6"/>
      <c r="XFC6"/>
      <c r="XFD6"/>
    </row>
    <row r="7" spans="1:54 16151:16384" s="132" customFormat="1" ht="14.1">
      <c r="A7" s="138" t="s">
        <v>29</v>
      </c>
      <c r="B7" s="138" t="s">
        <v>130</v>
      </c>
      <c r="C7" s="148" t="s">
        <v>243</v>
      </c>
      <c r="D7" s="140" t="s">
        <v>133</v>
      </c>
      <c r="E7" s="141" t="s">
        <v>136</v>
      </c>
      <c r="F7" s="141" t="s">
        <v>137</v>
      </c>
      <c r="G7" s="141" t="s">
        <v>122</v>
      </c>
      <c r="H7" s="141" t="s">
        <v>134</v>
      </c>
      <c r="I7" s="142" t="str">
        <f t="shared" si="0"/>
        <v>No of Racks</v>
      </c>
      <c r="J7" s="141">
        <v>3</v>
      </c>
      <c r="K7" s="141">
        <v>3</v>
      </c>
      <c r="L7" s="143">
        <f t="shared" si="1"/>
        <v>0</v>
      </c>
      <c r="M7" s="142">
        <f t="shared" si="2"/>
        <v>3</v>
      </c>
      <c r="N7" s="141">
        <v>0</v>
      </c>
      <c r="O7" s="141"/>
      <c r="P7" s="144"/>
      <c r="Q7" s="145"/>
      <c r="R7" s="145"/>
      <c r="S7" s="145"/>
      <c r="T7" s="146"/>
      <c r="U7" s="141"/>
      <c r="V7" s="145"/>
      <c r="W7" s="145"/>
      <c r="X7" s="145"/>
      <c r="Y7" s="145"/>
      <c r="Z7" s="145"/>
      <c r="AA7" s="145"/>
      <c r="AB7" s="145"/>
      <c r="AC7" s="142"/>
      <c r="AD7" s="142"/>
      <c r="AE7" s="142"/>
      <c r="AF7" s="142"/>
      <c r="AG7" s="142"/>
      <c r="AH7" s="142"/>
      <c r="AI7" s="142"/>
      <c r="AJ7" s="142"/>
      <c r="AK7" s="142"/>
      <c r="AL7" s="142"/>
      <c r="AM7" s="142"/>
      <c r="AN7" s="142"/>
      <c r="AO7" s="142"/>
      <c r="AP7" s="142"/>
      <c r="AQ7" s="142"/>
      <c r="AR7" s="142"/>
      <c r="AS7" s="142"/>
      <c r="AT7" s="142"/>
      <c r="AU7" s="142"/>
      <c r="AV7" s="142"/>
      <c r="AW7" s="142"/>
      <c r="AX7" s="142"/>
      <c r="AY7" s="142"/>
      <c r="AZ7" s="142"/>
      <c r="BA7" s="142"/>
      <c r="BB7" s="142"/>
      <c r="WWE7"/>
      <c r="WWF7"/>
      <c r="WWG7"/>
      <c r="WWH7"/>
      <c r="WWI7"/>
      <c r="WWJ7"/>
      <c r="WWK7"/>
      <c r="WWL7"/>
      <c r="WWM7"/>
      <c r="WWN7"/>
      <c r="WWO7"/>
      <c r="WWP7"/>
      <c r="WWQ7"/>
      <c r="WWR7"/>
      <c r="WWS7"/>
      <c r="WWT7"/>
      <c r="WWU7"/>
      <c r="WWV7"/>
      <c r="WWW7"/>
      <c r="WWX7"/>
      <c r="WWY7"/>
      <c r="WWZ7"/>
      <c r="WXA7"/>
      <c r="WXB7"/>
      <c r="WXC7"/>
      <c r="WXD7"/>
      <c r="WXE7"/>
      <c r="WXF7"/>
      <c r="WXG7"/>
      <c r="WXH7"/>
      <c r="WXI7"/>
      <c r="WXJ7"/>
      <c r="WXK7"/>
      <c r="WXL7"/>
      <c r="WXM7"/>
      <c r="WXN7"/>
      <c r="WXO7"/>
      <c r="WXP7"/>
      <c r="WXQ7"/>
      <c r="WXR7"/>
      <c r="WXS7"/>
      <c r="WXT7"/>
      <c r="WXU7"/>
      <c r="WXV7"/>
      <c r="WXW7"/>
      <c r="WXX7"/>
      <c r="WXY7"/>
      <c r="WXZ7"/>
      <c r="WYA7"/>
      <c r="WYB7"/>
      <c r="WYC7"/>
      <c r="WYD7"/>
      <c r="WYE7"/>
      <c r="WYF7"/>
      <c r="WYG7"/>
      <c r="WYH7"/>
      <c r="WYI7"/>
      <c r="WYJ7"/>
      <c r="WYK7"/>
      <c r="WYL7"/>
      <c r="WYM7"/>
      <c r="WYN7"/>
      <c r="WYO7"/>
      <c r="WYP7"/>
      <c r="WYQ7"/>
      <c r="WYR7"/>
      <c r="WYS7"/>
      <c r="WYT7"/>
      <c r="WYU7"/>
      <c r="WYV7"/>
      <c r="WYW7"/>
      <c r="WYX7"/>
      <c r="WYY7"/>
      <c r="WYZ7"/>
      <c r="WZA7"/>
      <c r="WZB7"/>
      <c r="WZC7"/>
      <c r="WZD7"/>
      <c r="WZE7"/>
      <c r="WZF7"/>
      <c r="WZG7"/>
      <c r="WZH7"/>
      <c r="WZI7"/>
      <c r="WZJ7"/>
      <c r="WZK7"/>
      <c r="WZL7"/>
      <c r="WZM7"/>
      <c r="WZN7"/>
      <c r="WZO7"/>
      <c r="WZP7"/>
      <c r="WZQ7"/>
      <c r="WZR7"/>
      <c r="WZS7"/>
      <c r="WZT7"/>
      <c r="WZU7"/>
      <c r="WZV7"/>
      <c r="WZW7"/>
      <c r="WZX7"/>
      <c r="WZY7"/>
      <c r="WZZ7"/>
      <c r="XAA7"/>
      <c r="XAB7"/>
      <c r="XAC7"/>
      <c r="XAD7"/>
      <c r="XAE7"/>
      <c r="XAF7"/>
      <c r="XAG7"/>
      <c r="XAH7"/>
      <c r="XAI7"/>
      <c r="XAJ7"/>
      <c r="XAK7"/>
      <c r="XAL7"/>
      <c r="XAM7"/>
      <c r="XAN7"/>
      <c r="XAO7"/>
      <c r="XAP7"/>
      <c r="XAQ7"/>
      <c r="XAR7"/>
      <c r="XAS7"/>
      <c r="XAT7"/>
      <c r="XAU7"/>
      <c r="XAV7"/>
      <c r="XAW7"/>
      <c r="XAX7"/>
      <c r="XAY7"/>
      <c r="XAZ7"/>
      <c r="XBA7"/>
      <c r="XBB7"/>
      <c r="XBC7"/>
      <c r="XBD7"/>
      <c r="XBE7"/>
      <c r="XBF7"/>
      <c r="XBG7"/>
      <c r="XBH7"/>
      <c r="XBI7"/>
      <c r="XBJ7"/>
      <c r="XBK7"/>
      <c r="XBL7"/>
      <c r="XBM7"/>
      <c r="XBN7"/>
      <c r="XBO7"/>
      <c r="XBP7"/>
      <c r="XBQ7"/>
      <c r="XBR7"/>
      <c r="XBS7"/>
      <c r="XBT7"/>
      <c r="XBU7"/>
      <c r="XBV7"/>
      <c r="XBW7"/>
      <c r="XBX7"/>
      <c r="XBY7"/>
      <c r="XBZ7"/>
      <c r="XCA7"/>
      <c r="XCB7"/>
      <c r="XCC7"/>
      <c r="XCD7"/>
      <c r="XCE7"/>
      <c r="XCF7"/>
      <c r="XCG7"/>
      <c r="XCH7"/>
      <c r="XCI7"/>
      <c r="XCJ7"/>
      <c r="XCK7"/>
      <c r="XCL7"/>
      <c r="XCM7"/>
      <c r="XCN7"/>
      <c r="XCO7"/>
      <c r="XCP7"/>
      <c r="XCQ7"/>
      <c r="XCR7"/>
      <c r="XCS7"/>
      <c r="XCT7"/>
      <c r="XCU7"/>
      <c r="XCV7"/>
      <c r="XCW7"/>
      <c r="XCX7"/>
      <c r="XCY7"/>
      <c r="XCZ7"/>
      <c r="XDA7"/>
      <c r="XDB7"/>
      <c r="XDC7"/>
      <c r="XDD7"/>
      <c r="XDE7"/>
      <c r="XDF7"/>
      <c r="XDG7"/>
      <c r="XDH7"/>
      <c r="XDI7"/>
      <c r="XDJ7"/>
      <c r="XDK7"/>
      <c r="XDL7"/>
      <c r="XDM7"/>
      <c r="XDN7"/>
      <c r="XDO7"/>
      <c r="XDP7"/>
      <c r="XDQ7"/>
      <c r="XDR7"/>
      <c r="XDS7"/>
      <c r="XDT7"/>
      <c r="XDU7"/>
      <c r="XDV7"/>
      <c r="XDW7"/>
      <c r="XDX7"/>
      <c r="XDY7"/>
      <c r="XDZ7"/>
      <c r="XEA7"/>
      <c r="XEB7"/>
      <c r="XEC7"/>
      <c r="XED7"/>
      <c r="XEE7"/>
      <c r="XEF7"/>
      <c r="XEG7"/>
      <c r="XEH7"/>
      <c r="XEI7"/>
      <c r="XEJ7"/>
      <c r="XEK7"/>
      <c r="XEL7"/>
      <c r="XEM7"/>
      <c r="XEN7"/>
      <c r="XEO7"/>
      <c r="XEP7"/>
      <c r="XEQ7"/>
      <c r="XER7"/>
      <c r="XES7"/>
      <c r="XET7"/>
      <c r="XEU7"/>
      <c r="XEV7"/>
      <c r="XEW7"/>
      <c r="XEX7"/>
      <c r="XEY7"/>
      <c r="XEZ7"/>
      <c r="XFA7"/>
      <c r="XFB7"/>
      <c r="XFC7"/>
      <c r="XFD7"/>
    </row>
    <row r="8" spans="1:54 16151:16384" s="132" customFormat="1" ht="14.1">
      <c r="A8" s="138" t="s">
        <v>29</v>
      </c>
      <c r="B8" s="138" t="s">
        <v>152</v>
      </c>
      <c r="C8" s="147" t="s">
        <v>244</v>
      </c>
      <c r="D8" s="140" t="s">
        <v>133</v>
      </c>
      <c r="E8" s="141" t="s">
        <v>136</v>
      </c>
      <c r="F8" s="141" t="s">
        <v>137</v>
      </c>
      <c r="G8" s="141" t="s">
        <v>122</v>
      </c>
      <c r="H8" s="141" t="s">
        <v>134</v>
      </c>
      <c r="I8" s="142" t="str">
        <f t="shared" si="0"/>
        <v>No of Racks</v>
      </c>
      <c r="J8" s="141">
        <v>1</v>
      </c>
      <c r="K8" s="141">
        <v>1</v>
      </c>
      <c r="L8" s="143">
        <f t="shared" si="1"/>
        <v>0</v>
      </c>
      <c r="M8" s="142">
        <f t="shared" si="2"/>
        <v>1</v>
      </c>
      <c r="N8" s="141">
        <v>0</v>
      </c>
      <c r="O8" s="141"/>
      <c r="P8" s="144"/>
      <c r="Q8" s="145"/>
      <c r="R8" s="145"/>
      <c r="S8" s="145"/>
      <c r="T8" s="146"/>
      <c r="U8" s="141"/>
      <c r="V8" s="145"/>
      <c r="W8" s="145"/>
      <c r="X8" s="145"/>
      <c r="Y8" s="145"/>
      <c r="Z8" s="145"/>
      <c r="AA8" s="145"/>
      <c r="AB8" s="145"/>
      <c r="AC8" s="142"/>
      <c r="AD8" s="142"/>
      <c r="AE8" s="142"/>
      <c r="AF8" s="142"/>
      <c r="AG8" s="142"/>
      <c r="AH8" s="142"/>
      <c r="AI8" s="142"/>
      <c r="AJ8" s="142"/>
      <c r="AK8" s="142"/>
      <c r="AL8" s="142"/>
      <c r="AM8" s="142"/>
      <c r="AN8" s="142"/>
      <c r="AO8" s="142"/>
      <c r="AP8" s="142"/>
      <c r="AQ8" s="142"/>
      <c r="AR8" s="142"/>
      <c r="AS8" s="142"/>
      <c r="AT8" s="142"/>
      <c r="AU8" s="142"/>
      <c r="AV8" s="142"/>
      <c r="AW8" s="142"/>
      <c r="AX8" s="142"/>
      <c r="AY8" s="142"/>
      <c r="AZ8" s="142"/>
      <c r="BA8" s="142"/>
      <c r="BB8" s="142"/>
      <c r="WWE8"/>
      <c r="WWF8"/>
      <c r="WWG8"/>
      <c r="WWH8"/>
      <c r="WWI8"/>
      <c r="WWJ8"/>
      <c r="WWK8"/>
      <c r="WWL8"/>
      <c r="WWM8"/>
      <c r="WWN8"/>
      <c r="WWO8"/>
      <c r="WWP8"/>
      <c r="WWQ8"/>
      <c r="WWR8"/>
      <c r="WWS8"/>
      <c r="WWT8"/>
      <c r="WWU8"/>
      <c r="WWV8"/>
      <c r="WWW8"/>
      <c r="WWX8"/>
      <c r="WWY8"/>
      <c r="WWZ8"/>
      <c r="WXA8"/>
      <c r="WXB8"/>
      <c r="WXC8"/>
      <c r="WXD8"/>
      <c r="WXE8"/>
      <c r="WXF8"/>
      <c r="WXG8"/>
      <c r="WXH8"/>
      <c r="WXI8"/>
      <c r="WXJ8"/>
      <c r="WXK8"/>
      <c r="WXL8"/>
      <c r="WXM8"/>
      <c r="WXN8"/>
      <c r="WXO8"/>
      <c r="WXP8"/>
      <c r="WXQ8"/>
      <c r="WXR8"/>
      <c r="WXS8"/>
      <c r="WXT8"/>
      <c r="WXU8"/>
      <c r="WXV8"/>
      <c r="WXW8"/>
      <c r="WXX8"/>
      <c r="WXY8"/>
      <c r="WXZ8"/>
      <c r="WYA8"/>
      <c r="WYB8"/>
      <c r="WYC8"/>
      <c r="WYD8"/>
      <c r="WYE8"/>
      <c r="WYF8"/>
      <c r="WYG8"/>
      <c r="WYH8"/>
      <c r="WYI8"/>
      <c r="WYJ8"/>
      <c r="WYK8"/>
      <c r="WYL8"/>
      <c r="WYM8"/>
      <c r="WYN8"/>
      <c r="WYO8"/>
      <c r="WYP8"/>
      <c r="WYQ8"/>
      <c r="WYR8"/>
      <c r="WYS8"/>
      <c r="WYT8"/>
      <c r="WYU8"/>
      <c r="WYV8"/>
      <c r="WYW8"/>
      <c r="WYX8"/>
      <c r="WYY8"/>
      <c r="WYZ8"/>
      <c r="WZA8"/>
      <c r="WZB8"/>
      <c r="WZC8"/>
      <c r="WZD8"/>
      <c r="WZE8"/>
      <c r="WZF8"/>
      <c r="WZG8"/>
      <c r="WZH8"/>
      <c r="WZI8"/>
      <c r="WZJ8"/>
      <c r="WZK8"/>
      <c r="WZL8"/>
      <c r="WZM8"/>
      <c r="WZN8"/>
      <c r="WZO8"/>
      <c r="WZP8"/>
      <c r="WZQ8"/>
      <c r="WZR8"/>
      <c r="WZS8"/>
      <c r="WZT8"/>
      <c r="WZU8"/>
      <c r="WZV8"/>
      <c r="WZW8"/>
      <c r="WZX8"/>
      <c r="WZY8"/>
      <c r="WZZ8"/>
      <c r="XAA8"/>
      <c r="XAB8"/>
      <c r="XAC8"/>
      <c r="XAD8"/>
      <c r="XAE8"/>
      <c r="XAF8"/>
      <c r="XAG8"/>
      <c r="XAH8"/>
      <c r="XAI8"/>
      <c r="XAJ8"/>
      <c r="XAK8"/>
      <c r="XAL8"/>
      <c r="XAM8"/>
      <c r="XAN8"/>
      <c r="XAO8"/>
      <c r="XAP8"/>
      <c r="XAQ8"/>
      <c r="XAR8"/>
      <c r="XAS8"/>
      <c r="XAT8"/>
      <c r="XAU8"/>
      <c r="XAV8"/>
      <c r="XAW8"/>
      <c r="XAX8"/>
      <c r="XAY8"/>
      <c r="XAZ8"/>
      <c r="XBA8"/>
      <c r="XBB8"/>
      <c r="XBC8"/>
      <c r="XBD8"/>
      <c r="XBE8"/>
      <c r="XBF8"/>
      <c r="XBG8"/>
      <c r="XBH8"/>
      <c r="XBI8"/>
      <c r="XBJ8"/>
      <c r="XBK8"/>
      <c r="XBL8"/>
      <c r="XBM8"/>
      <c r="XBN8"/>
      <c r="XBO8"/>
      <c r="XBP8"/>
      <c r="XBQ8"/>
      <c r="XBR8"/>
      <c r="XBS8"/>
      <c r="XBT8"/>
      <c r="XBU8"/>
      <c r="XBV8"/>
      <c r="XBW8"/>
      <c r="XBX8"/>
      <c r="XBY8"/>
      <c r="XBZ8"/>
      <c r="XCA8"/>
      <c r="XCB8"/>
      <c r="XCC8"/>
      <c r="XCD8"/>
      <c r="XCE8"/>
      <c r="XCF8"/>
      <c r="XCG8"/>
      <c r="XCH8"/>
      <c r="XCI8"/>
      <c r="XCJ8"/>
      <c r="XCK8"/>
      <c r="XCL8"/>
      <c r="XCM8"/>
      <c r="XCN8"/>
      <c r="XCO8"/>
      <c r="XCP8"/>
      <c r="XCQ8"/>
      <c r="XCR8"/>
      <c r="XCS8"/>
      <c r="XCT8"/>
      <c r="XCU8"/>
      <c r="XCV8"/>
      <c r="XCW8"/>
      <c r="XCX8"/>
      <c r="XCY8"/>
      <c r="XCZ8"/>
      <c r="XDA8"/>
      <c r="XDB8"/>
      <c r="XDC8"/>
      <c r="XDD8"/>
      <c r="XDE8"/>
      <c r="XDF8"/>
      <c r="XDG8"/>
      <c r="XDH8"/>
      <c r="XDI8"/>
      <c r="XDJ8"/>
      <c r="XDK8"/>
      <c r="XDL8"/>
      <c r="XDM8"/>
      <c r="XDN8"/>
      <c r="XDO8"/>
      <c r="XDP8"/>
      <c r="XDQ8"/>
      <c r="XDR8"/>
      <c r="XDS8"/>
      <c r="XDT8"/>
      <c r="XDU8"/>
      <c r="XDV8"/>
      <c r="XDW8"/>
      <c r="XDX8"/>
      <c r="XDY8"/>
      <c r="XDZ8"/>
      <c r="XEA8"/>
      <c r="XEB8"/>
      <c r="XEC8"/>
      <c r="XED8"/>
      <c r="XEE8"/>
      <c r="XEF8"/>
      <c r="XEG8"/>
      <c r="XEH8"/>
      <c r="XEI8"/>
      <c r="XEJ8"/>
      <c r="XEK8"/>
      <c r="XEL8"/>
      <c r="XEM8"/>
      <c r="XEN8"/>
      <c r="XEO8"/>
      <c r="XEP8"/>
      <c r="XEQ8"/>
      <c r="XER8"/>
      <c r="XES8"/>
      <c r="XET8"/>
      <c r="XEU8"/>
      <c r="XEV8"/>
      <c r="XEW8"/>
      <c r="XEX8"/>
      <c r="XEY8"/>
      <c r="XEZ8"/>
      <c r="XFA8"/>
      <c r="XFB8"/>
      <c r="XFC8"/>
      <c r="XFD8"/>
    </row>
    <row r="9" spans="1:54 16151:16384" s="132" customFormat="1" ht="14.1">
      <c r="A9" s="138" t="s">
        <v>29</v>
      </c>
      <c r="B9" s="138" t="s">
        <v>138</v>
      </c>
      <c r="C9" s="149" t="s">
        <v>245</v>
      </c>
      <c r="D9" s="140" t="s">
        <v>133</v>
      </c>
      <c r="E9" s="141" t="s">
        <v>120</v>
      </c>
      <c r="F9" s="141" t="s">
        <v>121</v>
      </c>
      <c r="G9" s="141" t="s">
        <v>122</v>
      </c>
      <c r="H9" s="141" t="s">
        <v>134</v>
      </c>
      <c r="I9" s="142" t="str">
        <f t="shared" si="0"/>
        <v>No of Racks</v>
      </c>
      <c r="J9" s="141">
        <v>2</v>
      </c>
      <c r="K9" s="141">
        <v>2</v>
      </c>
      <c r="L9" s="143">
        <f t="shared" si="1"/>
        <v>0</v>
      </c>
      <c r="M9" s="142">
        <f t="shared" si="2"/>
        <v>2</v>
      </c>
      <c r="N9" s="141">
        <v>0</v>
      </c>
      <c r="O9" s="141"/>
      <c r="P9" s="144"/>
      <c r="Q9" s="145"/>
      <c r="R9" s="145"/>
      <c r="S9" s="145"/>
      <c r="T9" s="146"/>
      <c r="U9" s="141"/>
      <c r="V9" s="145"/>
      <c r="W9" s="145"/>
      <c r="X9" s="145"/>
      <c r="Y9" s="145"/>
      <c r="Z9" s="145"/>
      <c r="AA9" s="145"/>
      <c r="AB9" s="145"/>
      <c r="AC9" s="142"/>
      <c r="AD9" s="142"/>
      <c r="AE9" s="142"/>
      <c r="AF9" s="142"/>
      <c r="AG9" s="142"/>
      <c r="AH9" s="142"/>
      <c r="AI9" s="142"/>
      <c r="AJ9" s="142"/>
      <c r="AK9" s="142"/>
      <c r="AL9" s="142"/>
      <c r="AM9" s="142"/>
      <c r="AN9" s="142"/>
      <c r="AO9" s="142"/>
      <c r="AP9" s="142"/>
      <c r="AQ9" s="142"/>
      <c r="AR9" s="142"/>
      <c r="AS9" s="142"/>
      <c r="AT9" s="142"/>
      <c r="AU9" s="142"/>
      <c r="AV9" s="142"/>
      <c r="AW9" s="142"/>
      <c r="AX9" s="142"/>
      <c r="AY9" s="142"/>
      <c r="AZ9" s="142"/>
      <c r="BA9" s="142"/>
      <c r="BB9" s="142"/>
      <c r="WWE9"/>
      <c r="WWF9"/>
      <c r="WWG9"/>
      <c r="WWH9"/>
      <c r="WWI9"/>
      <c r="WWJ9"/>
      <c r="WWK9"/>
      <c r="WWL9"/>
      <c r="WWM9"/>
      <c r="WWN9"/>
      <c r="WWO9"/>
      <c r="WWP9"/>
      <c r="WWQ9"/>
      <c r="WWR9"/>
      <c r="WWS9"/>
      <c r="WWT9"/>
      <c r="WWU9"/>
      <c r="WWV9"/>
      <c r="WWW9"/>
      <c r="WWX9"/>
      <c r="WWY9"/>
      <c r="WWZ9"/>
      <c r="WXA9"/>
      <c r="WXB9"/>
      <c r="WXC9"/>
      <c r="WXD9"/>
      <c r="WXE9"/>
      <c r="WXF9"/>
      <c r="WXG9"/>
      <c r="WXH9"/>
      <c r="WXI9"/>
      <c r="WXJ9"/>
      <c r="WXK9"/>
      <c r="WXL9"/>
      <c r="WXM9"/>
      <c r="WXN9"/>
      <c r="WXO9"/>
      <c r="WXP9"/>
      <c r="WXQ9"/>
      <c r="WXR9"/>
      <c r="WXS9"/>
      <c r="WXT9"/>
      <c r="WXU9"/>
      <c r="WXV9"/>
      <c r="WXW9"/>
      <c r="WXX9"/>
      <c r="WXY9"/>
      <c r="WXZ9"/>
      <c r="WYA9"/>
      <c r="WYB9"/>
      <c r="WYC9"/>
      <c r="WYD9"/>
      <c r="WYE9"/>
      <c r="WYF9"/>
      <c r="WYG9"/>
      <c r="WYH9"/>
      <c r="WYI9"/>
      <c r="WYJ9"/>
      <c r="WYK9"/>
      <c r="WYL9"/>
      <c r="WYM9"/>
      <c r="WYN9"/>
      <c r="WYO9"/>
      <c r="WYP9"/>
      <c r="WYQ9"/>
      <c r="WYR9"/>
      <c r="WYS9"/>
      <c r="WYT9"/>
      <c r="WYU9"/>
      <c r="WYV9"/>
      <c r="WYW9"/>
      <c r="WYX9"/>
      <c r="WYY9"/>
      <c r="WYZ9"/>
      <c r="WZA9"/>
      <c r="WZB9"/>
      <c r="WZC9"/>
      <c r="WZD9"/>
      <c r="WZE9"/>
      <c r="WZF9"/>
      <c r="WZG9"/>
      <c r="WZH9"/>
      <c r="WZI9"/>
      <c r="WZJ9"/>
      <c r="WZK9"/>
      <c r="WZL9"/>
      <c r="WZM9"/>
      <c r="WZN9"/>
      <c r="WZO9"/>
      <c r="WZP9"/>
      <c r="WZQ9"/>
      <c r="WZR9"/>
      <c r="WZS9"/>
      <c r="WZT9"/>
      <c r="WZU9"/>
      <c r="WZV9"/>
      <c r="WZW9"/>
      <c r="WZX9"/>
      <c r="WZY9"/>
      <c r="WZZ9"/>
      <c r="XAA9"/>
      <c r="XAB9"/>
      <c r="XAC9"/>
      <c r="XAD9"/>
      <c r="XAE9"/>
      <c r="XAF9"/>
      <c r="XAG9"/>
      <c r="XAH9"/>
      <c r="XAI9"/>
      <c r="XAJ9"/>
      <c r="XAK9"/>
      <c r="XAL9"/>
      <c r="XAM9"/>
      <c r="XAN9"/>
      <c r="XAO9"/>
      <c r="XAP9"/>
      <c r="XAQ9"/>
      <c r="XAR9"/>
      <c r="XAS9"/>
      <c r="XAT9"/>
      <c r="XAU9"/>
      <c r="XAV9"/>
      <c r="XAW9"/>
      <c r="XAX9"/>
      <c r="XAY9"/>
      <c r="XAZ9"/>
      <c r="XBA9"/>
      <c r="XBB9"/>
      <c r="XBC9"/>
      <c r="XBD9"/>
      <c r="XBE9"/>
      <c r="XBF9"/>
      <c r="XBG9"/>
      <c r="XBH9"/>
      <c r="XBI9"/>
      <c r="XBJ9"/>
      <c r="XBK9"/>
      <c r="XBL9"/>
      <c r="XBM9"/>
      <c r="XBN9"/>
      <c r="XBO9"/>
      <c r="XBP9"/>
      <c r="XBQ9"/>
      <c r="XBR9"/>
      <c r="XBS9"/>
      <c r="XBT9"/>
      <c r="XBU9"/>
      <c r="XBV9"/>
      <c r="XBW9"/>
      <c r="XBX9"/>
      <c r="XBY9"/>
      <c r="XBZ9"/>
      <c r="XCA9"/>
      <c r="XCB9"/>
      <c r="XCC9"/>
      <c r="XCD9"/>
      <c r="XCE9"/>
      <c r="XCF9"/>
      <c r="XCG9"/>
      <c r="XCH9"/>
      <c r="XCI9"/>
      <c r="XCJ9"/>
      <c r="XCK9"/>
      <c r="XCL9"/>
      <c r="XCM9"/>
      <c r="XCN9"/>
      <c r="XCO9"/>
      <c r="XCP9"/>
      <c r="XCQ9"/>
      <c r="XCR9"/>
      <c r="XCS9"/>
      <c r="XCT9"/>
      <c r="XCU9"/>
      <c r="XCV9"/>
      <c r="XCW9"/>
      <c r="XCX9"/>
      <c r="XCY9"/>
      <c r="XCZ9"/>
      <c r="XDA9"/>
      <c r="XDB9"/>
      <c r="XDC9"/>
      <c r="XDD9"/>
      <c r="XDE9"/>
      <c r="XDF9"/>
      <c r="XDG9"/>
      <c r="XDH9"/>
      <c r="XDI9"/>
      <c r="XDJ9"/>
      <c r="XDK9"/>
      <c r="XDL9"/>
      <c r="XDM9"/>
      <c r="XDN9"/>
      <c r="XDO9"/>
      <c r="XDP9"/>
      <c r="XDQ9"/>
      <c r="XDR9"/>
      <c r="XDS9"/>
      <c r="XDT9"/>
      <c r="XDU9"/>
      <c r="XDV9"/>
      <c r="XDW9"/>
      <c r="XDX9"/>
      <c r="XDY9"/>
      <c r="XDZ9"/>
      <c r="XEA9"/>
      <c r="XEB9"/>
      <c r="XEC9"/>
      <c r="XED9"/>
      <c r="XEE9"/>
      <c r="XEF9"/>
      <c r="XEG9"/>
      <c r="XEH9"/>
      <c r="XEI9"/>
      <c r="XEJ9"/>
      <c r="XEK9"/>
      <c r="XEL9"/>
      <c r="XEM9"/>
      <c r="XEN9"/>
      <c r="XEO9"/>
      <c r="XEP9"/>
      <c r="XEQ9"/>
      <c r="XER9"/>
      <c r="XES9"/>
      <c r="XET9"/>
      <c r="XEU9"/>
      <c r="XEV9"/>
      <c r="XEW9"/>
      <c r="XEX9"/>
      <c r="XEY9"/>
      <c r="XEZ9"/>
      <c r="XFA9"/>
      <c r="XFB9"/>
      <c r="XFC9"/>
      <c r="XFD9"/>
    </row>
    <row r="10" spans="1:54 16151:16384" s="132" customFormat="1" ht="14.1">
      <c r="A10" s="138" t="s">
        <v>29</v>
      </c>
      <c r="B10" s="138" t="s">
        <v>152</v>
      </c>
      <c r="C10" s="149" t="s">
        <v>246</v>
      </c>
      <c r="D10" s="140" t="s">
        <v>133</v>
      </c>
      <c r="E10" s="141" t="s">
        <v>120</v>
      </c>
      <c r="F10" s="141" t="s">
        <v>121</v>
      </c>
      <c r="G10" s="141" t="s">
        <v>122</v>
      </c>
      <c r="H10" s="141" t="s">
        <v>123</v>
      </c>
      <c r="I10" s="142" t="str">
        <f t="shared" si="0"/>
        <v>No of Racks</v>
      </c>
      <c r="J10" s="141">
        <v>5</v>
      </c>
      <c r="K10" s="141">
        <v>5</v>
      </c>
      <c r="L10" s="143">
        <f t="shared" si="1"/>
        <v>0</v>
      </c>
      <c r="M10" s="142">
        <f t="shared" si="2"/>
        <v>5</v>
      </c>
      <c r="N10" s="141">
        <v>0</v>
      </c>
      <c r="O10" s="141"/>
      <c r="P10" s="144"/>
      <c r="Q10" s="145"/>
      <c r="R10" s="145"/>
      <c r="S10" s="145"/>
      <c r="T10" s="146"/>
      <c r="U10" s="141"/>
      <c r="V10" s="145"/>
      <c r="W10" s="145"/>
      <c r="X10" s="145"/>
      <c r="Y10" s="145"/>
      <c r="Z10" s="145"/>
      <c r="AA10" s="145"/>
      <c r="AB10" s="145"/>
      <c r="AC10" s="142"/>
      <c r="AD10" s="142"/>
      <c r="AE10" s="142"/>
      <c r="AF10" s="142"/>
      <c r="AG10" s="142"/>
      <c r="AH10" s="142"/>
      <c r="AI10" s="142"/>
      <c r="AJ10" s="142"/>
      <c r="AK10" s="142"/>
      <c r="AL10" s="142"/>
      <c r="AM10" s="142"/>
      <c r="AN10" s="142"/>
      <c r="AO10" s="142"/>
      <c r="AP10" s="142"/>
      <c r="AQ10" s="142"/>
      <c r="AR10" s="142"/>
      <c r="AS10" s="142"/>
      <c r="AT10" s="142"/>
      <c r="AU10" s="142"/>
      <c r="AV10" s="142"/>
      <c r="AW10" s="142"/>
      <c r="AX10" s="142"/>
      <c r="AY10" s="142"/>
      <c r="AZ10" s="142"/>
      <c r="BA10" s="142"/>
      <c r="BB10" s="142"/>
      <c r="WWE10"/>
      <c r="WWF10"/>
      <c r="WWG10"/>
      <c r="WWH10"/>
      <c r="WWI10"/>
      <c r="WWJ10"/>
      <c r="WWK10"/>
      <c r="WWL10"/>
      <c r="WWM10"/>
      <c r="WWN10"/>
      <c r="WWO10"/>
      <c r="WWP10"/>
      <c r="WWQ10"/>
      <c r="WWR10"/>
      <c r="WWS10"/>
      <c r="WWT10"/>
      <c r="WWU10"/>
      <c r="WWV10"/>
      <c r="WWW10"/>
      <c r="WWX10"/>
      <c r="WWY10"/>
      <c r="WWZ10"/>
      <c r="WXA10"/>
      <c r="WXB10"/>
      <c r="WXC10"/>
      <c r="WXD10"/>
      <c r="WXE10"/>
      <c r="WXF10"/>
      <c r="WXG10"/>
      <c r="WXH10"/>
      <c r="WXI10"/>
      <c r="WXJ10"/>
      <c r="WXK10"/>
      <c r="WXL10"/>
      <c r="WXM10"/>
      <c r="WXN10"/>
      <c r="WXO10"/>
      <c r="WXP10"/>
      <c r="WXQ10"/>
      <c r="WXR10"/>
      <c r="WXS10"/>
      <c r="WXT10"/>
      <c r="WXU10"/>
      <c r="WXV10"/>
      <c r="WXW10"/>
      <c r="WXX10"/>
      <c r="WXY10"/>
      <c r="WXZ10"/>
      <c r="WYA10"/>
      <c r="WYB10"/>
      <c r="WYC10"/>
      <c r="WYD10"/>
      <c r="WYE10"/>
      <c r="WYF10"/>
      <c r="WYG10"/>
      <c r="WYH10"/>
      <c r="WYI10"/>
      <c r="WYJ10"/>
      <c r="WYK10"/>
      <c r="WYL10"/>
      <c r="WYM10"/>
      <c r="WYN10"/>
      <c r="WYO10"/>
      <c r="WYP10"/>
      <c r="WYQ10"/>
      <c r="WYR10"/>
      <c r="WYS10"/>
      <c r="WYT10"/>
      <c r="WYU10"/>
      <c r="WYV10"/>
      <c r="WYW10"/>
      <c r="WYX10"/>
      <c r="WYY10"/>
      <c r="WYZ10"/>
      <c r="WZA10"/>
      <c r="WZB10"/>
      <c r="WZC10"/>
      <c r="WZD10"/>
      <c r="WZE10"/>
      <c r="WZF10"/>
      <c r="WZG10"/>
      <c r="WZH10"/>
      <c r="WZI10"/>
      <c r="WZJ10"/>
      <c r="WZK10"/>
      <c r="WZL10"/>
      <c r="WZM10"/>
      <c r="WZN10"/>
      <c r="WZO10"/>
      <c r="WZP10"/>
      <c r="WZQ10"/>
      <c r="WZR10"/>
      <c r="WZS10"/>
      <c r="WZT10"/>
      <c r="WZU10"/>
      <c r="WZV10"/>
      <c r="WZW10"/>
      <c r="WZX10"/>
      <c r="WZY10"/>
      <c r="WZZ10"/>
      <c r="XAA10"/>
      <c r="XAB10"/>
      <c r="XAC10"/>
      <c r="XAD10"/>
      <c r="XAE10"/>
      <c r="XAF10"/>
      <c r="XAG10"/>
      <c r="XAH10"/>
      <c r="XAI10"/>
      <c r="XAJ10"/>
      <c r="XAK10"/>
      <c r="XAL10"/>
      <c r="XAM10"/>
      <c r="XAN10"/>
      <c r="XAO10"/>
      <c r="XAP10"/>
      <c r="XAQ10"/>
      <c r="XAR10"/>
      <c r="XAS10"/>
      <c r="XAT10"/>
      <c r="XAU10"/>
      <c r="XAV10"/>
      <c r="XAW10"/>
      <c r="XAX10"/>
      <c r="XAY10"/>
      <c r="XAZ10"/>
      <c r="XBA10"/>
      <c r="XBB10"/>
      <c r="XBC10"/>
      <c r="XBD10"/>
      <c r="XBE10"/>
      <c r="XBF10"/>
      <c r="XBG10"/>
      <c r="XBH10"/>
      <c r="XBI10"/>
      <c r="XBJ10"/>
      <c r="XBK10"/>
      <c r="XBL10"/>
      <c r="XBM10"/>
      <c r="XBN10"/>
      <c r="XBO10"/>
      <c r="XBP10"/>
      <c r="XBQ10"/>
      <c r="XBR10"/>
      <c r="XBS10"/>
      <c r="XBT10"/>
      <c r="XBU10"/>
      <c r="XBV10"/>
      <c r="XBW10"/>
      <c r="XBX10"/>
      <c r="XBY10"/>
      <c r="XBZ10"/>
      <c r="XCA10"/>
      <c r="XCB10"/>
      <c r="XCC10"/>
      <c r="XCD10"/>
      <c r="XCE10"/>
      <c r="XCF10"/>
      <c r="XCG10"/>
      <c r="XCH10"/>
      <c r="XCI10"/>
      <c r="XCJ10"/>
      <c r="XCK10"/>
      <c r="XCL10"/>
      <c r="XCM10"/>
      <c r="XCN10"/>
      <c r="XCO10"/>
      <c r="XCP10"/>
      <c r="XCQ10"/>
      <c r="XCR10"/>
      <c r="XCS10"/>
      <c r="XCT10"/>
      <c r="XCU10"/>
      <c r="XCV10"/>
      <c r="XCW10"/>
      <c r="XCX10"/>
      <c r="XCY10"/>
      <c r="XCZ10"/>
      <c r="XDA10"/>
      <c r="XDB10"/>
      <c r="XDC10"/>
      <c r="XDD10"/>
      <c r="XDE10"/>
      <c r="XDF10"/>
      <c r="XDG10"/>
      <c r="XDH10"/>
      <c r="XDI10"/>
      <c r="XDJ10"/>
      <c r="XDK10"/>
      <c r="XDL10"/>
      <c r="XDM10"/>
      <c r="XDN10"/>
      <c r="XDO10"/>
      <c r="XDP10"/>
      <c r="XDQ10"/>
      <c r="XDR10"/>
      <c r="XDS10"/>
      <c r="XDT10"/>
      <c r="XDU10"/>
      <c r="XDV10"/>
      <c r="XDW10"/>
      <c r="XDX10"/>
      <c r="XDY10"/>
      <c r="XDZ10"/>
      <c r="XEA10"/>
      <c r="XEB10"/>
      <c r="XEC10"/>
      <c r="XED10"/>
      <c r="XEE10"/>
      <c r="XEF10"/>
      <c r="XEG10"/>
      <c r="XEH10"/>
      <c r="XEI10"/>
      <c r="XEJ10"/>
      <c r="XEK10"/>
      <c r="XEL10"/>
      <c r="XEM10"/>
      <c r="XEN10"/>
      <c r="XEO10"/>
      <c r="XEP10"/>
      <c r="XEQ10"/>
      <c r="XER10"/>
      <c r="XES10"/>
      <c r="XET10"/>
      <c r="XEU10"/>
      <c r="XEV10"/>
      <c r="XEW10"/>
      <c r="XEX10"/>
      <c r="XEY10"/>
      <c r="XEZ10"/>
      <c r="XFA10"/>
      <c r="XFB10"/>
      <c r="XFC10"/>
      <c r="XFD10"/>
    </row>
    <row r="11" spans="1:54 16151:16384" s="132" customFormat="1" ht="14.1">
      <c r="A11" s="138" t="s">
        <v>29</v>
      </c>
      <c r="B11" s="138" t="s">
        <v>130</v>
      </c>
      <c r="C11" s="150" t="s">
        <v>247</v>
      </c>
      <c r="D11" s="151" t="s">
        <v>119</v>
      </c>
      <c r="E11" s="152" t="s">
        <v>120</v>
      </c>
      <c r="F11" s="153" t="s">
        <v>121</v>
      </c>
      <c r="G11" s="152" t="s">
        <v>122</v>
      </c>
      <c r="H11" s="152" t="s">
        <v>123</v>
      </c>
      <c r="I11" s="142" t="str">
        <f t="shared" si="0"/>
        <v>No of Racks</v>
      </c>
      <c r="J11" s="154">
        <v>19</v>
      </c>
      <c r="K11" s="154">
        <v>19</v>
      </c>
      <c r="L11" s="143">
        <f t="shared" si="1"/>
        <v>0</v>
      </c>
      <c r="M11" s="142">
        <f t="shared" si="2"/>
        <v>19</v>
      </c>
      <c r="N11" s="142">
        <f t="shared" ref="N11:N17" si="3">J11-M11</f>
        <v>0</v>
      </c>
      <c r="O11" s="155">
        <f>6303333/12/19</f>
        <v>27646.197368421053</v>
      </c>
      <c r="P11" s="156" t="str">
        <f>E11</f>
        <v>Subscribed</v>
      </c>
      <c r="Q11" s="152" t="s">
        <v>6</v>
      </c>
      <c r="R11" s="157">
        <v>58</v>
      </c>
      <c r="S11" s="158">
        <v>27.35</v>
      </c>
      <c r="T11" s="159">
        <f t="shared" ref="T11:T17" si="4">R11-S11</f>
        <v>30.65</v>
      </c>
      <c r="U11" s="142">
        <v>0</v>
      </c>
      <c r="V11" s="158">
        <f>IF(T11&lt;=0,0,(IF(P11="Rated",(T11+U11)*$V$1,(T11+U11))))</f>
        <v>30.65</v>
      </c>
      <c r="W11" s="158">
        <f>IF(P11="Rated",R11*$V$1,R11)</f>
        <v>58</v>
      </c>
      <c r="X11" s="158">
        <f t="shared" ref="X11:X17" si="5">S11</f>
        <v>27.35</v>
      </c>
      <c r="Y11" s="158">
        <f t="shared" ref="Y11:Y17" si="6">S11</f>
        <v>27.35</v>
      </c>
      <c r="Z11" s="158">
        <f t="shared" ref="Z11:Z17" si="7">T11*-1</f>
        <v>-30.65</v>
      </c>
      <c r="AA11" s="160"/>
      <c r="AB11" s="145" t="s">
        <v>121</v>
      </c>
      <c r="AC11" s="142">
        <v>1</v>
      </c>
      <c r="AD11" s="158" t="s">
        <v>129</v>
      </c>
      <c r="AE11" s="142">
        <v>15</v>
      </c>
      <c r="AF11" s="142">
        <v>37695.300000000003</v>
      </c>
      <c r="AG11" s="161" t="s">
        <v>126</v>
      </c>
      <c r="AH11" s="142" t="s">
        <v>127</v>
      </c>
      <c r="AI11" s="142">
        <v>6</v>
      </c>
      <c r="AJ11" s="142">
        <v>6</v>
      </c>
      <c r="AK11" s="142">
        <v>0</v>
      </c>
      <c r="AL11" s="142">
        <f t="shared" ref="AL11:AL17" si="8">AI11</f>
        <v>6</v>
      </c>
      <c r="AM11" s="142">
        <v>0</v>
      </c>
      <c r="AN11" s="155">
        <f>(100000/12)</f>
        <v>8333.3333333333339</v>
      </c>
      <c r="AO11" s="162">
        <f>O11*M11</f>
        <v>525277.75</v>
      </c>
      <c r="AP11" s="160"/>
      <c r="AQ11" s="160">
        <f>AF11*AE11*AC11</f>
        <v>565429.5</v>
      </c>
      <c r="AR11" s="160">
        <f>AN11*AL11</f>
        <v>50000</v>
      </c>
      <c r="AS11" s="155"/>
      <c r="AT11" s="160">
        <f>SUBTOTAL(9,AO11:AS11)</f>
        <v>1140707.25</v>
      </c>
      <c r="AU11" s="160"/>
      <c r="AV11" s="163"/>
      <c r="AW11" s="164"/>
      <c r="AX11" s="142"/>
      <c r="AY11" s="164"/>
      <c r="AZ11" s="142"/>
      <c r="BA11" s="142"/>
      <c r="BB11" s="142" t="s">
        <v>248</v>
      </c>
    </row>
    <row r="12" spans="1:54 16151:16384" s="132" customFormat="1" ht="14.1">
      <c r="A12" s="165" t="s">
        <v>29</v>
      </c>
      <c r="B12" s="165" t="s">
        <v>152</v>
      </c>
      <c r="C12" s="166" t="s">
        <v>249</v>
      </c>
      <c r="D12" s="152" t="s">
        <v>161</v>
      </c>
      <c r="E12" s="152" t="s">
        <v>136</v>
      </c>
      <c r="F12" s="153" t="s">
        <v>137</v>
      </c>
      <c r="G12" s="167" t="s">
        <v>156</v>
      </c>
      <c r="H12" s="152" t="s">
        <v>134</v>
      </c>
      <c r="I12" s="142" t="str">
        <f t="shared" si="0"/>
        <v>U Space</v>
      </c>
      <c r="J12" s="167">
        <v>2</v>
      </c>
      <c r="K12" s="167">
        <v>5</v>
      </c>
      <c r="L12" s="143">
        <f t="shared" si="1"/>
        <v>-3</v>
      </c>
      <c r="M12" s="167">
        <v>4</v>
      </c>
      <c r="N12" s="142">
        <f t="shared" si="3"/>
        <v>-2</v>
      </c>
      <c r="O12" s="168">
        <f>(39750+39750/4)/12</f>
        <v>4140.625</v>
      </c>
      <c r="P12" s="156" t="s">
        <v>136</v>
      </c>
      <c r="Q12" s="152" t="s">
        <v>6</v>
      </c>
      <c r="R12" s="167">
        <v>0.5</v>
      </c>
      <c r="S12" s="169">
        <v>0.186</v>
      </c>
      <c r="T12" s="159">
        <f t="shared" si="4"/>
        <v>0.314</v>
      </c>
      <c r="U12" s="158">
        <v>0</v>
      </c>
      <c r="V12" s="158" t="e" vm="1">
        <f>IF(T12&lt;=0,0,(IF(P12="Rated",(T12+U12)*'[1]Customer details'!$V$1,(T12+U12))))</f>
        <v>#VALUE!</v>
      </c>
      <c r="W12" s="158" t="e" vm="1">
        <f>IF(P12="Rated",R12*'[1]Customer details'!$V$1,R12)</f>
        <v>#VALUE!</v>
      </c>
      <c r="X12" s="158">
        <f t="shared" si="5"/>
        <v>0.186</v>
      </c>
      <c r="Y12" s="158">
        <f t="shared" si="6"/>
        <v>0.186</v>
      </c>
      <c r="Z12" s="158">
        <f t="shared" si="7"/>
        <v>-0.314</v>
      </c>
      <c r="AA12" s="142"/>
      <c r="AB12" s="145" t="s">
        <v>136</v>
      </c>
      <c r="AC12" s="158">
        <v>1.8</v>
      </c>
      <c r="AD12" s="142"/>
      <c r="AE12" s="142"/>
      <c r="AF12" s="170"/>
      <c r="AG12" s="161" t="s">
        <v>126</v>
      </c>
      <c r="AH12" s="142" t="s">
        <v>127</v>
      </c>
      <c r="AI12" s="142">
        <v>0</v>
      </c>
      <c r="AJ12" s="142">
        <v>0</v>
      </c>
      <c r="AK12" s="142">
        <v>0</v>
      </c>
      <c r="AL12" s="142">
        <f t="shared" si="8"/>
        <v>0</v>
      </c>
      <c r="AM12" s="142">
        <v>0</v>
      </c>
      <c r="AN12" s="142"/>
      <c r="AO12" s="142"/>
      <c r="AP12" s="142"/>
      <c r="AQ12" s="142"/>
      <c r="AR12" s="142"/>
      <c r="AS12" s="142"/>
      <c r="AT12" s="142"/>
      <c r="AU12" s="142"/>
      <c r="AV12" s="142"/>
      <c r="AW12" s="142"/>
      <c r="AX12" s="142"/>
      <c r="AY12" s="142"/>
      <c r="AZ12" s="142"/>
      <c r="BA12" s="142"/>
      <c r="BB12" s="142"/>
    </row>
    <row r="13" spans="1:54 16151:16384" s="132" customFormat="1" ht="14.1">
      <c r="A13" s="165" t="s">
        <v>29</v>
      </c>
      <c r="B13" s="165" t="s">
        <v>152</v>
      </c>
      <c r="C13" s="166" t="s">
        <v>250</v>
      </c>
      <c r="D13" s="152" t="s">
        <v>161</v>
      </c>
      <c r="E13" s="152" t="s">
        <v>136</v>
      </c>
      <c r="F13" s="153" t="s">
        <v>137</v>
      </c>
      <c r="G13" s="167" t="s">
        <v>122</v>
      </c>
      <c r="H13" s="152" t="s">
        <v>134</v>
      </c>
      <c r="I13" s="142" t="str">
        <f t="shared" si="0"/>
        <v>No of Racks</v>
      </c>
      <c r="J13" s="167">
        <v>4</v>
      </c>
      <c r="K13" s="167">
        <v>4</v>
      </c>
      <c r="L13" s="143">
        <f t="shared" si="1"/>
        <v>0</v>
      </c>
      <c r="M13" s="167">
        <v>4</v>
      </c>
      <c r="N13" s="142">
        <f t="shared" si="3"/>
        <v>0</v>
      </c>
      <c r="O13" s="158"/>
      <c r="P13" s="156" t="s">
        <v>136</v>
      </c>
      <c r="Q13" s="152" t="s">
        <v>6</v>
      </c>
      <c r="R13" s="171">
        <v>29</v>
      </c>
      <c r="S13" s="169">
        <v>28.96</v>
      </c>
      <c r="T13" s="159">
        <f t="shared" si="4"/>
        <v>3.9999999999999147E-2</v>
      </c>
      <c r="U13" s="158">
        <v>0</v>
      </c>
      <c r="V13" s="158" t="e" vm="1">
        <f>IF(T13&lt;=0,0,(IF(P13="Rated",(T13+U13)*'[1]Customer details'!$V$1,(T13+U13))))</f>
        <v>#VALUE!</v>
      </c>
      <c r="W13" s="158" t="e" vm="1">
        <f>IF(P13="Rated",R13*'[1]Customer details'!$V$1,R13)</f>
        <v>#VALUE!</v>
      </c>
      <c r="X13" s="158">
        <f t="shared" si="5"/>
        <v>28.96</v>
      </c>
      <c r="Y13" s="158">
        <f t="shared" si="6"/>
        <v>28.96</v>
      </c>
      <c r="Z13" s="158">
        <f t="shared" si="7"/>
        <v>-3.9999999999999147E-2</v>
      </c>
      <c r="AA13" s="142"/>
      <c r="AB13" s="145" t="s">
        <v>136</v>
      </c>
      <c r="AC13" s="158">
        <v>1.8</v>
      </c>
      <c r="AD13" s="142"/>
      <c r="AE13" s="142"/>
      <c r="AF13" s="170"/>
      <c r="AG13" s="161" t="s">
        <v>126</v>
      </c>
      <c r="AH13" s="142" t="s">
        <v>127</v>
      </c>
      <c r="AI13" s="142">
        <v>1</v>
      </c>
      <c r="AJ13" s="142">
        <v>1</v>
      </c>
      <c r="AK13" s="142">
        <v>0</v>
      </c>
      <c r="AL13" s="142">
        <f t="shared" si="8"/>
        <v>1</v>
      </c>
      <c r="AM13" s="142">
        <v>0</v>
      </c>
      <c r="AN13" s="142"/>
      <c r="AO13" s="142"/>
      <c r="AP13" s="142"/>
      <c r="AQ13" s="142"/>
      <c r="AR13" s="142"/>
      <c r="AS13" s="142"/>
      <c r="AT13" s="142"/>
      <c r="AU13" s="142"/>
      <c r="AV13" s="142"/>
      <c r="AW13" s="142"/>
      <c r="AX13" s="142"/>
      <c r="AY13" s="142"/>
      <c r="AZ13" s="142"/>
      <c r="BA13" s="142"/>
      <c r="BB13" s="142"/>
    </row>
    <row r="14" spans="1:54 16151:16384" s="132" customFormat="1" ht="14.1">
      <c r="A14" s="138" t="s">
        <v>29</v>
      </c>
      <c r="B14" s="138" t="s">
        <v>152</v>
      </c>
      <c r="C14" s="147" t="s">
        <v>251</v>
      </c>
      <c r="D14" s="142" t="s">
        <v>133</v>
      </c>
      <c r="E14" s="152" t="s">
        <v>120</v>
      </c>
      <c r="F14" s="153" t="s">
        <v>121</v>
      </c>
      <c r="G14" s="152" t="s">
        <v>122</v>
      </c>
      <c r="H14" s="152" t="s">
        <v>134</v>
      </c>
      <c r="I14" s="142" t="str">
        <f t="shared" si="0"/>
        <v>No of Racks</v>
      </c>
      <c r="J14" s="165">
        <v>10</v>
      </c>
      <c r="K14" s="165">
        <v>10</v>
      </c>
      <c r="L14" s="143">
        <f t="shared" si="1"/>
        <v>0</v>
      </c>
      <c r="M14" s="142">
        <f t="shared" ref="M14:M21" si="9">J14</f>
        <v>10</v>
      </c>
      <c r="N14" s="142">
        <f t="shared" si="3"/>
        <v>0</v>
      </c>
      <c r="O14" s="155"/>
      <c r="P14" s="156" t="str">
        <f t="shared" ref="P14:P21" si="10">E14</f>
        <v>Subscribed</v>
      </c>
      <c r="Q14" s="152" t="s">
        <v>150</v>
      </c>
      <c r="R14" s="172">
        <v>30</v>
      </c>
      <c r="S14" s="158">
        <v>17.350000000000001</v>
      </c>
      <c r="T14" s="159">
        <f t="shared" si="4"/>
        <v>12.649999999999999</v>
      </c>
      <c r="U14" s="158">
        <v>0</v>
      </c>
      <c r="V14" s="158">
        <f>IF(T14&lt;=0,0,(IF(P14="Rated",(T14+U14)*$V$1,(T14+U14))))</f>
        <v>12.649999999999999</v>
      </c>
      <c r="W14" s="158">
        <f>IF(P14="Rated",R14*$V$1,R14)</f>
        <v>30</v>
      </c>
      <c r="X14" s="158">
        <f t="shared" si="5"/>
        <v>17.350000000000001</v>
      </c>
      <c r="Y14" s="158">
        <f t="shared" si="6"/>
        <v>17.350000000000001</v>
      </c>
      <c r="Z14" s="158">
        <f t="shared" si="7"/>
        <v>-12.649999999999999</v>
      </c>
      <c r="AA14" s="160"/>
      <c r="AB14" s="145" t="s">
        <v>121</v>
      </c>
      <c r="AC14" s="158">
        <v>1.8</v>
      </c>
      <c r="AD14" s="158"/>
      <c r="AE14" s="158"/>
      <c r="AF14" s="173">
        <v>0</v>
      </c>
      <c r="AG14" s="161" t="s">
        <v>126</v>
      </c>
      <c r="AH14" s="142" t="s">
        <v>127</v>
      </c>
      <c r="AI14" s="158">
        <v>0</v>
      </c>
      <c r="AJ14" s="158">
        <v>0</v>
      </c>
      <c r="AK14" s="142">
        <f t="shared" ref="AK14:AK21" si="11">AI14-AJ14</f>
        <v>0</v>
      </c>
      <c r="AL14" s="158">
        <f t="shared" si="8"/>
        <v>0</v>
      </c>
      <c r="AM14" s="158">
        <v>0</v>
      </c>
      <c r="AN14" s="174"/>
      <c r="AO14" s="162">
        <f>O14*M14</f>
        <v>0</v>
      </c>
      <c r="AP14" s="160"/>
      <c r="AQ14" s="160">
        <f>AF14*AE14*AC14</f>
        <v>0</v>
      </c>
      <c r="AR14" s="160">
        <f>AN14*AL14</f>
        <v>0</v>
      </c>
      <c r="AS14" s="160"/>
      <c r="AT14" s="160">
        <f>SUBTOTAL(9,AO14:AS14)</f>
        <v>0</v>
      </c>
      <c r="AU14" s="160"/>
      <c r="AV14" s="163"/>
      <c r="AW14" s="164"/>
      <c r="AX14" s="142"/>
      <c r="AY14" s="164"/>
      <c r="AZ14" s="142"/>
      <c r="BA14" s="142"/>
      <c r="BB14" s="142"/>
    </row>
    <row r="15" spans="1:54 16151:16384" s="132" customFormat="1" ht="14.1">
      <c r="A15" s="165" t="s">
        <v>29</v>
      </c>
      <c r="B15" s="165" t="s">
        <v>152</v>
      </c>
      <c r="C15" s="148" t="s">
        <v>252</v>
      </c>
      <c r="D15" s="152" t="s">
        <v>161</v>
      </c>
      <c r="E15" s="152" t="s">
        <v>136</v>
      </c>
      <c r="F15" s="153" t="s">
        <v>137</v>
      </c>
      <c r="G15" s="175" t="s">
        <v>122</v>
      </c>
      <c r="H15" s="152" t="s">
        <v>134</v>
      </c>
      <c r="I15" s="142" t="str">
        <f t="shared" si="0"/>
        <v>No of Racks</v>
      </c>
      <c r="J15" s="169">
        <v>1</v>
      </c>
      <c r="K15" s="169">
        <v>1</v>
      </c>
      <c r="L15" s="143">
        <f t="shared" si="1"/>
        <v>0</v>
      </c>
      <c r="M15" s="142">
        <f t="shared" si="9"/>
        <v>1</v>
      </c>
      <c r="N15" s="142">
        <f t="shared" si="3"/>
        <v>0</v>
      </c>
      <c r="O15" s="168">
        <f>30000/12</f>
        <v>2500</v>
      </c>
      <c r="P15" s="156" t="str">
        <f t="shared" si="10"/>
        <v>Rated</v>
      </c>
      <c r="Q15" s="152" t="s">
        <v>6</v>
      </c>
      <c r="R15" s="169">
        <v>4</v>
      </c>
      <c r="S15" s="169">
        <v>6.2</v>
      </c>
      <c r="T15" s="159">
        <f t="shared" si="4"/>
        <v>-2.2000000000000002</v>
      </c>
      <c r="U15" s="158">
        <v>0</v>
      </c>
      <c r="V15" s="158">
        <f>IF(T15&lt;=0,0,(IF(P15="Rated",(T15+U15)*'[2]Customer details'!$V$1,(T15+U15))))</f>
        <v>0</v>
      </c>
      <c r="W15" s="158">
        <f>IF(P15="Rated",R15*'[2]Customer details'!$V$1,R15)</f>
        <v>2</v>
      </c>
      <c r="X15" s="158">
        <f t="shared" si="5"/>
        <v>6.2</v>
      </c>
      <c r="Y15" s="158">
        <f t="shared" si="6"/>
        <v>6.2</v>
      </c>
      <c r="Z15" s="158">
        <f t="shared" si="7"/>
        <v>2.2000000000000002</v>
      </c>
      <c r="AA15" s="168">
        <f>90000/12</f>
        <v>7500</v>
      </c>
      <c r="AB15" s="145" t="s">
        <v>136</v>
      </c>
      <c r="AC15" s="158">
        <v>1.8</v>
      </c>
      <c r="AD15" s="158"/>
      <c r="AE15" s="158"/>
      <c r="AF15" s="158"/>
      <c r="AG15" s="161" t="s">
        <v>126</v>
      </c>
      <c r="AH15" s="142" t="s">
        <v>127</v>
      </c>
      <c r="AI15" s="142">
        <v>1</v>
      </c>
      <c r="AJ15" s="142">
        <v>1</v>
      </c>
      <c r="AK15" s="142">
        <f t="shared" si="11"/>
        <v>0</v>
      </c>
      <c r="AL15" s="142">
        <f t="shared" si="8"/>
        <v>1</v>
      </c>
      <c r="AM15" s="142">
        <v>0</v>
      </c>
      <c r="AN15" s="174"/>
      <c r="AO15" s="162">
        <f>O15*M15</f>
        <v>2500</v>
      </c>
      <c r="AP15" s="160"/>
      <c r="AQ15" s="160">
        <f>AF15*AE15*AC15</f>
        <v>0</v>
      </c>
      <c r="AR15" s="160">
        <f>AN15*AL15</f>
        <v>0</v>
      </c>
      <c r="AS15" s="155"/>
      <c r="AT15" s="160">
        <f>SUBTOTAL(9,AO15:AS15)</f>
        <v>2500</v>
      </c>
      <c r="AU15" s="160"/>
      <c r="AV15" s="163"/>
      <c r="AW15" s="164"/>
      <c r="AX15" s="142"/>
      <c r="AY15" s="164"/>
      <c r="AZ15" s="142"/>
      <c r="BA15" s="142"/>
      <c r="BB15" s="142"/>
      <c r="WWE15" s="96"/>
      <c r="WWF15" s="96"/>
      <c r="WWG15" s="96"/>
      <c r="WWH15" s="96"/>
      <c r="WWI15" s="96"/>
      <c r="WWJ15" s="96"/>
      <c r="WWK15" s="96"/>
      <c r="WWL15" s="96"/>
      <c r="WWM15" s="96"/>
      <c r="WWN15" s="96"/>
      <c r="WWO15" s="96"/>
      <c r="WWP15" s="96"/>
      <c r="WWQ15" s="96"/>
      <c r="WWR15" s="96"/>
      <c r="WWS15" s="96"/>
      <c r="WWT15" s="96"/>
      <c r="WWU15" s="96"/>
      <c r="WWV15" s="96"/>
      <c r="WWW15" s="96"/>
      <c r="WWX15" s="96"/>
      <c r="WWY15" s="96"/>
      <c r="WWZ15" s="96"/>
      <c r="WXA15" s="96"/>
      <c r="WXB15" s="96"/>
      <c r="WXC15" s="96"/>
      <c r="WXD15" s="96"/>
      <c r="WXE15" s="96"/>
      <c r="WXF15" s="96"/>
      <c r="WXG15" s="96"/>
      <c r="WXH15" s="96"/>
      <c r="WXI15" s="96"/>
      <c r="WXJ15" s="96"/>
      <c r="WXK15" s="96"/>
      <c r="WXL15" s="96"/>
      <c r="WXM15" s="96"/>
      <c r="WXN15" s="96"/>
      <c r="WXO15" s="96"/>
      <c r="WXP15" s="96"/>
      <c r="WXQ15" s="96"/>
      <c r="WXR15" s="96"/>
      <c r="WXS15" s="96"/>
      <c r="WXT15" s="96"/>
      <c r="WXU15" s="96"/>
      <c r="WXV15" s="96"/>
      <c r="WXW15" s="96"/>
      <c r="WXX15" s="96"/>
      <c r="WXY15" s="96"/>
      <c r="WXZ15" s="96"/>
      <c r="WYA15" s="96"/>
      <c r="WYB15" s="96"/>
      <c r="WYC15" s="96"/>
      <c r="WYD15" s="96"/>
      <c r="WYE15" s="96"/>
      <c r="WYF15" s="96"/>
      <c r="WYG15" s="96"/>
      <c r="WYH15" s="96"/>
      <c r="WYI15" s="96"/>
      <c r="WYJ15" s="96"/>
      <c r="WYK15" s="96"/>
      <c r="WYL15" s="96"/>
      <c r="WYM15" s="96"/>
      <c r="WYN15" s="96"/>
      <c r="WYO15" s="96"/>
      <c r="WYP15" s="96"/>
      <c r="WYQ15" s="96"/>
      <c r="WYR15" s="96"/>
      <c r="WYS15" s="96"/>
      <c r="WYT15" s="96"/>
      <c r="WYU15" s="96"/>
      <c r="WYV15" s="96"/>
      <c r="WYW15" s="96"/>
      <c r="WYX15" s="96"/>
      <c r="WYY15" s="96"/>
      <c r="WYZ15" s="96"/>
      <c r="WZA15" s="96"/>
      <c r="WZB15" s="96"/>
      <c r="WZC15" s="96"/>
      <c r="WZD15" s="96"/>
      <c r="WZE15" s="96"/>
      <c r="WZF15" s="96"/>
      <c r="WZG15" s="96"/>
      <c r="WZH15" s="96"/>
      <c r="WZI15" s="96"/>
      <c r="WZJ15" s="96"/>
      <c r="WZK15" s="96"/>
      <c r="WZL15" s="96"/>
      <c r="WZM15" s="96"/>
      <c r="WZN15" s="96"/>
      <c r="WZO15" s="96"/>
      <c r="WZP15" s="96"/>
      <c r="WZQ15" s="96"/>
      <c r="WZR15" s="96"/>
      <c r="WZS15" s="96"/>
      <c r="WZT15" s="96"/>
      <c r="WZU15" s="96"/>
      <c r="WZV15" s="96"/>
      <c r="WZW15" s="96"/>
      <c r="WZX15" s="96"/>
      <c r="WZY15" s="96"/>
      <c r="WZZ15" s="96"/>
      <c r="XAA15" s="96"/>
      <c r="XAB15" s="96"/>
      <c r="XAC15" s="96"/>
      <c r="XAD15" s="96"/>
      <c r="XAE15" s="96"/>
      <c r="XAF15" s="96"/>
      <c r="XAG15" s="96"/>
      <c r="XAH15" s="96"/>
      <c r="XAI15" s="96"/>
      <c r="XAJ15" s="96"/>
      <c r="XAK15" s="96"/>
      <c r="XAL15" s="96"/>
      <c r="XAM15" s="96"/>
      <c r="XAN15" s="96"/>
      <c r="XAO15" s="96"/>
      <c r="XAP15" s="96"/>
      <c r="XAQ15" s="96"/>
      <c r="XAR15" s="96"/>
      <c r="XAS15" s="96"/>
      <c r="XAT15" s="96"/>
      <c r="XAU15" s="96"/>
      <c r="XAV15" s="96"/>
      <c r="XAW15" s="96"/>
      <c r="XAX15" s="96"/>
      <c r="XAY15" s="96"/>
      <c r="XAZ15" s="96"/>
      <c r="XBA15" s="96"/>
      <c r="XBB15" s="96"/>
      <c r="XBC15" s="96"/>
      <c r="XBD15" s="96"/>
      <c r="XBE15" s="96"/>
      <c r="XBF15" s="96"/>
      <c r="XBG15" s="96"/>
      <c r="XBH15" s="96"/>
      <c r="XBI15" s="96"/>
      <c r="XBJ15" s="96"/>
      <c r="XBK15" s="96"/>
      <c r="XBL15" s="96"/>
      <c r="XBM15" s="96"/>
      <c r="XBN15" s="96"/>
      <c r="XBO15" s="96"/>
      <c r="XBP15" s="96"/>
      <c r="XBQ15" s="96"/>
      <c r="XBR15" s="96"/>
      <c r="XBS15" s="96"/>
      <c r="XBT15" s="96"/>
      <c r="XBU15" s="96"/>
      <c r="XBV15" s="96"/>
      <c r="XBW15" s="96"/>
      <c r="XBX15" s="96"/>
      <c r="XBY15" s="96"/>
      <c r="XBZ15" s="96"/>
      <c r="XCA15" s="96"/>
      <c r="XCB15" s="96"/>
      <c r="XCC15" s="96"/>
      <c r="XCD15" s="96"/>
      <c r="XCE15" s="96"/>
      <c r="XCF15" s="96"/>
      <c r="XCG15" s="96"/>
      <c r="XCH15" s="96"/>
      <c r="XCI15" s="96"/>
      <c r="XCJ15" s="96"/>
      <c r="XCK15" s="96"/>
      <c r="XCL15" s="96"/>
      <c r="XCM15" s="96"/>
      <c r="XCN15" s="96"/>
      <c r="XCO15" s="96"/>
      <c r="XCP15" s="96"/>
      <c r="XCQ15" s="96"/>
      <c r="XCR15" s="96"/>
      <c r="XCS15" s="96"/>
      <c r="XCT15" s="96"/>
      <c r="XCU15" s="96"/>
      <c r="XCV15" s="96"/>
      <c r="XCW15" s="96"/>
      <c r="XCX15" s="96"/>
      <c r="XCY15" s="96"/>
      <c r="XCZ15" s="96"/>
      <c r="XDA15" s="96"/>
      <c r="XDB15" s="96"/>
      <c r="XDC15" s="96"/>
      <c r="XDD15" s="96"/>
      <c r="XDE15" s="96"/>
      <c r="XDF15" s="96"/>
      <c r="XDG15" s="96"/>
      <c r="XDH15" s="96"/>
      <c r="XDI15" s="96"/>
      <c r="XDJ15" s="96"/>
      <c r="XDK15" s="96"/>
      <c r="XDL15" s="96"/>
      <c r="XDM15" s="96"/>
      <c r="XDN15" s="96"/>
      <c r="XDO15" s="96"/>
      <c r="XDP15" s="96"/>
      <c r="XDQ15" s="96"/>
      <c r="XDR15" s="96"/>
      <c r="XDS15" s="96"/>
      <c r="XDT15" s="96"/>
      <c r="XDU15" s="96"/>
      <c r="XDV15" s="96"/>
      <c r="XDW15" s="96"/>
      <c r="XDX15" s="96"/>
      <c r="XDY15" s="96"/>
      <c r="XDZ15" s="96"/>
      <c r="XEA15" s="96"/>
      <c r="XEB15" s="96"/>
      <c r="XEC15" s="96"/>
      <c r="XED15" s="96"/>
      <c r="XEE15" s="96"/>
      <c r="XEF15" s="96"/>
      <c r="XEG15" s="96"/>
      <c r="XEH15" s="96"/>
      <c r="XEI15" s="96"/>
      <c r="XEJ15" s="96"/>
      <c r="XEK15" s="96"/>
      <c r="XEL15" s="96"/>
      <c r="XEM15" s="96"/>
      <c r="XEN15" s="96"/>
      <c r="XEO15" s="96"/>
      <c r="XEP15" s="96"/>
      <c r="XEQ15" s="96"/>
      <c r="XER15" s="96"/>
      <c r="XES15" s="96"/>
      <c r="XET15" s="96"/>
      <c r="XEU15" s="96"/>
      <c r="XEV15" s="96"/>
      <c r="XEW15" s="96"/>
      <c r="XEX15" s="96"/>
      <c r="XEY15" s="96"/>
      <c r="XEZ15" s="96"/>
      <c r="XFA15" s="96"/>
      <c r="XFB15" s="96"/>
      <c r="XFC15" s="96"/>
      <c r="XFD15" s="96"/>
    </row>
    <row r="16" spans="1:54 16151:16384" s="96" customFormat="1" ht="14.1">
      <c r="A16" s="165" t="s">
        <v>29</v>
      </c>
      <c r="B16" s="165" t="s">
        <v>152</v>
      </c>
      <c r="C16" s="176" t="s">
        <v>253</v>
      </c>
      <c r="D16" s="152" t="s">
        <v>161</v>
      </c>
      <c r="E16" s="152" t="s">
        <v>136</v>
      </c>
      <c r="F16" s="153" t="s">
        <v>137</v>
      </c>
      <c r="G16" s="175" t="s">
        <v>156</v>
      </c>
      <c r="H16" s="152" t="s">
        <v>134</v>
      </c>
      <c r="I16" s="142" t="str">
        <f t="shared" si="0"/>
        <v>U Space</v>
      </c>
      <c r="J16" s="169">
        <v>4</v>
      </c>
      <c r="K16" s="169">
        <v>4</v>
      </c>
      <c r="L16" s="143">
        <f t="shared" si="1"/>
        <v>0</v>
      </c>
      <c r="M16" s="142">
        <f t="shared" si="9"/>
        <v>4</v>
      </c>
      <c r="N16" s="142">
        <f t="shared" si="3"/>
        <v>0</v>
      </c>
      <c r="O16" s="168">
        <f>360000/21/12</f>
        <v>1428.5714285714284</v>
      </c>
      <c r="P16" s="156" t="str">
        <f t="shared" si="10"/>
        <v>Rated</v>
      </c>
      <c r="Q16" s="152" t="s">
        <v>6</v>
      </c>
      <c r="R16" s="169">
        <v>1</v>
      </c>
      <c r="S16" s="169">
        <v>0.84699999999999998</v>
      </c>
      <c r="T16" s="159">
        <f t="shared" si="4"/>
        <v>0.15300000000000002</v>
      </c>
      <c r="U16" s="158">
        <v>0</v>
      </c>
      <c r="V16" s="158" t="e">
        <f>IF(T16&lt;=0,0,(IF(P16="Rated",(T16+U16)*'Customer details'!#REF!,(T16+U16))))</f>
        <v>#REF!</v>
      </c>
      <c r="W16" s="158" t="e">
        <f>IF(P16="Rated",R16*'Customer details'!#REF!,R16)</f>
        <v>#REF!</v>
      </c>
      <c r="X16" s="158">
        <f t="shared" si="5"/>
        <v>0.84699999999999998</v>
      </c>
      <c r="Y16" s="158">
        <f t="shared" si="6"/>
        <v>0.84699999999999998</v>
      </c>
      <c r="Z16" s="158">
        <f t="shared" si="7"/>
        <v>-0.15300000000000002</v>
      </c>
      <c r="AA16" s="168">
        <f>90000/12</f>
        <v>7500</v>
      </c>
      <c r="AB16" s="145" t="s">
        <v>136</v>
      </c>
      <c r="AC16" s="158">
        <v>1.8</v>
      </c>
      <c r="AD16" s="158"/>
      <c r="AE16" s="158"/>
      <c r="AF16" s="158"/>
      <c r="AG16" s="161" t="s">
        <v>126</v>
      </c>
      <c r="AH16" s="142" t="s">
        <v>127</v>
      </c>
      <c r="AI16" s="142">
        <v>0</v>
      </c>
      <c r="AJ16" s="142">
        <v>0</v>
      </c>
      <c r="AK16" s="142">
        <f t="shared" si="11"/>
        <v>0</v>
      </c>
      <c r="AL16" s="142">
        <f t="shared" si="8"/>
        <v>0</v>
      </c>
      <c r="AM16" s="142">
        <v>0</v>
      </c>
      <c r="AN16" s="174"/>
      <c r="AO16" s="162">
        <f>O16*M16</f>
        <v>5714.2857142857138</v>
      </c>
      <c r="AP16" s="160"/>
      <c r="AQ16" s="160">
        <f>AF16*AE16*AC16</f>
        <v>0</v>
      </c>
      <c r="AR16" s="160">
        <f>AN16*AL16</f>
        <v>0</v>
      </c>
      <c r="AS16" s="155"/>
      <c r="AT16" s="160">
        <f>SUBTOTAL(9,AO16:AS16)</f>
        <v>5714.2857142857138</v>
      </c>
      <c r="AU16" s="160"/>
      <c r="AV16" s="163"/>
      <c r="AW16" s="164"/>
      <c r="AX16" s="142"/>
      <c r="AY16" s="164"/>
      <c r="AZ16" s="142"/>
      <c r="BA16" s="142"/>
      <c r="BB16" s="142"/>
    </row>
    <row r="17" spans="1:54 16151:16384" s="96" customFormat="1" ht="14.1">
      <c r="A17" s="237" t="s">
        <v>29</v>
      </c>
      <c r="B17" s="237" t="s">
        <v>152</v>
      </c>
      <c r="C17" s="166" t="s">
        <v>254</v>
      </c>
      <c r="D17" s="152" t="s">
        <v>161</v>
      </c>
      <c r="E17" s="152" t="s">
        <v>136</v>
      </c>
      <c r="F17" s="153" t="s">
        <v>137</v>
      </c>
      <c r="G17" s="167" t="s">
        <v>122</v>
      </c>
      <c r="H17" s="152" t="s">
        <v>134</v>
      </c>
      <c r="I17" s="142" t="str">
        <f t="shared" si="0"/>
        <v>No of Racks</v>
      </c>
      <c r="J17" s="167">
        <v>1</v>
      </c>
      <c r="K17" s="167">
        <v>1</v>
      </c>
      <c r="L17" s="143">
        <f t="shared" si="1"/>
        <v>0</v>
      </c>
      <c r="M17" s="142">
        <f t="shared" si="9"/>
        <v>1</v>
      </c>
      <c r="N17" s="142">
        <f t="shared" si="3"/>
        <v>0</v>
      </c>
      <c r="O17" s="158"/>
      <c r="P17" s="156" t="str">
        <f t="shared" si="10"/>
        <v>Rated</v>
      </c>
      <c r="Q17" s="152" t="s">
        <v>6</v>
      </c>
      <c r="R17" s="167">
        <v>2.77</v>
      </c>
      <c r="S17" s="169">
        <v>0.06</v>
      </c>
      <c r="T17" s="159">
        <f t="shared" si="4"/>
        <v>2.71</v>
      </c>
      <c r="U17" s="158">
        <v>0</v>
      </c>
      <c r="V17" s="158" t="e">
        <f>IF(T17&lt;=0,0,(IF(P17="Rated",(T17+U17)*'Customer details'!#REF!,(T17+U17))))</f>
        <v>#REF!</v>
      </c>
      <c r="W17" s="158" t="e">
        <f>IF(P17="Rated",R17*'Customer details'!#REF!,R17)</f>
        <v>#REF!</v>
      </c>
      <c r="X17" s="158">
        <f t="shared" si="5"/>
        <v>0.06</v>
      </c>
      <c r="Y17" s="158">
        <f t="shared" si="6"/>
        <v>0.06</v>
      </c>
      <c r="Z17" s="158">
        <f t="shared" si="7"/>
        <v>-2.71</v>
      </c>
      <c r="AA17" s="142"/>
      <c r="AB17" s="145" t="s">
        <v>136</v>
      </c>
      <c r="AC17" s="158">
        <v>1.8</v>
      </c>
      <c r="AD17" s="142"/>
      <c r="AE17" s="170"/>
      <c r="AF17" s="170"/>
      <c r="AG17" s="161" t="s">
        <v>126</v>
      </c>
      <c r="AH17" s="142" t="s">
        <v>127</v>
      </c>
      <c r="AI17" s="142">
        <v>0</v>
      </c>
      <c r="AJ17" s="142">
        <v>0</v>
      </c>
      <c r="AK17" s="142">
        <f t="shared" si="11"/>
        <v>0</v>
      </c>
      <c r="AL17" s="142">
        <f t="shared" si="8"/>
        <v>0</v>
      </c>
      <c r="AM17" s="142">
        <v>0</v>
      </c>
      <c r="AN17" s="142"/>
      <c r="AO17" s="142"/>
      <c r="AP17" s="142"/>
      <c r="AQ17" s="142"/>
      <c r="AR17" s="142"/>
      <c r="AS17" s="142"/>
      <c r="AT17" s="142"/>
      <c r="AU17" s="142"/>
      <c r="AV17" s="142"/>
      <c r="AW17" s="142"/>
      <c r="AX17" s="142"/>
      <c r="AY17" s="142"/>
      <c r="AZ17" s="142"/>
      <c r="BA17" s="142"/>
      <c r="BB17" s="142"/>
      <c r="WWE17"/>
      <c r="WWF17"/>
      <c r="WWG17"/>
      <c r="WWH17"/>
      <c r="WWI17"/>
      <c r="WWJ17"/>
      <c r="WWK17"/>
      <c r="WWL17"/>
      <c r="WWM17"/>
      <c r="WWN17"/>
      <c r="WWO17"/>
      <c r="WWP17"/>
      <c r="WWQ17"/>
      <c r="WWR17"/>
      <c r="WWS17"/>
      <c r="WWT17"/>
      <c r="WWU17"/>
      <c r="WWV17"/>
      <c r="WWW17"/>
      <c r="WWX17"/>
      <c r="WWY17"/>
      <c r="WWZ17"/>
      <c r="WXA17"/>
      <c r="WXB17"/>
      <c r="WXC17"/>
      <c r="WXD17"/>
      <c r="WXE17"/>
      <c r="WXF17"/>
      <c r="WXG17"/>
      <c r="WXH17"/>
      <c r="WXI17"/>
      <c r="WXJ17"/>
      <c r="WXK17"/>
      <c r="WXL17"/>
      <c r="WXM17"/>
      <c r="WXN17"/>
      <c r="WXO17"/>
      <c r="WXP17"/>
      <c r="WXQ17"/>
      <c r="WXR17"/>
      <c r="WXS17"/>
      <c r="WXT17"/>
      <c r="WXU17"/>
      <c r="WXV17"/>
      <c r="WXW17"/>
      <c r="WXX17"/>
      <c r="WXY17"/>
      <c r="WXZ17"/>
      <c r="WYA17"/>
      <c r="WYB17"/>
      <c r="WYC17"/>
      <c r="WYD17"/>
      <c r="WYE17"/>
      <c r="WYF17"/>
      <c r="WYG17"/>
      <c r="WYH17"/>
      <c r="WYI17"/>
      <c r="WYJ17"/>
      <c r="WYK17"/>
      <c r="WYL17"/>
      <c r="WYM17"/>
      <c r="WYN17"/>
      <c r="WYO17"/>
      <c r="WYP17"/>
      <c r="WYQ17"/>
      <c r="WYR17"/>
      <c r="WYS17"/>
      <c r="WYT17"/>
      <c r="WYU17"/>
      <c r="WYV17"/>
      <c r="WYW17"/>
      <c r="WYX17"/>
      <c r="WYY17"/>
      <c r="WYZ17"/>
      <c r="WZA17"/>
      <c r="WZB17"/>
      <c r="WZC17"/>
      <c r="WZD17"/>
      <c r="WZE17"/>
      <c r="WZF17"/>
      <c r="WZG17"/>
      <c r="WZH17"/>
      <c r="WZI17"/>
      <c r="WZJ17"/>
      <c r="WZK17"/>
      <c r="WZL17"/>
      <c r="WZM17"/>
      <c r="WZN17"/>
      <c r="WZO17"/>
      <c r="WZP17"/>
      <c r="WZQ17"/>
      <c r="WZR17"/>
      <c r="WZS17"/>
      <c r="WZT17"/>
      <c r="WZU17"/>
      <c r="WZV17"/>
      <c r="WZW17"/>
      <c r="WZX17"/>
      <c r="WZY17"/>
      <c r="WZZ17"/>
      <c r="XAA17"/>
      <c r="XAB17"/>
      <c r="XAC17"/>
      <c r="XAD17"/>
      <c r="XAE17"/>
      <c r="XAF17"/>
      <c r="XAG17"/>
      <c r="XAH17"/>
      <c r="XAI17"/>
      <c r="XAJ17"/>
      <c r="XAK17"/>
      <c r="XAL17"/>
      <c r="XAM17"/>
      <c r="XAN17"/>
      <c r="XAO17"/>
      <c r="XAP17"/>
      <c r="XAQ17"/>
      <c r="XAR17"/>
      <c r="XAS17"/>
      <c r="XAT17"/>
      <c r="XAU17"/>
      <c r="XAV17"/>
      <c r="XAW17"/>
      <c r="XAX17"/>
      <c r="XAY17"/>
      <c r="XAZ17"/>
      <c r="XBA17"/>
      <c r="XBB17"/>
      <c r="XBC17"/>
      <c r="XBD17"/>
      <c r="XBE17"/>
      <c r="XBF17"/>
      <c r="XBG17"/>
      <c r="XBH17"/>
      <c r="XBI17"/>
      <c r="XBJ17"/>
      <c r="XBK17"/>
      <c r="XBL17"/>
      <c r="XBM17"/>
      <c r="XBN17"/>
      <c r="XBO17"/>
      <c r="XBP17"/>
      <c r="XBQ17"/>
      <c r="XBR17"/>
      <c r="XBS17"/>
      <c r="XBT17"/>
      <c r="XBU17"/>
      <c r="XBV17"/>
      <c r="XBW17"/>
      <c r="XBX17"/>
      <c r="XBY17"/>
      <c r="XBZ17"/>
      <c r="XCA17"/>
      <c r="XCB17"/>
      <c r="XCC17"/>
      <c r="XCD17"/>
      <c r="XCE17"/>
      <c r="XCF17"/>
      <c r="XCG17"/>
      <c r="XCH17"/>
      <c r="XCI17"/>
      <c r="XCJ17"/>
      <c r="XCK17"/>
      <c r="XCL17"/>
      <c r="XCM17"/>
      <c r="XCN17"/>
      <c r="XCO17"/>
      <c r="XCP17"/>
      <c r="XCQ17"/>
      <c r="XCR17"/>
      <c r="XCS17"/>
      <c r="XCT17"/>
      <c r="XCU17"/>
      <c r="XCV17"/>
      <c r="XCW17"/>
      <c r="XCX17"/>
      <c r="XCY17"/>
      <c r="XCZ17"/>
      <c r="XDA17"/>
      <c r="XDB17"/>
      <c r="XDC17"/>
      <c r="XDD17"/>
      <c r="XDE17"/>
      <c r="XDF17"/>
      <c r="XDG17"/>
      <c r="XDH17"/>
      <c r="XDI17"/>
      <c r="XDJ17"/>
      <c r="XDK17"/>
      <c r="XDL17"/>
      <c r="XDM17"/>
      <c r="XDN17"/>
      <c r="XDO17"/>
      <c r="XDP17"/>
      <c r="XDQ17"/>
      <c r="XDR17"/>
      <c r="XDS17"/>
      <c r="XDT17"/>
      <c r="XDU17"/>
      <c r="XDV17"/>
      <c r="XDW17"/>
      <c r="XDX17"/>
      <c r="XDY17"/>
      <c r="XDZ17"/>
      <c r="XEA17"/>
      <c r="XEB17"/>
      <c r="XEC17"/>
      <c r="XED17"/>
      <c r="XEE17"/>
      <c r="XEF17"/>
      <c r="XEG17"/>
      <c r="XEH17"/>
      <c r="XEI17"/>
      <c r="XEJ17"/>
      <c r="XEK17"/>
      <c r="XEL17"/>
      <c r="XEM17"/>
      <c r="XEN17"/>
      <c r="XEO17"/>
      <c r="XEP17"/>
      <c r="XEQ17"/>
      <c r="XER17"/>
      <c r="XES17"/>
      <c r="XET17"/>
      <c r="XEU17"/>
      <c r="XEV17"/>
      <c r="XEW17"/>
      <c r="XEX17"/>
      <c r="XEY17"/>
      <c r="XEZ17"/>
      <c r="XFA17"/>
      <c r="XFB17"/>
      <c r="XFC17"/>
      <c r="XFD17"/>
    </row>
    <row r="18" spans="1:54 16151:16384" s="96" customFormat="1" ht="12">
      <c r="A18" s="238" t="s">
        <v>29</v>
      </c>
      <c r="B18" s="238" t="s">
        <v>152</v>
      </c>
      <c r="C18" s="115" t="s">
        <v>255</v>
      </c>
      <c r="D18" s="182" t="s">
        <v>161</v>
      </c>
      <c r="E18" s="182" t="s">
        <v>136</v>
      </c>
      <c r="F18" s="190" t="s">
        <v>137</v>
      </c>
      <c r="G18" s="181" t="s">
        <v>122</v>
      </c>
      <c r="H18" s="182" t="s">
        <v>134</v>
      </c>
      <c r="I18" s="111" t="str">
        <f>IF(G18="Rack","No of Racks",(IF(G18="Space","Sq Ft","U Space")))</f>
        <v>No of Racks</v>
      </c>
      <c r="J18" s="210">
        <v>1</v>
      </c>
      <c r="K18" s="210">
        <v>1</v>
      </c>
      <c r="L18" s="184">
        <f>J18-K18</f>
        <v>0</v>
      </c>
      <c r="M18" s="111">
        <f t="shared" si="9"/>
        <v>1</v>
      </c>
      <c r="N18" s="111">
        <f>J18-M18</f>
        <v>0</v>
      </c>
      <c r="O18" s="207">
        <f>634575/17/12</f>
        <v>3110.6617647058824</v>
      </c>
      <c r="P18" s="186" t="str">
        <f t="shared" si="10"/>
        <v>Rated</v>
      </c>
      <c r="Q18" s="182" t="s">
        <v>6</v>
      </c>
      <c r="R18" s="229">
        <v>3</v>
      </c>
      <c r="S18" s="229">
        <v>2.25</v>
      </c>
      <c r="T18" s="177">
        <f>R18-S18</f>
        <v>0.75</v>
      </c>
      <c r="U18" s="178">
        <v>0</v>
      </c>
      <c r="V18" s="178" t="e">
        <f>IF(T18&lt;=0,0,(IF(P18="Rated",(T18+U18)*'Customer details'!#REF!,(T18+U18))))</f>
        <v>#REF!</v>
      </c>
      <c r="W18" s="178" t="e">
        <f>IF(P18="Rated",R18*'Customer details'!#REF!,R18)</f>
        <v>#REF!</v>
      </c>
      <c r="X18" s="178">
        <f>S18</f>
        <v>2.25</v>
      </c>
      <c r="Y18" s="178">
        <f>S18</f>
        <v>2.25</v>
      </c>
      <c r="Z18" s="178">
        <f>T18*-1</f>
        <v>-0.75</v>
      </c>
      <c r="AA18" s="202">
        <f>95000/12</f>
        <v>7916.666666666667</v>
      </c>
      <c r="AB18" s="189" t="s">
        <v>136</v>
      </c>
      <c r="AC18" s="178">
        <v>1.8</v>
      </c>
      <c r="AD18" s="178"/>
      <c r="AE18" s="178"/>
      <c r="AF18" s="178"/>
      <c r="AG18" s="191" t="s">
        <v>126</v>
      </c>
      <c r="AH18" s="111" t="s">
        <v>127</v>
      </c>
      <c r="AI18" s="111">
        <v>0</v>
      </c>
      <c r="AJ18" s="111">
        <v>0</v>
      </c>
      <c r="AK18" s="111">
        <f t="shared" si="11"/>
        <v>0</v>
      </c>
      <c r="AL18" s="111">
        <f>AI18</f>
        <v>0</v>
      </c>
      <c r="AM18" s="111">
        <v>0</v>
      </c>
      <c r="AN18" s="192"/>
      <c r="AO18" s="193">
        <f>O18*M18</f>
        <v>3110.6617647058824</v>
      </c>
      <c r="AP18" s="188"/>
      <c r="AQ18" s="188">
        <f>AF18*AE18*AC18</f>
        <v>0</v>
      </c>
      <c r="AR18" s="188">
        <f>AN18*AL18</f>
        <v>0</v>
      </c>
      <c r="AS18" s="185"/>
      <c r="AT18" s="194">
        <f>SUBTOTAL(9,AO18:AS18)</f>
        <v>3110.6617647058824</v>
      </c>
      <c r="AU18" s="194"/>
      <c r="AV18" s="195"/>
      <c r="AW18" s="112"/>
      <c r="AX18" s="111"/>
      <c r="AY18" s="112"/>
      <c r="AZ18" s="111"/>
      <c r="BA18" s="111"/>
      <c r="BB18" s="111"/>
    </row>
    <row r="19" spans="1:54 16151:16384" s="96" customFormat="1" ht="11.45">
      <c r="A19" s="238" t="s">
        <v>29</v>
      </c>
      <c r="B19" s="238" t="s">
        <v>152</v>
      </c>
      <c r="C19" s="117" t="s">
        <v>256</v>
      </c>
      <c r="D19" s="182" t="s">
        <v>161</v>
      </c>
      <c r="E19" s="182" t="s">
        <v>136</v>
      </c>
      <c r="F19" s="190" t="s">
        <v>137</v>
      </c>
      <c r="G19" s="114" t="s">
        <v>122</v>
      </c>
      <c r="H19" s="182" t="s">
        <v>134</v>
      </c>
      <c r="I19" s="111" t="str">
        <f>IF(G19="Rack","No of Racks",(IF(G19="Space","Sq Ft","U Space")))</f>
        <v>No of Racks</v>
      </c>
      <c r="J19" s="114">
        <v>1</v>
      </c>
      <c r="K19" s="114">
        <v>1</v>
      </c>
      <c r="L19" s="184">
        <f>J19-K19</f>
        <v>0</v>
      </c>
      <c r="M19" s="111">
        <f t="shared" si="9"/>
        <v>1</v>
      </c>
      <c r="N19" s="111">
        <f>J19-M19</f>
        <v>0</v>
      </c>
      <c r="O19" s="178"/>
      <c r="P19" s="186" t="str">
        <f t="shared" si="10"/>
        <v>Rated</v>
      </c>
      <c r="Q19" s="182" t="s">
        <v>6</v>
      </c>
      <c r="R19" s="231">
        <v>3</v>
      </c>
      <c r="S19" s="229">
        <v>4.0599999999999996</v>
      </c>
      <c r="T19" s="177">
        <f>R19-S19</f>
        <v>-1.0599999999999996</v>
      </c>
      <c r="U19" s="178">
        <v>0</v>
      </c>
      <c r="V19" s="178">
        <f>IF(T19&lt;=0,0,(IF(P19="Rated",(T19+U19)*'Customer details'!#REF!,(T19+U19))))</f>
        <v>0</v>
      </c>
      <c r="W19" s="178" t="e">
        <f>IF(P19="Rated",R19*'Customer details'!#REF!,R19)</f>
        <v>#REF!</v>
      </c>
      <c r="X19" s="178">
        <f>S19</f>
        <v>4.0599999999999996</v>
      </c>
      <c r="Y19" s="178">
        <f>S19</f>
        <v>4.0599999999999996</v>
      </c>
      <c r="Z19" s="178">
        <f>T19*-1</f>
        <v>1.0599999999999996</v>
      </c>
      <c r="AA19" s="111"/>
      <c r="AB19" s="189" t="s">
        <v>136</v>
      </c>
      <c r="AC19" s="178">
        <v>1.8</v>
      </c>
      <c r="AD19" s="111"/>
      <c r="AE19" s="179"/>
      <c r="AF19" s="179"/>
      <c r="AG19" s="191" t="s">
        <v>126</v>
      </c>
      <c r="AH19" s="111" t="s">
        <v>127</v>
      </c>
      <c r="AI19" s="111">
        <v>0</v>
      </c>
      <c r="AJ19" s="111">
        <v>0</v>
      </c>
      <c r="AK19" s="111">
        <f t="shared" si="11"/>
        <v>0</v>
      </c>
      <c r="AL19" s="111">
        <f>AI19</f>
        <v>0</v>
      </c>
      <c r="AM19" s="111">
        <v>0</v>
      </c>
      <c r="AN19" s="111"/>
      <c r="AO19" s="111"/>
      <c r="AP19" s="111"/>
      <c r="AQ19" s="111"/>
      <c r="AR19" s="111"/>
      <c r="AS19" s="111"/>
      <c r="AT19" s="111"/>
      <c r="AU19" s="111"/>
      <c r="AV19" s="111"/>
      <c r="AW19" s="111"/>
      <c r="AX19" s="111"/>
      <c r="AY19" s="111"/>
      <c r="AZ19" s="111"/>
      <c r="BA19" s="111"/>
      <c r="BB19" s="111"/>
    </row>
    <row r="20" spans="1:54 16151:16384" s="96" customFormat="1" ht="12">
      <c r="A20" s="238" t="s">
        <v>29</v>
      </c>
      <c r="B20" s="238" t="s">
        <v>152</v>
      </c>
      <c r="C20" s="118" t="s">
        <v>257</v>
      </c>
      <c r="D20" s="182" t="s">
        <v>133</v>
      </c>
      <c r="E20" s="182" t="s">
        <v>136</v>
      </c>
      <c r="F20" s="190" t="s">
        <v>137</v>
      </c>
      <c r="G20" s="114" t="s">
        <v>122</v>
      </c>
      <c r="H20" s="182" t="s">
        <v>134</v>
      </c>
      <c r="I20" s="111" t="str">
        <f>IF(G20="Rack","No of Racks",(IF(G20="Space","Sq Ft","U Space")))</f>
        <v>No of Racks</v>
      </c>
      <c r="J20" s="114">
        <v>1</v>
      </c>
      <c r="K20" s="114">
        <v>1</v>
      </c>
      <c r="L20" s="184">
        <f>J20-K20</f>
        <v>0</v>
      </c>
      <c r="M20" s="111">
        <f t="shared" si="9"/>
        <v>1</v>
      </c>
      <c r="N20" s="111">
        <f>J20-M20</f>
        <v>0</v>
      </c>
      <c r="O20" s="202"/>
      <c r="P20" s="186" t="str">
        <f t="shared" si="10"/>
        <v>Rated</v>
      </c>
      <c r="Q20" s="182" t="s">
        <v>6</v>
      </c>
      <c r="R20" s="230">
        <v>3</v>
      </c>
      <c r="S20" s="229">
        <v>2.99</v>
      </c>
      <c r="T20" s="177">
        <f>R20-S20</f>
        <v>9.9999999999997868E-3</v>
      </c>
      <c r="U20" s="178">
        <v>0</v>
      </c>
      <c r="V20" s="178" t="e">
        <f>IF(T20&lt;=0,0,(IF(P20="Rated",(T20+U20)*'Customer details'!#REF!,(T20+U20))))</f>
        <v>#REF!</v>
      </c>
      <c r="W20" s="178" t="e">
        <f>IF(P20="Rated",R20*'Customer details'!#REF!,R20)</f>
        <v>#REF!</v>
      </c>
      <c r="X20" s="178">
        <f>S20</f>
        <v>2.99</v>
      </c>
      <c r="Y20" s="178">
        <f>S20</f>
        <v>2.99</v>
      </c>
      <c r="Z20" s="178">
        <f>T20*-1</f>
        <v>-9.9999999999997868E-3</v>
      </c>
      <c r="AA20" s="202">
        <f>98000/12</f>
        <v>8166.666666666667</v>
      </c>
      <c r="AB20" s="189" t="s">
        <v>136</v>
      </c>
      <c r="AC20" s="178">
        <v>1.8</v>
      </c>
      <c r="AD20" s="111"/>
      <c r="AE20" s="179"/>
      <c r="AF20" s="179"/>
      <c r="AG20" s="191" t="s">
        <v>126</v>
      </c>
      <c r="AH20" s="111" t="s">
        <v>212</v>
      </c>
      <c r="AI20" s="111">
        <v>0</v>
      </c>
      <c r="AJ20" s="111">
        <v>0</v>
      </c>
      <c r="AK20" s="111">
        <f t="shared" si="11"/>
        <v>0</v>
      </c>
      <c r="AL20" s="111">
        <f>AI20</f>
        <v>0</v>
      </c>
      <c r="AM20" s="111">
        <v>0</v>
      </c>
      <c r="AN20" s="111"/>
      <c r="AO20" s="111"/>
      <c r="AP20" s="111"/>
      <c r="AQ20" s="111"/>
      <c r="AR20" s="111"/>
      <c r="AS20" s="111"/>
      <c r="AT20" s="111"/>
      <c r="AU20" s="111"/>
      <c r="AV20" s="111"/>
      <c r="AW20" s="111"/>
      <c r="AX20" s="111"/>
      <c r="AY20" s="111"/>
      <c r="AZ20" s="111"/>
      <c r="BA20" s="111"/>
      <c r="BB20" s="111"/>
    </row>
    <row r="21" spans="1:54 16151:16384" s="96" customFormat="1" ht="11.45">
      <c r="A21" s="238" t="s">
        <v>29</v>
      </c>
      <c r="B21" s="239" t="s">
        <v>152</v>
      </c>
      <c r="C21" s="111" t="s">
        <v>258</v>
      </c>
      <c r="D21" s="111" t="s">
        <v>133</v>
      </c>
      <c r="E21" s="182" t="s">
        <v>136</v>
      </c>
      <c r="F21" s="190" t="s">
        <v>137</v>
      </c>
      <c r="G21" s="114" t="s">
        <v>156</v>
      </c>
      <c r="H21" s="182" t="s">
        <v>134</v>
      </c>
      <c r="I21" s="111" t="str">
        <f>IF(G21="Rack","No of Racks",(IF(G21="Space","Sq Ft","U Space")))</f>
        <v>U Space</v>
      </c>
      <c r="J21" s="111">
        <v>3</v>
      </c>
      <c r="K21" s="111">
        <v>3</v>
      </c>
      <c r="L21" s="184">
        <f>J21-K21</f>
        <v>0</v>
      </c>
      <c r="M21" s="111">
        <f t="shared" si="9"/>
        <v>3</v>
      </c>
      <c r="N21" s="111">
        <f>J21-M21</f>
        <v>0</v>
      </c>
      <c r="O21" s="178"/>
      <c r="P21" s="186" t="str">
        <f t="shared" si="10"/>
        <v>Rated</v>
      </c>
      <c r="Q21" s="182" t="s">
        <v>6</v>
      </c>
      <c r="R21" s="228">
        <v>0.6</v>
      </c>
      <c r="S21" s="232">
        <v>0.89300000000000002</v>
      </c>
      <c r="T21" s="177">
        <f>R21-S21</f>
        <v>-0.29300000000000004</v>
      </c>
      <c r="U21" s="178">
        <v>0</v>
      </c>
      <c r="V21" s="178">
        <f>IF(T21&lt;=0,0,(IF(P21="Rated",(T21+U21)*'Customer details'!#REF!,(T21+U21))))</f>
        <v>0</v>
      </c>
      <c r="W21" s="178" t="e">
        <f>IF(P21="Rated",R21*'Customer details'!#REF!,R21)</f>
        <v>#REF!</v>
      </c>
      <c r="X21" s="178">
        <f>S21</f>
        <v>0.89300000000000002</v>
      </c>
      <c r="Y21" s="178">
        <f>S21</f>
        <v>0.89300000000000002</v>
      </c>
      <c r="Z21" s="178">
        <f>T21*-1</f>
        <v>0.29300000000000004</v>
      </c>
      <c r="AA21" s="111"/>
      <c r="AB21" s="189" t="s">
        <v>136</v>
      </c>
      <c r="AC21" s="178">
        <v>1.8</v>
      </c>
      <c r="AD21" s="111"/>
      <c r="AE21" s="179"/>
      <c r="AF21" s="179"/>
      <c r="AG21" s="191" t="s">
        <v>126</v>
      </c>
      <c r="AH21" s="111" t="s">
        <v>127</v>
      </c>
      <c r="AI21" s="111">
        <v>0</v>
      </c>
      <c r="AJ21" s="111">
        <v>0</v>
      </c>
      <c r="AK21" s="111">
        <f t="shared" si="11"/>
        <v>0</v>
      </c>
      <c r="AL21" s="111">
        <f>AI21</f>
        <v>0</v>
      </c>
      <c r="AM21" s="111">
        <v>0</v>
      </c>
      <c r="AN21" s="111"/>
      <c r="AO21" s="111"/>
      <c r="AP21" s="111"/>
      <c r="AQ21" s="111"/>
      <c r="AR21" s="111"/>
      <c r="AS21" s="111"/>
      <c r="AT21" s="111"/>
      <c r="AU21" s="111"/>
      <c r="AV21" s="111"/>
      <c r="AW21" s="111"/>
      <c r="AX21" s="111"/>
      <c r="AY21" s="111"/>
      <c r="AZ21" s="111"/>
      <c r="BA21" s="111"/>
      <c r="BB21" s="111"/>
    </row>
  </sheetData>
  <mergeCells count="7">
    <mergeCell ref="AO2:AU2"/>
    <mergeCell ref="AV2:AY2"/>
    <mergeCell ref="E2:F2"/>
    <mergeCell ref="G2:O2"/>
    <mergeCell ref="P2:AA2"/>
    <mergeCell ref="AB2:AF2"/>
    <mergeCell ref="AG2:AN2"/>
  </mergeCells>
  <conditionalFormatting sqref="AA11">
    <cfRule type="cellIs" dxfId="9" priority="10" operator="lessThanOrEqual">
      <formula>0</formula>
    </cfRule>
    <cfRule type="cellIs" dxfId="8" priority="11" operator="lessThanOrEqual">
      <formula>0</formula>
    </cfRule>
  </conditionalFormatting>
  <conditionalFormatting sqref="AA14">
    <cfRule type="cellIs" dxfId="7" priority="8" operator="lessThanOrEqual">
      <formula>0</formula>
    </cfRule>
    <cfRule type="cellIs" dxfId="6" priority="9" operator="lessThanOrEqual">
      <formula>0</formula>
    </cfRule>
  </conditionalFormatting>
  <conditionalFormatting sqref="AA15:AA16">
    <cfRule type="cellIs" dxfId="5" priority="6" operator="lessThanOrEqual">
      <formula>0</formula>
    </cfRule>
    <cfRule type="cellIs" dxfId="4" priority="7" operator="lessThanOrEqual">
      <formula>0</formula>
    </cfRule>
  </conditionalFormatting>
  <conditionalFormatting sqref="AA18">
    <cfRule type="cellIs" dxfId="3" priority="3" operator="lessThanOrEqual">
      <formula>0</formula>
    </cfRule>
    <cfRule type="cellIs" dxfId="2" priority="4" operator="lessThanOrEqual">
      <formula>0</formula>
    </cfRule>
  </conditionalFormatting>
  <conditionalFormatting sqref="AA20">
    <cfRule type="cellIs" dxfId="1" priority="1" operator="lessThanOrEqual">
      <formula>0</formula>
    </cfRule>
    <cfRule type="cellIs" dxfId="0" priority="2" operator="lessThanOrEqual">
      <formula>0</formula>
    </cfRule>
  </conditionalFormatting>
  <dataValidations count="15">
    <dataValidation type="list" operator="equal" allowBlank="1" showInputMessage="1" showErrorMessage="1" sqref="AD11 JA11 SW11 ACS11 AMO11 AWK11 BGG11 BQC11 BZY11 CJU11 CTQ11 DDM11 DNI11 DXE11 EHA11 EQW11 FAS11 FKO11 FUK11 GEG11 GOC11 GXY11 HHU11 HRQ11 IBM11 ILI11 IVE11 JFA11 JOW11 JYS11 KIO11 KSK11 LCG11 LMC11 LVY11 MFU11 MPQ11 MZM11 NJI11 NTE11 ODA11 OMW11 OWS11 PGO11 PQK11 QAG11 QKC11 QTY11 RDU11 RNQ11 RXM11 SHI11 SRE11 TBA11 TKW11 TUS11 UEO11 UOK11 UYG11 VIC11 VRY11 WBU11 WLQ11 WVM11 JA14:JA16 SW14:SW16 ACS14:ACS16 AMO14:AMO16 AWK14:AWK16 BGG14:BGG16 BQC14:BQC16 BZY14:BZY16 CJU14:CJU16 CTQ14:CTQ16 DDM14:DDM16 DNI14:DNI16 DXE14:DXE16 EHA14:EHA16 EQW14:EQW16 FAS14:FAS16 FKO14:FKO16 FUK14:FUK16 GEG14:GEG16 GOC14:GOC16 GXY14:GXY16 HHU14:HHU16 HRQ14:HRQ16 IBM14:IBM16 ILI14:ILI16 IVE14:IVE16 JFA14:JFA16 JOW14:JOW16 JYS14:JYS16 KIO14:KIO16 KSK14:KSK16 LCG14:LCG16 LMC14:LMC16 LVY14:LVY16 MFU14:MFU16 MPQ14:MPQ16 MZM14:MZM16 NJI14:NJI16 NTE14:NTE16 ODA14:ODA16 OMW14:OMW16 OWS14:OWS16 PGO14:PGO16 PQK14:PQK16 QAG14:QAG16 QKC14:QKC16 QTY14:QTY16 RDU14:RDU16 RNQ14:RNQ16 RXM14:RXM16 SHI14:SHI16 SRE14:SRE16 TBA14:TBA16 TKW14:TKW16 TUS14:TUS16 UEO14:UEO16 UOK14:UOK16 UYG14:UYG16 VIC14:VIC16 VRY14:VRY16 WBU14:WBU16 WLQ14:WLQ16 WVM14:WVM16 JA18 SW18 ACS18 AMO18 AWK18 BGG18 BQC18 BZY18 CJU18 CTQ18 DDM18 DNI18 DXE18 EHA18 EQW18 FAS18 FKO18 FUK18 GEG18 GOC18 GXY18 HHU18 HRQ18 IBM18 ILI18 IVE18 JFA18 JOW18 JYS18 KIO18 KSK18 LCG18 LMC18 LVY18 MFU18 MPQ18 MZM18 NJI18 NTE18 ODA18 OMW18 OWS18 PGO18 PQK18 QAG18 QKC18 QTY18 RDU18 RNQ18 RXM18 SHI18 SRE18 TBA18 TKW18 TUS18 UEO18 UOK18 UYG18 VIC18 VRY18 WBU18 WLQ18 WVM18" xr:uid="{00000000-0002-0000-0400-000000000000}">
      <formula1>"Fixed,Variable"</formula1>
      <formula2>0</formula2>
    </dataValidation>
    <dataValidation type="list" operator="equal" allowBlank="1" showInputMessage="1" showErrorMessage="1" sqref="AU11 JR11 TN11 ADJ11 ANF11 AXB11 BGX11 BQT11 CAP11 CKL11 CUH11 DED11 DNZ11 DXV11 EHR11 ERN11 FBJ11 FLF11 FVB11 GEX11 GOT11 GYP11 HIL11 HSH11 ICD11 ILZ11 IVV11 JFR11 JPN11 JZJ11 KJF11 KTB11 LCX11 LMT11 LWP11 MGL11 MQH11 NAD11 NJZ11 NTV11 ODR11 ONN11 OXJ11 PHF11 PRB11 QAX11 QKT11 QUP11 REL11 ROH11 RYD11 SHZ11 SRV11 TBR11 TLN11 TVJ11 UFF11 UPB11 UYX11 VIT11 VSP11 WCL11 WMH11 WWD11 AU14:AU16 JR14:JR16 TN14:TN16 ADJ14:ADJ16 ANF14:ANF16 AXB14:AXB16 BGX14:BGX16 BQT14:BQT16 CAP14:CAP16 CKL14:CKL16 CUH14:CUH16 DED14:DED16 DNZ14:DNZ16 DXV14:DXV16 EHR14:EHR16 ERN14:ERN16 FBJ14:FBJ16 FLF14:FLF16 FVB14:FVB16 GEX14:GEX16 GOT14:GOT16 GYP14:GYP16 HIL14:HIL16 HSH14:HSH16 ICD14:ICD16 ILZ14:ILZ16 IVV14:IVV16 JFR14:JFR16 JPN14:JPN16 JZJ14:JZJ16 KJF14:KJF16 KTB14:KTB16 LCX14:LCX16 LMT14:LMT16 LWP14:LWP16 MGL14:MGL16 MQH14:MQH16 NAD14:NAD16 NJZ14:NJZ16 NTV14:NTV16 ODR14:ODR16 ONN14:ONN16 OXJ14:OXJ16 PHF14:PHF16 PRB14:PRB16 QAX14:QAX16 QKT14:QKT16 QUP14:QUP16 REL14:REL16 ROH14:ROH16 RYD14:RYD16 SHZ14:SHZ16 SRV14:SRV16 TBR14:TBR16 TLN14:TLN16 TVJ14:TVJ16 UFF14:UFF16 UPB14:UPB16 UYX14:UYX16 VIT14:VIT16 VSP14:VSP16 WCL14:WCL16 WMH14:WMH16 WWD14:WWD16 AU18 JR18 TN18 ADJ18 ANF18 AXB18 BGX18 BQT18 CAP18 CKL18 CUH18 DED18 DNZ18 DXV18 EHR18 ERN18 FBJ18 FLF18 FVB18 GEX18 GOT18 GYP18 HIL18 HSH18 ICD18 ILZ18 IVV18 JFR18 JPN18 JZJ18 KJF18 KTB18 LCX18 LMT18 LWP18 MGL18 MQH18 NAD18 NJZ18 NTV18 ODR18 ONN18 OXJ18 PHF18 PRB18 QAX18 QKT18 QUP18 REL18 ROH18 RYD18 SHZ18 SRV18 TBR18 TLN18 TVJ18 UFF18 UPB18 UYX18 VIT18 VSP18 WCL18 WMH18 WWD18" xr:uid="{00000000-0002-0000-0400-000001000000}">
      <formula1>"Qtrly Adv,Qtry Ars,Monthly Adv,Monthly Ars"</formula1>
      <formula2>0</formula2>
    </dataValidation>
    <dataValidation type="list" operator="equal" allowBlank="1" showInputMessage="1" showErrorMessage="1" sqref="Q11:Q12 IO11 SK11 ACG11 AMC11 AVY11 BFU11 BPQ11 BZM11 CJI11 CTE11 DDA11 DMW11 DWS11 EGO11 EQK11 FAG11 FKC11 FTY11 GDU11 GNQ11 GXM11 HHI11 HRE11 IBA11 IKW11 IUS11 JEO11 JOK11 JYG11 KIC11 KRY11 LBU11 LLQ11 LVM11 MFI11 MPE11 MZA11 NIW11 NSS11 OCO11 OMK11 OWG11 PGC11 PPY11 PZU11 QJQ11 QTM11 RDI11 RNE11 RXA11 SGW11 SQS11 TAO11 TKK11 TUG11 UEC11 UNY11 UXU11 VHQ11 VRM11 WBI11 WLE11 WVA11 IO14:IO16 SK14:SK16 ACG14:ACG16 AMC14:AMC16 AVY14:AVY16 BFU14:BFU16 BPQ14:BPQ16 BZM14:BZM16 CJI14:CJI16 CTE14:CTE16 DDA14:DDA16 DMW14:DMW16 DWS14:DWS16 EGO14:EGO16 EQK14:EQK16 FAG14:FAG16 FKC14:FKC16 FTY14:FTY16 GDU14:GDU16 GNQ14:GNQ16 GXM14:GXM16 HHI14:HHI16 HRE14:HRE16 IBA14:IBA16 IKW14:IKW16 IUS14:IUS16 JEO14:JEO16 JOK14:JOK16 JYG14:JYG16 KIC14:KIC16 KRY14:KRY16 LBU14:LBU16 LLQ14:LLQ16 LVM14:LVM16 MFI14:MFI16 MPE14:MPE16 MZA14:MZA16 NIW14:NIW16 NSS14:NSS16 OCO14:OCO16 OMK14:OMK16 OWG14:OWG16 PGC14:PGC16 PPY14:PPY16 PZU14:PZU16 QJQ14:QJQ16 QTM14:QTM16 RDI14:RDI16 RNE14:RNE16 RXA14:RXA16 SGW14:SGW16 SQS14:SQS16 TAO14:TAO16 TKK14:TKK16 TUG14:TUG16 UEC14:UEC16 UNY14:UNY16 UXU14:UXU16 VHQ14:VHQ16 VRM14:VRM16 WBI14:WBI16 WLE14:WLE16 WVA14:WVA16 Q14:Q20 IO18 SK18 ACG18 AMC18 AVY18 BFU18 BPQ18 BZM18 CJI18 CTE18 DDA18 DMW18 DWS18 EGO18 EQK18 FAG18 FKC18 FTY18 GDU18 GNQ18 GXM18 HHI18 HRE18 IBA18 IKW18 IUS18 JEO18 JOK18 JYG18 KIC18 KRY18 LBU18 LLQ18 LVM18 MFI18 MPE18 MZA18 NIW18 NSS18 OCO18 OMK18 OWG18 PGC18 PPY18 PZU18 QJQ18 QTM18 RDI18 RNE18 RXA18 SGW18 SQS18 TAO18 TKK18 TUG18 UEC18 UNY18 UXU18 VHQ18 VRM18 WBI18 WLE18 WVA18" xr:uid="{00000000-0002-0000-0400-000002000000}">
      <formula1>"KW,KVA"</formula1>
      <formula2>0</formula2>
    </dataValidation>
    <dataValidation type="list" operator="equal" allowBlank="1" showInputMessage="1" showErrorMessage="1" sqref="AG11 JD11 SZ11 ACV11 AMR11 AWN11 BGJ11 BQF11 CAB11 CJX11 CTT11 DDP11 DNL11 DXH11 EHD11 EQZ11 FAV11 FKR11 FUN11 GEJ11 GOF11 GYB11 HHX11 HRT11 IBP11 ILL11 IVH11 JFD11 JOZ11 JYV11 KIR11 KSN11 LCJ11 LMF11 LWB11 MFX11 MPT11 MZP11 NJL11 NTH11 ODD11 OMZ11 OWV11 PGR11 PQN11 QAJ11 QKF11 QUB11 RDX11 RNT11 RXP11 SHL11 SRH11 TBD11 TKZ11 TUV11 UER11 UON11 UYJ11 VIF11 VSB11 WBX11 WLT11 WVP11 JD14:JD16 SZ14:SZ16 ACV14:ACV16 AMR14:AMR16 AWN14:AWN16 BGJ14:BGJ16 BQF14:BQF16 CAB14:CAB16 CJX14:CJX16 CTT14:CTT16 DDP14:DDP16 DNL14:DNL16 DXH14:DXH16 EHD14:EHD16 EQZ14:EQZ16 FAV14:FAV16 FKR14:FKR16 FUN14:FUN16 GEJ14:GEJ16 GOF14:GOF16 GYB14:GYB16 HHX14:HHX16 HRT14:HRT16 IBP14:IBP16 ILL14:ILL16 IVH14:IVH16 JFD14:JFD16 JOZ14:JOZ16 JYV14:JYV16 KIR14:KIR16 KSN14:KSN16 LCJ14:LCJ16 LMF14:LMF16 LWB14:LWB16 MFX14:MFX16 MPT14:MPT16 MZP14:MZP16 NJL14:NJL16 NTH14:NTH16 ODD14:ODD16 OMZ14:OMZ16 OWV14:OWV16 PGR14:PGR16 PQN14:PQN16 QAJ14:QAJ16 QKF14:QKF16 QUB14:QUB16 RDX14:RDX16 RNT14:RNT16 RXP14:RXP16 SHL14:SHL16 SRH14:SRH16 TBD14:TBD16 TKZ14:TKZ16 TUV14:TUV16 UER14:UER16 UON14:UON16 UYJ14:UYJ16 VIF14:VIF16 VSB14:VSB16 WBX14:WBX16 WLT14:WLT16 WVP14:WVP16 JD18 SZ18 ACV18 AMR18 AWN18 BGJ18 BQF18 CAB18 CJX18 CTT18 DDP18 DNL18 DXH18 EHD18 EQZ18 FAV18 FKR18 FUN18 GEJ18 GOF18 GYB18 HHX18 HRT18 IBP18 ILL18 IVH18 JFD18 JOZ18 JYV18 KIR18 KSN18 LCJ18 LMF18 LWB18 MFX18 MPT18 MZP18 NJL18 NTH18 ODD18 OMZ18 OWV18 PGR18 PQN18 QAJ18 QKF18 QUB18 RDX18 RNT18 RXP18 SHL18 SRH18 TBD18 TKZ18 TUV18 UER18 UON18 UYJ18 VIF18 VSB18 WBX18 WLT18 WVP18" xr:uid="{00000000-0002-0000-0400-000003000000}">
      <formula1>"No of Seats,Space"</formula1>
      <formula2>0</formula2>
    </dataValidation>
    <dataValidation type="list" operator="equal" allowBlank="1" showInputMessage="1" showErrorMessage="1" promptTitle="Rack, U Space, Cage" sqref="G11 IE11 SA11 ABW11 ALS11 AVO11 BFK11 BPG11 BZC11 CIY11 CSU11 DCQ11 DMM11 DWI11 EGE11 EQA11 EZW11 FJS11 FTO11 GDK11 GNG11 GXC11 HGY11 HQU11 IAQ11 IKM11 IUI11 JEE11 JOA11 JXW11 KHS11 KRO11 LBK11 LLG11 LVC11 MEY11 MOU11 MYQ11 NIM11 NSI11 OCE11 OMA11 OVW11 PFS11 PPO11 PZK11 QJG11 QTC11 RCY11 RMU11 RWQ11 SGM11 SQI11 TAE11 TKA11 TTW11 UDS11 UNO11 UXK11 VHG11 VRC11 WAY11 WKU11 WUQ11 IE14:IE16 SA14:SA16 ABW14:ABW16 ALS14:ALS16 AVO14:AVO16 BFK14:BFK16 BPG14:BPG16 BZC14:BZC16 CIY14:CIY16 CSU14:CSU16 DCQ14:DCQ16 DMM14:DMM16 DWI14:DWI16 EGE14:EGE16 EQA14:EQA16 EZW14:EZW16 FJS14:FJS16 FTO14:FTO16 GDK14:GDK16 GNG14:GNG16 GXC14:GXC16 HGY14:HGY16 HQU14:HQU16 IAQ14:IAQ16 IKM14:IKM16 IUI14:IUI16 JEE14:JEE16 JOA14:JOA16 JXW14:JXW16 KHS14:KHS16 KRO14:KRO16 LBK14:LBK16 LLG14:LLG16 LVC14:LVC16 MEY14:MEY16 MOU14:MOU16 MYQ14:MYQ16 NIM14:NIM16 NSI14:NSI16 OCE14:OCE16 OMA14:OMA16 OVW14:OVW16 PFS14:PFS16 PPO14:PPO16 PZK14:PZK16 QJG14:QJG16 QTC14:QTC16 RCY14:RCY16 RMU14:RMU16 RWQ14:RWQ16 SGM14:SGM16 SQI14:SQI16 TAE14:TAE16 TKA14:TKA16 TTW14:TTW16 UDS14:UDS16 UNO14:UNO16 UXK14:UXK16 VHG14:VHG16 VRC14:VRC16 WAY14:WAY16 WKU14:WKU16 WUQ14:WUQ16 IE18 SA18 ABW18 ALS18 AVO18 BFK18 BPG18 BZC18 CIY18 CSU18 DCQ18 DMM18 DWI18 EGE18 EQA18 EZW18 FJS18 FTO18 GDK18 GNG18 GXC18 HGY18 HQU18 IAQ18 IKM18 IUI18 JEE18 JOA18 JXW18 KHS18 KRO18 LBK18 LLG18 LVC18 MEY18 MOU18 MYQ18 NIM18 NSI18 OCE18 OMA18 OVW18 PFS18 PPO18 PZK18 QJG18 QTC18 RCY18 RMU18 RWQ18 SGM18 SQI18 TAE18 TKA18 TTW18 UDS18 UNO18 UXK18 VHG18 VRC18 WAY18 WKU18 WUQ18" xr:uid="{00000000-0002-0000-0400-000004000000}">
      <formula1>"Space,Rack,U space"</formula1>
      <formula2>0</formula2>
    </dataValidation>
    <dataValidation type="list" operator="equal" allowBlank="1" showInputMessage="1" showErrorMessage="1" sqref="E11 IC11 RY11 ABU11 ALQ11 AVM11 BFI11 BPE11 BZA11 CIW11 CSS11 DCO11 DMK11 DWG11 EGC11 EPY11 EZU11 FJQ11 FTM11 GDI11 GNE11 GXA11 HGW11 HQS11 IAO11 IKK11 IUG11 JEC11 JNY11 JXU11 KHQ11 KRM11 LBI11 LLE11 LVA11 MEW11 MOS11 MYO11 NIK11 NSG11 OCC11 OLY11 OVU11 PFQ11 PPM11 PZI11 QJE11 QTA11 RCW11 RMS11 RWO11 SGK11 SQG11 TAC11 TJY11 TTU11 UDQ11 UNM11 UXI11 VHE11 VRA11 WAW11 WKS11 WUO11 IC14:IC16 RY14:RY16 ABU14:ABU16 ALQ14:ALQ16 AVM14:AVM16 BFI14:BFI16 BPE14:BPE16 BZA14:BZA16 CIW14:CIW16 CSS14:CSS16 DCO14:DCO16 DMK14:DMK16 DWG14:DWG16 EGC14:EGC16 EPY14:EPY16 EZU14:EZU16 FJQ14:FJQ16 FTM14:FTM16 GDI14:GDI16 GNE14:GNE16 GXA14:GXA16 HGW14:HGW16 HQS14:HQS16 IAO14:IAO16 IKK14:IKK16 IUG14:IUG16 JEC14:JEC16 JNY14:JNY16 JXU14:JXU16 KHQ14:KHQ16 KRM14:KRM16 LBI14:LBI16 LLE14:LLE16 LVA14:LVA16 MEW14:MEW16 MOS14:MOS16 MYO14:MYO16 NIK14:NIK16 NSG14:NSG16 OCC14:OCC16 OLY14:OLY16 OVU14:OVU16 PFQ14:PFQ16 PPM14:PPM16 PZI14:PZI16 QJE14:QJE16 QTA14:QTA16 RCW14:RCW16 RMS14:RMS16 RWO14:RWO16 SGK14:SGK16 SQG14:SQG16 TAC14:TAC16 TJY14:TJY16 TTU14:TTU16 UDQ14:UDQ16 UNM14:UNM16 UXI14:UXI16 VHE14:VHE16 VRA14:VRA16 WAW14:WAW16 WKS14:WKS16 WUO14:WUO16 IC18 RY18 ABU18 ALQ18 AVM18 BFI18 BPE18 BZA18 CIW18 CSS18 DCO18 DMK18 DWG18 EGC18 EPY18 EZU18 FJQ18 FTM18 GDI18 GNE18 GXA18 HGW18 HQS18 IAO18 IKK18 IUG18 JEC18 JNY18 JXU18 KHQ18 KRM18 LBI18 LLE18 LVA18 MEW18 MOS18 MYO18 NIK18 NSG18 OCC18 OLY18 OVU18 PFQ18 PPM18 PZI18 QJE18 QTA18 RCW18 RMS18 RWO18 SGK18 SQG18 TAC18 TJY18 TTU18 UDQ18 UNM18 UXI18 VHE18 VRA18 WAW18 WKS18 WUO18" xr:uid="{00000000-0002-0000-0400-000005000000}">
      <formula1>"Rated,Subscribed"</formula1>
      <formula2>0</formula2>
    </dataValidation>
    <dataValidation type="list" operator="equal" allowBlank="1" showInputMessage="1" showErrorMessage="1" sqref="F11 ID11 RZ11 ABV11 ALR11 AVN11 BFJ11 BPF11 BZB11 CIX11 CST11 DCP11 DML11 DWH11 EGD11 EPZ11 EZV11 FJR11 FTN11 GDJ11 GNF11 GXB11 HGX11 HQT11 IAP11 IKL11 IUH11 JED11 JNZ11 JXV11 KHR11 KRN11 LBJ11 LLF11 LVB11 MEX11 MOT11 MYP11 NIL11 NSH11 OCD11 OLZ11 OVV11 PFR11 PPN11 PZJ11 QJF11 QTB11 RCX11 RMT11 RWP11 SGL11 SQH11 TAD11 TJZ11 TTV11 UDR11 UNN11 UXJ11 VHF11 VRB11 WAX11 WKT11 WUP11 ID14:ID16 RZ14:RZ16 ABV14:ABV16 ALR14:ALR16 AVN14:AVN16 BFJ14:BFJ16 BPF14:BPF16 BZB14:BZB16 CIX14:CIX16 CST14:CST16 DCP14:DCP16 DML14:DML16 DWH14:DWH16 EGD14:EGD16 EPZ14:EPZ16 EZV14:EZV16 FJR14:FJR16 FTN14:FTN16 GDJ14:GDJ16 GNF14:GNF16 GXB14:GXB16 HGX14:HGX16 HQT14:HQT16 IAP14:IAP16 IKL14:IKL16 IUH14:IUH16 JED14:JED16 JNZ14:JNZ16 JXV14:JXV16 KHR14:KHR16 KRN14:KRN16 LBJ14:LBJ16 LLF14:LLF16 LVB14:LVB16 MEX14:MEX16 MOT14:MOT16 MYP14:MYP16 NIL14:NIL16 NSH14:NSH16 OCD14:OCD16 OLZ14:OLZ16 OVV14:OVV16 PFR14:PFR16 PPN14:PPN16 PZJ14:PZJ16 QJF14:QJF16 QTB14:QTB16 RCX14:RCX16 RMT14:RMT16 RWP14:RWP16 SGL14:SGL16 SQH14:SQH16 TAD14:TAD16 TJZ14:TJZ16 TTV14:TTV16 UDR14:UDR16 UNN14:UNN16 UXJ14:UXJ16 VHF14:VHF16 VRB14:VRB16 WAX14:WAX16 WKT14:WKT16 WUP14:WUP16 ID18 RZ18 ABV18 ALR18 AVN18 BFJ18 BPF18 BZB18 CIX18 CST18 DCP18 DML18 DWH18 EGD18 EPZ18 EZV18 FJR18 FTN18 GDJ18 GNF18 GXB18 HGX18 HQT18 IAP18 IKL18 IUH18 JED18 JNZ18 JXV18 KHR18 KRN18 LBJ18 LLF18 LVB18 MEX18 MOT18 MYP18 NIL18 NSH18 OCD18 OLZ18 OVV18 PFR18 PPN18 PZJ18 QJF18 QTB18 RCX18 RMT18 RWP18 SGL18 SQH18 TAD18 TJZ18 TTV18 UDR18 UNN18 UXJ18 VHF18 VRB18 WAX18 WKT18 WUP18" xr:uid="{00000000-0002-0000-0400-000006000000}">
      <formula1>"Bundled,Metered"</formula1>
      <formula2>0</formula2>
    </dataValidation>
    <dataValidation type="list" operator="equal" allowBlank="1" showInputMessage="1" showErrorMessage="1" promptTitle="Rack, U Space, Cage" sqref="H11 IF11 SB11 ABX11 ALT11 AVP11 BFL11 BPH11 BZD11 CIZ11 CSV11 DCR11 DMN11 DWJ11 EGF11 EQB11 EZX11 FJT11 FTP11 GDL11 GNH11 GXD11 HGZ11 HQV11 IAR11 IKN11 IUJ11 JEF11 JOB11 JXX11 KHT11 KRP11 LBL11 LLH11 LVD11 MEZ11 MOV11 MYR11 NIN11 NSJ11 OCF11 OMB11 OVX11 PFT11 PPP11 PZL11 QJH11 QTD11 RCZ11 RMV11 RWR11 SGN11 SQJ11 TAF11 TKB11 TTX11 UDT11 UNP11 UXL11 VHH11 VRD11 WAZ11 WKV11 WUR11 IF14:IF16 SB14:SB16 ABX14:ABX16 ALT14:ALT16 AVP14:AVP16 BFL14:BFL16 BPH14:BPH16 BZD14:BZD16 CIZ14:CIZ16 CSV14:CSV16 DCR14:DCR16 DMN14:DMN16 DWJ14:DWJ16 EGF14:EGF16 EQB14:EQB16 EZX14:EZX16 FJT14:FJT16 FTP14:FTP16 GDL14:GDL16 GNH14:GNH16 GXD14:GXD16 HGZ14:HGZ16 HQV14:HQV16 IAR14:IAR16 IKN14:IKN16 IUJ14:IUJ16 JEF14:JEF16 JOB14:JOB16 JXX14:JXX16 KHT14:KHT16 KRP14:KRP16 LBL14:LBL16 LLH14:LLH16 LVD14:LVD16 MEZ14:MEZ16 MOV14:MOV16 MYR14:MYR16 NIN14:NIN16 NSJ14:NSJ16 OCF14:OCF16 OMB14:OMB16 OVX14:OVX16 PFT14:PFT16 PPP14:PPP16 PZL14:PZL16 QJH14:QJH16 QTD14:QTD16 RCZ14:RCZ16 RMV14:RMV16 RWR14:RWR16 SGN14:SGN16 SQJ14:SQJ16 TAF14:TAF16 TKB14:TKB16 TTX14:TTX16 UDT14:UDT16 UNP14:UNP16 UXL14:UXL16 VHH14:VHH16 VRD14:VRD16 WAZ14:WAZ16 WKV14:WKV16 WUR14:WUR16 IF18 SB18 ABX18 ALT18 AVP18 BFL18 BPH18 BZD18 CIZ18 CSV18 DCR18 DMN18 DWJ18 EGF18 EQB18 EZX18 FJT18 FTP18 GDL18 GNH18 GXD18 HGZ18 HQV18 IAR18 IKN18 IUJ18 JEF18 JOB18 JXX18 KHT18 KRP18 LBL18 LLH18 LVD18 MEZ18 MOV18 MYR18 NIN18 NSJ18 OCF18 OMB18 OVX18 PFT18 PPP18 PZL18 QJH18 QTD18 RCZ18 RMV18 RWR18 SGN18 SQJ18 TAF18 TKB18 TTX18 UDT18 UNP18 UXL18 VHH18 VRD18 WAZ18 WKV18 WUR18" xr:uid="{00000000-0002-0000-0400-000007000000}">
      <formula1>"Caged,Uncaged"</formula1>
      <formula2>0</formula2>
    </dataValidation>
    <dataValidation type="list" allowBlank="1" showInputMessage="1" showErrorMessage="1" sqref="E12:E21" xr:uid="{00000000-0002-0000-0400-000010000000}">
      <formula1>"Rated,Subscribed"</formula1>
      <formula2>0</formula2>
    </dataValidation>
    <dataValidation type="list" allowBlank="1" showInputMessage="1" showErrorMessage="1" sqref="F12:F21" xr:uid="{00000000-0002-0000-0400-000011000000}">
      <formula1>"Bundled,Metered"</formula1>
      <formula2>0</formula2>
    </dataValidation>
    <dataValidation type="list" allowBlank="1" showInputMessage="1" showErrorMessage="1" promptTitle="Rack, U Space, Cage" sqref="H12:H21" xr:uid="{00000000-0002-0000-0400-000012000000}">
      <formula1>"Caged,Uncaged"</formula1>
      <formula2>0</formula2>
    </dataValidation>
    <dataValidation type="list" allowBlank="1" showInputMessage="1" showErrorMessage="1" sqref="Q13 Q21" xr:uid="{00000000-0002-0000-0400-000013000000}">
      <formula1>"KW,KVA"</formula1>
      <formula2>0</formula2>
    </dataValidation>
    <dataValidation type="list" allowBlank="1" showInputMessage="1" showErrorMessage="1" sqref="AG12:AG21" xr:uid="{00000000-0002-0000-0400-000014000000}">
      <formula1>"No of Seats,Space"</formula1>
      <formula2>0</formula2>
    </dataValidation>
    <dataValidation type="list" allowBlank="1" showInputMessage="1" showErrorMessage="1" promptTitle="Rack, U Space, Cage" sqref="G14:G16 G18" xr:uid="{00000000-0002-0000-0400-000015000000}">
      <formula1>"Space,Rack,U space"</formula1>
      <formula2>0</formula2>
    </dataValidation>
    <dataValidation type="list" allowBlank="1" showInputMessage="1" showErrorMessage="1" sqref="AD14:AD16 AD18" xr:uid="{00000000-0002-0000-0400-000016000000}">
      <formula1>"Fixed,Variable"</formula1>
      <formula2>0</formula2>
    </dataValidation>
  </dataValidation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Prabakar</dc:creator>
  <cp:keywords/>
  <dc:description/>
  <cp:lastModifiedBy/>
  <cp:revision>50</cp:revision>
  <dcterms:created xsi:type="dcterms:W3CDTF">2008-09-01T12:11:01Z</dcterms:created>
  <dcterms:modified xsi:type="dcterms:W3CDTF">2026-03-27T07:30:24Z</dcterms:modified>
  <cp:category/>
  <cp:contentStatus/>
</cp:coreProperties>
</file>