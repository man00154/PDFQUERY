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7"/>
  <workbookPr/>
  <mc:AlternateContent xmlns:mc="http://schemas.openxmlformats.org/markup-compatibility/2006">
    <mc:Choice Requires="x15">
      <x15ac:absPath xmlns:x15ac="http://schemas.microsoft.com/office/spreadsheetml/2010/11/ac" url="C:\Users\019964\Downloads\"/>
    </mc:Choice>
  </mc:AlternateContent>
  <xr:revisionPtr revIDLastSave="0" documentId="8_{9ADB44C4-0B8E-4EFE-AE91-93929AF7E2CA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Rabale-T1" sheetId="1" r:id="rId1"/>
    <sheet name="RabaleT1" sheetId="3" r:id="rId2"/>
    <sheet name="Rabale-T2" sheetId="2" r:id="rId3"/>
  </sheets>
  <definedNames>
    <definedName name="_xlnm._FilterDatabase" localSheetId="0" hidden="1">'Rabale-T1'!$A$22:$IV$22</definedName>
    <definedName name="_xlnm._FilterDatabase" localSheetId="2" hidden="1">'Rabale-T2'!$A$29:$BY$29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0" i="3" l="1"/>
  <c r="W69" i="3"/>
  <c r="W68" i="3"/>
  <c r="W67" i="3"/>
  <c r="J66" i="3"/>
  <c r="W65" i="3"/>
  <c r="J65" i="3"/>
  <c r="G65" i="3"/>
  <c r="W64" i="3"/>
  <c r="J64" i="3"/>
  <c r="W63" i="3"/>
  <c r="G63" i="3"/>
  <c r="W62" i="3"/>
  <c r="S62" i="3"/>
  <c r="J62" i="3"/>
  <c r="W61" i="3"/>
  <c r="S61" i="3"/>
  <c r="J61" i="3"/>
  <c r="G61" i="3"/>
  <c r="W60" i="3"/>
  <c r="S60" i="3"/>
  <c r="J60" i="3"/>
  <c r="G60" i="3"/>
  <c r="W59" i="3"/>
  <c r="S59" i="3"/>
  <c r="O59" i="3"/>
  <c r="J59" i="3"/>
  <c r="W58" i="3"/>
  <c r="S58" i="3"/>
  <c r="J58" i="3"/>
  <c r="W57" i="3"/>
  <c r="S57" i="3"/>
  <c r="O57" i="3"/>
  <c r="J57" i="3"/>
  <c r="W56" i="3"/>
  <c r="S56" i="3"/>
  <c r="J56" i="3"/>
  <c r="W55" i="3"/>
  <c r="S55" i="3"/>
  <c r="J55" i="3"/>
  <c r="AE54" i="3"/>
  <c r="I54" i="3"/>
  <c r="H54" i="3"/>
  <c r="J54" i="3" s="1"/>
  <c r="BJ53" i="3"/>
  <c r="AQ53" i="3"/>
  <c r="AP53" i="3"/>
  <c r="AO53" i="3"/>
  <c r="Z53" i="3"/>
  <c r="Y53" i="3"/>
  <c r="AN53" i="3" s="1"/>
  <c r="S53" i="3"/>
  <c r="O53" i="3"/>
  <c r="V53" i="3" s="1"/>
  <c r="M53" i="3"/>
  <c r="J53" i="3"/>
  <c r="G53" i="3"/>
  <c r="AQ52" i="3"/>
  <c r="AO52" i="3"/>
  <c r="AN52" i="3"/>
  <c r="AL52" i="3"/>
  <c r="AP52" i="3" s="1"/>
  <c r="W52" i="3"/>
  <c r="V52" i="3"/>
  <c r="S52" i="3"/>
  <c r="U52" i="3" s="1"/>
  <c r="M52" i="3"/>
  <c r="J52" i="3"/>
  <c r="G52" i="3"/>
  <c r="AQ51" i="3"/>
  <c r="AP51" i="3"/>
  <c r="AO51" i="3"/>
  <c r="Y51" i="3"/>
  <c r="AN51" i="3" s="1"/>
  <c r="W51" i="3"/>
  <c r="S51" i="3"/>
  <c r="U51" i="3" s="1"/>
  <c r="O51" i="3"/>
  <c r="V51" i="3" s="1"/>
  <c r="M51" i="3"/>
  <c r="J51" i="3"/>
  <c r="G51" i="3"/>
  <c r="AQ50" i="3"/>
  <c r="AP50" i="3"/>
  <c r="AO50" i="3"/>
  <c r="Z50" i="3"/>
  <c r="Y50" i="3"/>
  <c r="W50" i="3"/>
  <c r="S50" i="3"/>
  <c r="O50" i="3"/>
  <c r="V50" i="3" s="1"/>
  <c r="M50" i="3"/>
  <c r="J50" i="3"/>
  <c r="G50" i="3"/>
  <c r="AQ49" i="3"/>
  <c r="AP49" i="3"/>
  <c r="AO49" i="3"/>
  <c r="AF49" i="3"/>
  <c r="Z49" i="3"/>
  <c r="Y49" i="3"/>
  <c r="AN49" i="3" s="1"/>
  <c r="W49" i="3"/>
  <c r="S49" i="3"/>
  <c r="O49" i="3"/>
  <c r="M49" i="3"/>
  <c r="J49" i="3"/>
  <c r="G49" i="3"/>
  <c r="AQ48" i="3"/>
  <c r="AO48" i="3"/>
  <c r="AL48" i="3"/>
  <c r="AP48" i="3" s="1"/>
  <c r="AF48" i="3"/>
  <c r="Z48" i="3"/>
  <c r="Y48" i="3"/>
  <c r="AN48" i="3" s="1"/>
  <c r="W48" i="3"/>
  <c r="S48" i="3"/>
  <c r="U48" i="3" s="1"/>
  <c r="O48" i="3"/>
  <c r="M48" i="3"/>
  <c r="J48" i="3"/>
  <c r="G48" i="3"/>
  <c r="AQ47" i="3"/>
  <c r="AP47" i="3"/>
  <c r="AO47" i="3"/>
  <c r="AF47" i="3"/>
  <c r="Z47" i="3"/>
  <c r="Y47" i="3"/>
  <c r="AN47" i="3" s="1"/>
  <c r="W47" i="3"/>
  <c r="S47" i="3"/>
  <c r="U47" i="3" s="1"/>
  <c r="O47" i="3"/>
  <c r="M47" i="3"/>
  <c r="J47" i="3"/>
  <c r="G47" i="3"/>
  <c r="BR46" i="3"/>
  <c r="BL46" i="3"/>
  <c r="AQ46" i="3"/>
  <c r="AP46" i="3"/>
  <c r="AO46" i="3"/>
  <c r="AF46" i="3"/>
  <c r="Z46" i="3"/>
  <c r="Y46" i="3"/>
  <c r="AN46" i="3" s="1"/>
  <c r="W46" i="3"/>
  <c r="S46" i="3"/>
  <c r="O46" i="3"/>
  <c r="M46" i="3"/>
  <c r="J46" i="3"/>
  <c r="G46" i="3"/>
  <c r="AO45" i="3"/>
  <c r="AN45" i="3"/>
  <c r="AL45" i="3"/>
  <c r="AP45" i="3" s="1"/>
  <c r="AF45" i="3"/>
  <c r="Z45" i="3"/>
  <c r="W45" i="3"/>
  <c r="S45" i="3"/>
  <c r="O45" i="3"/>
  <c r="V45" i="3" s="1"/>
  <c r="M45" i="3"/>
  <c r="J45" i="3"/>
  <c r="G45" i="3"/>
  <c r="S44" i="3"/>
  <c r="O44" i="3"/>
  <c r="V44" i="3" s="1"/>
  <c r="J44" i="3"/>
  <c r="G44" i="3"/>
  <c r="BI43" i="3"/>
  <c r="Z43" i="3"/>
  <c r="W43" i="3"/>
  <c r="S43" i="3"/>
  <c r="O43" i="3"/>
  <c r="V43" i="3" s="1"/>
  <c r="M43" i="3"/>
  <c r="J43" i="3"/>
  <c r="G43" i="3"/>
  <c r="BI42" i="3"/>
  <c r="AL42" i="3"/>
  <c r="Z42" i="3"/>
  <c r="W42" i="3"/>
  <c r="S42" i="3"/>
  <c r="U42" i="3" s="1"/>
  <c r="O42" i="3"/>
  <c r="V42" i="3" s="1"/>
  <c r="M42" i="3"/>
  <c r="J42" i="3"/>
  <c r="G42" i="3"/>
  <c r="BJ41" i="3"/>
  <c r="AP41" i="3"/>
  <c r="AO41" i="3"/>
  <c r="Z41" i="3"/>
  <c r="Y41" i="3"/>
  <c r="AN41" i="3" s="1"/>
  <c r="S41" i="3"/>
  <c r="O41" i="3"/>
  <c r="M41" i="3"/>
  <c r="J41" i="3"/>
  <c r="G41" i="3"/>
  <c r="AQ40" i="3"/>
  <c r="AP40" i="3"/>
  <c r="AO40" i="3"/>
  <c r="Z40" i="3"/>
  <c r="Y40" i="3"/>
  <c r="W40" i="3"/>
  <c r="S40" i="3"/>
  <c r="O40" i="3"/>
  <c r="M40" i="3"/>
  <c r="J40" i="3"/>
  <c r="G40" i="3"/>
  <c r="AQ39" i="3"/>
  <c r="AP39" i="3"/>
  <c r="AO39" i="3"/>
  <c r="Z39" i="3"/>
  <c r="Y39" i="3"/>
  <c r="W39" i="3"/>
  <c r="S39" i="3"/>
  <c r="O39" i="3"/>
  <c r="M39" i="3"/>
  <c r="J39" i="3"/>
  <c r="G39" i="3"/>
  <c r="AP38" i="3"/>
  <c r="AO38" i="3"/>
  <c r="AN38" i="3"/>
  <c r="Z38" i="3"/>
  <c r="S38" i="3"/>
  <c r="O38" i="3"/>
  <c r="M38" i="3"/>
  <c r="J38" i="3"/>
  <c r="G38" i="3"/>
  <c r="AO37" i="3"/>
  <c r="AL37" i="3"/>
  <c r="AP37" i="3" s="1"/>
  <c r="AI37" i="3"/>
  <c r="AF37" i="3"/>
  <c r="Z37" i="3"/>
  <c r="W37" i="3"/>
  <c r="S37" i="3"/>
  <c r="O37" i="3"/>
  <c r="V37" i="3" s="1"/>
  <c r="M37" i="3"/>
  <c r="J37" i="3"/>
  <c r="G37" i="3"/>
  <c r="AP36" i="3"/>
  <c r="AO36" i="3"/>
  <c r="AF36" i="3"/>
  <c r="Z36" i="3"/>
  <c r="Y36" i="3"/>
  <c r="W36" i="3"/>
  <c r="S36" i="3"/>
  <c r="O36" i="3"/>
  <c r="V36" i="3" s="1"/>
  <c r="M36" i="3"/>
  <c r="J36" i="3"/>
  <c r="G36" i="3"/>
  <c r="AQ35" i="3"/>
  <c r="AO35" i="3"/>
  <c r="AL35" i="3"/>
  <c r="AP35" i="3" s="1"/>
  <c r="AF35" i="3"/>
  <c r="Z35" i="3"/>
  <c r="Y35" i="3"/>
  <c r="AN35" i="3" s="1"/>
  <c r="W35" i="3"/>
  <c r="S35" i="3"/>
  <c r="U35" i="3" s="1"/>
  <c r="M35" i="3"/>
  <c r="J35" i="3"/>
  <c r="G35" i="3"/>
  <c r="AO34" i="3"/>
  <c r="AL34" i="3"/>
  <c r="AP34" i="3" s="1"/>
  <c r="AI34" i="3"/>
  <c r="AF34" i="3"/>
  <c r="Z34" i="3"/>
  <c r="W34" i="3"/>
  <c r="S34" i="3"/>
  <c r="O34" i="3"/>
  <c r="M34" i="3"/>
  <c r="J34" i="3"/>
  <c r="G34" i="3"/>
  <c r="AQ33" i="3"/>
  <c r="AP33" i="3"/>
  <c r="AO33" i="3"/>
  <c r="Z33" i="3"/>
  <c r="Y33" i="3"/>
  <c r="AN33" i="3" s="1"/>
  <c r="W33" i="3"/>
  <c r="S33" i="3"/>
  <c r="U33" i="3" s="1"/>
  <c r="O33" i="3"/>
  <c r="V33" i="3" s="1"/>
  <c r="M33" i="3"/>
  <c r="J33" i="3"/>
  <c r="G33" i="3"/>
  <c r="AO32" i="3"/>
  <c r="AN32" i="3"/>
  <c r="AL32" i="3"/>
  <c r="AP32" i="3" s="1"/>
  <c r="AI32" i="3"/>
  <c r="AF32" i="3"/>
  <c r="Z32" i="3"/>
  <c r="W32" i="3"/>
  <c r="S32" i="3"/>
  <c r="O32" i="3"/>
  <c r="V32" i="3" s="1"/>
  <c r="M32" i="3"/>
  <c r="J32" i="3"/>
  <c r="G32" i="3"/>
  <c r="AQ31" i="3"/>
  <c r="AP31" i="3"/>
  <c r="AO31" i="3"/>
  <c r="AN31" i="3"/>
  <c r="AF31" i="3"/>
  <c r="Z31" i="3"/>
  <c r="W31" i="3"/>
  <c r="S31" i="3"/>
  <c r="O31" i="3"/>
  <c r="M31" i="3"/>
  <c r="J31" i="3"/>
  <c r="G31" i="3"/>
  <c r="AP30" i="3"/>
  <c r="AO30" i="3"/>
  <c r="AN30" i="3"/>
  <c r="AF30" i="3"/>
  <c r="Z30" i="3"/>
  <c r="W30" i="3"/>
  <c r="S30" i="3"/>
  <c r="O30" i="3"/>
  <c r="V30" i="3" s="1"/>
  <c r="M30" i="3"/>
  <c r="J30" i="3"/>
  <c r="G30" i="3"/>
  <c r="AP29" i="3"/>
  <c r="AO29" i="3"/>
  <c r="AF29" i="3"/>
  <c r="Z29" i="3"/>
  <c r="Y29" i="3"/>
  <c r="AN29" i="3" s="1"/>
  <c r="W29" i="3"/>
  <c r="S29" i="3"/>
  <c r="U29" i="3" s="1"/>
  <c r="O29" i="3"/>
  <c r="M29" i="3"/>
  <c r="J29" i="3"/>
  <c r="G29" i="3"/>
  <c r="AP28" i="3"/>
  <c r="AO28" i="3"/>
  <c r="AN28" i="3"/>
  <c r="Z28" i="3"/>
  <c r="W28" i="3"/>
  <c r="S28" i="3"/>
  <c r="O28" i="3"/>
  <c r="V28" i="3" s="1"/>
  <c r="M28" i="3"/>
  <c r="G28" i="3"/>
  <c r="AP27" i="3"/>
  <c r="AO27" i="3"/>
  <c r="AN27" i="3"/>
  <c r="Z27" i="3"/>
  <c r="W27" i="3"/>
  <c r="S27" i="3"/>
  <c r="O27" i="3"/>
  <c r="V27" i="3" s="1"/>
  <c r="M27" i="3"/>
  <c r="J27" i="3"/>
  <c r="G27" i="3"/>
  <c r="AP26" i="3"/>
  <c r="AO26" i="3"/>
  <c r="AN26" i="3"/>
  <c r="Z26" i="3"/>
  <c r="W26" i="3"/>
  <c r="S26" i="3"/>
  <c r="U26" i="3" s="1"/>
  <c r="O26" i="3"/>
  <c r="V26" i="3" s="1"/>
  <c r="M26" i="3"/>
  <c r="G26" i="3"/>
  <c r="W25" i="3"/>
  <c r="S25" i="3"/>
  <c r="O25" i="3"/>
  <c r="V25" i="3" s="1"/>
  <c r="J25" i="3"/>
  <c r="G25" i="3"/>
  <c r="AP24" i="3"/>
  <c r="AO24" i="3"/>
  <c r="AN24" i="3"/>
  <c r="Z24" i="3"/>
  <c r="W24" i="3"/>
  <c r="S24" i="3"/>
  <c r="O24" i="3"/>
  <c r="V24" i="3" s="1"/>
  <c r="M24" i="3"/>
  <c r="J24" i="3"/>
  <c r="G24" i="3"/>
  <c r="AO23" i="3"/>
  <c r="AN23" i="3"/>
  <c r="AL23" i="3"/>
  <c r="AP23" i="3" s="1"/>
  <c r="AI23" i="3"/>
  <c r="AF23" i="3"/>
  <c r="Z23" i="3"/>
  <c r="W23" i="3"/>
  <c r="S23" i="3"/>
  <c r="U23" i="3" s="1"/>
  <c r="O23" i="3"/>
  <c r="V23" i="3" s="1"/>
  <c r="M23" i="3"/>
  <c r="J23" i="3"/>
  <c r="G23" i="3"/>
  <c r="AQ22" i="3"/>
  <c r="AP22" i="3"/>
  <c r="AO22" i="3"/>
  <c r="AF22" i="3"/>
  <c r="Z22" i="3"/>
  <c r="W22" i="3"/>
  <c r="S22" i="3"/>
  <c r="O22" i="3"/>
  <c r="M22" i="3"/>
  <c r="J22" i="3"/>
  <c r="G22" i="3"/>
  <c r="AQ21" i="3"/>
  <c r="AP21" i="3"/>
  <c r="AO21" i="3"/>
  <c r="AF21" i="3"/>
  <c r="Z21" i="3"/>
  <c r="Y21" i="3"/>
  <c r="W21" i="3"/>
  <c r="S21" i="3"/>
  <c r="O21" i="3"/>
  <c r="M21" i="3"/>
  <c r="J21" i="3"/>
  <c r="G21" i="3"/>
  <c r="AQ20" i="3"/>
  <c r="AP20" i="3"/>
  <c r="AO20" i="3"/>
  <c r="AN20" i="3"/>
  <c r="AF20" i="3"/>
  <c r="Z20" i="3"/>
  <c r="W20" i="3"/>
  <c r="S20" i="3"/>
  <c r="O20" i="3"/>
  <c r="M20" i="3"/>
  <c r="J20" i="3"/>
  <c r="G20" i="3"/>
  <c r="BJ19" i="3"/>
  <c r="AQ19" i="3"/>
  <c r="AP19" i="3"/>
  <c r="AO19" i="3"/>
  <c r="AF19" i="3"/>
  <c r="Z19" i="3"/>
  <c r="Y19" i="3"/>
  <c r="AN19" i="3" s="1"/>
  <c r="S19" i="3"/>
  <c r="O19" i="3"/>
  <c r="M19" i="3"/>
  <c r="J19" i="3"/>
  <c r="G19" i="3"/>
  <c r="BJ18" i="3"/>
  <c r="AP18" i="3"/>
  <c r="AO18" i="3"/>
  <c r="AN18" i="3"/>
  <c r="AF18" i="3"/>
  <c r="Z18" i="3"/>
  <c r="S18" i="3"/>
  <c r="O18" i="3"/>
  <c r="M18" i="3"/>
  <c r="J18" i="3"/>
  <c r="G18" i="3"/>
  <c r="BJ17" i="3"/>
  <c r="AQ17" i="3"/>
  <c r="AP17" i="3"/>
  <c r="AO17" i="3"/>
  <c r="AN17" i="3"/>
  <c r="AF17" i="3"/>
  <c r="Z17" i="3"/>
  <c r="S17" i="3"/>
  <c r="O17" i="3"/>
  <c r="M17" i="3"/>
  <c r="J17" i="3"/>
  <c r="G17" i="3"/>
  <c r="BJ16" i="3"/>
  <c r="AQ16" i="3"/>
  <c r="AP16" i="3"/>
  <c r="AO16" i="3"/>
  <c r="AN16" i="3"/>
  <c r="AM16" i="3"/>
  <c r="AF16" i="3"/>
  <c r="Z16" i="3"/>
  <c r="S16" i="3"/>
  <c r="O16" i="3"/>
  <c r="N16" i="3"/>
  <c r="J16" i="3"/>
  <c r="G16" i="3"/>
  <c r="BJ15" i="3"/>
  <c r="AQ15" i="3"/>
  <c r="AP15" i="3"/>
  <c r="AO15" i="3"/>
  <c r="AN15" i="3"/>
  <c r="AF15" i="3"/>
  <c r="Z15" i="3"/>
  <c r="S15" i="3"/>
  <c r="O15" i="3"/>
  <c r="M15" i="3"/>
  <c r="J15" i="3"/>
  <c r="G15" i="3"/>
  <c r="BJ14" i="3"/>
  <c r="AQ14" i="3"/>
  <c r="AP14" i="3"/>
  <c r="AO14" i="3"/>
  <c r="AN14" i="3"/>
  <c r="AF14" i="3"/>
  <c r="Z14" i="3"/>
  <c r="S14" i="3"/>
  <c r="O14" i="3"/>
  <c r="M14" i="3"/>
  <c r="J14" i="3"/>
  <c r="G14" i="3"/>
  <c r="AP13" i="3"/>
  <c r="AO13" i="3"/>
  <c r="AF13" i="3"/>
  <c r="Y13" i="3"/>
  <c r="AN13" i="3" s="1"/>
  <c r="W13" i="3"/>
  <c r="S13" i="3"/>
  <c r="O13" i="3"/>
  <c r="V13" i="3" s="1"/>
  <c r="M13" i="3"/>
  <c r="J13" i="3"/>
  <c r="G13" i="3"/>
  <c r="BK12" i="3"/>
  <c r="BJ12" i="3"/>
  <c r="AQ12" i="3"/>
  <c r="AP12" i="3"/>
  <c r="AO12" i="3"/>
  <c r="AF12" i="3"/>
  <c r="Y12" i="3"/>
  <c r="AN12" i="3" s="1"/>
  <c r="W12" i="3"/>
  <c r="S12" i="3"/>
  <c r="O12" i="3"/>
  <c r="V12" i="3" s="1"/>
  <c r="M12" i="3"/>
  <c r="J12" i="3"/>
  <c r="G12" i="3"/>
  <c r="BJ11" i="3"/>
  <c r="AP11" i="3"/>
  <c r="AO11" i="3"/>
  <c r="AN11" i="3"/>
  <c r="AM11" i="3"/>
  <c r="AF11" i="3"/>
  <c r="Z11" i="3"/>
  <c r="O11" i="3"/>
  <c r="N11" i="3"/>
  <c r="J11" i="3"/>
  <c r="G11" i="3"/>
  <c r="BJ10" i="3"/>
  <c r="AQ10" i="3"/>
  <c r="AP10" i="3"/>
  <c r="AO10" i="3"/>
  <c r="AF10" i="3"/>
  <c r="Z10" i="3"/>
  <c r="Y10" i="3"/>
  <c r="AN10" i="3" s="1"/>
  <c r="S10" i="3"/>
  <c r="O10" i="3"/>
  <c r="M10" i="3"/>
  <c r="J10" i="3"/>
  <c r="G10" i="3"/>
  <c r="BJ9" i="3"/>
  <c r="AQ9" i="3"/>
  <c r="AP9" i="3"/>
  <c r="AO9" i="3"/>
  <c r="AF9" i="3"/>
  <c r="Z9" i="3"/>
  <c r="Y9" i="3"/>
  <c r="S9" i="3"/>
  <c r="O9" i="3"/>
  <c r="M9" i="3"/>
  <c r="J9" i="3"/>
  <c r="G9" i="3"/>
  <c r="BK8" i="3"/>
  <c r="BJ8" i="3"/>
  <c r="AP8" i="3"/>
  <c r="AO8" i="3"/>
  <c r="AF8" i="3"/>
  <c r="Z8" i="3"/>
  <c r="Y8" i="3"/>
  <c r="AN8" i="3" s="1"/>
  <c r="W8" i="3"/>
  <c r="Q8" i="3"/>
  <c r="S8" i="3" s="1"/>
  <c r="O8" i="3"/>
  <c r="M8" i="3"/>
  <c r="J8" i="3"/>
  <c r="G8" i="3"/>
  <c r="BK7" i="3"/>
  <c r="BJ7" i="3"/>
  <c r="AP7" i="3"/>
  <c r="AO7" i="3"/>
  <c r="AF7" i="3"/>
  <c r="Z7" i="3"/>
  <c r="Y7" i="3"/>
  <c r="AN7" i="3" s="1"/>
  <c r="W7" i="3"/>
  <c r="Q7" i="3"/>
  <c r="S7" i="3" s="1"/>
  <c r="U7" i="3" s="1"/>
  <c r="O7" i="3"/>
  <c r="M7" i="3"/>
  <c r="J7" i="3"/>
  <c r="G7" i="3"/>
  <c r="BK6" i="3"/>
  <c r="BJ6" i="3"/>
  <c r="AO6" i="3"/>
  <c r="AL6" i="3"/>
  <c r="AP6" i="3" s="1"/>
  <c r="AI6" i="3"/>
  <c r="AF6" i="3"/>
  <c r="Z6" i="3"/>
  <c r="Y6" i="3"/>
  <c r="AN6" i="3" s="1"/>
  <c r="W6" i="3"/>
  <c r="Q6" i="3"/>
  <c r="S6" i="3" s="1"/>
  <c r="U6" i="3" s="1"/>
  <c r="O6" i="3"/>
  <c r="M6" i="3"/>
  <c r="J6" i="3"/>
  <c r="G6" i="3"/>
  <c r="BJ5" i="3"/>
  <c r="AQ5" i="3"/>
  <c r="AP5" i="3"/>
  <c r="AO5" i="3"/>
  <c r="AF5" i="3"/>
  <c r="Z5" i="3"/>
  <c r="Y5" i="3"/>
  <c r="AN5" i="3" s="1"/>
  <c r="S5" i="3"/>
  <c r="O5" i="3"/>
  <c r="M5" i="3"/>
  <c r="J5" i="3"/>
  <c r="G5" i="3"/>
  <c r="BJ4" i="3"/>
  <c r="AQ4" i="3"/>
  <c r="AP4" i="3"/>
  <c r="AO4" i="3"/>
  <c r="AF4" i="3"/>
  <c r="Z4" i="3"/>
  <c r="Y4" i="3"/>
  <c r="AN4" i="3" s="1"/>
  <c r="S4" i="3"/>
  <c r="O4" i="3"/>
  <c r="M4" i="3"/>
  <c r="G4" i="3"/>
  <c r="BJ3" i="3"/>
  <c r="AP3" i="3"/>
  <c r="AO3" i="3"/>
  <c r="AN3" i="3"/>
  <c r="AF3" i="3"/>
  <c r="Z3" i="3"/>
  <c r="S3" i="3"/>
  <c r="O3" i="3"/>
  <c r="M3" i="3"/>
  <c r="J3" i="3"/>
  <c r="G3" i="3"/>
  <c r="BK2" i="3"/>
  <c r="BJ2" i="3"/>
  <c r="AQ2" i="3"/>
  <c r="AQ54" i="3" s="1"/>
  <c r="AP2" i="3"/>
  <c r="AP54" i="3" s="1"/>
  <c r="AO2" i="3"/>
  <c r="AF2" i="3"/>
  <c r="Z2" i="3"/>
  <c r="Y2" i="3"/>
  <c r="AN2" i="3" s="1"/>
  <c r="S2" i="3"/>
  <c r="O2" i="3"/>
  <c r="V2" i="3" s="1"/>
  <c r="M2" i="3"/>
  <c r="J2" i="3"/>
  <c r="G2" i="3"/>
  <c r="I75" i="1"/>
  <c r="H75" i="1"/>
  <c r="R36" i="2"/>
  <c r="R35" i="2"/>
  <c r="R34" i="2"/>
  <c r="R33" i="2"/>
  <c r="N23" i="1"/>
  <c r="BN53" i="3" l="1"/>
  <c r="BN52" i="3"/>
  <c r="BN51" i="3"/>
  <c r="BN50" i="3"/>
  <c r="BN46" i="3"/>
  <c r="BN45" i="3"/>
  <c r="BN44" i="3"/>
  <c r="BN43" i="3"/>
  <c r="BN42" i="3"/>
  <c r="BN37" i="3"/>
  <c r="BN36" i="3"/>
  <c r="BN33" i="3"/>
  <c r="BN32" i="3"/>
  <c r="BN30" i="3"/>
  <c r="BN28" i="3"/>
  <c r="BN27" i="3"/>
  <c r="BN26" i="3"/>
  <c r="BN24" i="3"/>
  <c r="BN23" i="3"/>
  <c r="BN13" i="3"/>
  <c r="BN12" i="3"/>
  <c r="BN2" i="3"/>
  <c r="AM2" i="3"/>
  <c r="N2" i="3"/>
  <c r="BR2" i="3"/>
  <c r="BL2" i="3"/>
  <c r="BT2" i="3" s="1"/>
  <c r="U2" i="3"/>
  <c r="AM3" i="3"/>
  <c r="N3" i="3"/>
  <c r="AM4" i="3"/>
  <c r="N4" i="3"/>
  <c r="AM5" i="3"/>
  <c r="N5" i="3"/>
  <c r="AM6" i="3"/>
  <c r="N6" i="3"/>
  <c r="BT6" i="3"/>
  <c r="BI6" i="3"/>
  <c r="BP6" i="3" s="1"/>
  <c r="AM7" i="3"/>
  <c r="N7" i="3"/>
  <c r="BT7" i="3"/>
  <c r="BI7" i="3"/>
  <c r="BP7" i="3" s="1"/>
  <c r="AM8" i="3"/>
  <c r="N8" i="3"/>
  <c r="BT8" i="3"/>
  <c r="BI8" i="3"/>
  <c r="BP8" i="3" s="1"/>
  <c r="AM9" i="3"/>
  <c r="N9" i="3"/>
  <c r="X9" i="3"/>
  <c r="AN9" i="3"/>
  <c r="AM10" i="3"/>
  <c r="N10" i="3"/>
  <c r="BG11" i="3"/>
  <c r="AR11" i="3"/>
  <c r="AM12" i="3"/>
  <c r="N12" i="3"/>
  <c r="BR12" i="3"/>
  <c r="BL12" i="3"/>
  <c r="BT12" i="3" s="1"/>
  <c r="U12" i="3"/>
  <c r="AM13" i="3"/>
  <c r="N13" i="3"/>
  <c r="BR13" i="3"/>
  <c r="BL13" i="3"/>
  <c r="U13" i="3"/>
  <c r="BK13" i="3"/>
  <c r="BJ13" i="3"/>
  <c r="AM14" i="3"/>
  <c r="N14" i="3"/>
  <c r="AM15" i="3"/>
  <c r="N15" i="3"/>
  <c r="BG16" i="3"/>
  <c r="AR16" i="3"/>
  <c r="AM17" i="3"/>
  <c r="N17" i="3"/>
  <c r="AM18" i="3"/>
  <c r="N18" i="3"/>
  <c r="AM19" i="3"/>
  <c r="N19" i="3"/>
  <c r="AM20" i="3"/>
  <c r="N20" i="3"/>
  <c r="BK52" i="3"/>
  <c r="BJ52" i="3"/>
  <c r="BK50" i="3"/>
  <c r="BJ50" i="3"/>
  <c r="BK45" i="3"/>
  <c r="BJ45" i="3"/>
  <c r="BK38" i="3"/>
  <c r="BJ38" i="3"/>
  <c r="BK37" i="3"/>
  <c r="BJ37" i="3"/>
  <c r="BK36" i="3"/>
  <c r="BJ36" i="3"/>
  <c r="BK32" i="3"/>
  <c r="BJ32" i="3"/>
  <c r="BK30" i="3"/>
  <c r="BJ30" i="3"/>
  <c r="BK27" i="3"/>
  <c r="BJ27" i="3"/>
  <c r="BK24" i="3"/>
  <c r="BJ24" i="3"/>
  <c r="BK20" i="3"/>
  <c r="BJ20" i="3"/>
  <c r="BT20" i="3"/>
  <c r="BI20" i="3"/>
  <c r="BP20" i="3" s="1"/>
  <c r="AM21" i="3"/>
  <c r="N21" i="3"/>
  <c r="X21" i="3"/>
  <c r="BJ21" i="3"/>
  <c r="AN21" i="3"/>
  <c r="AM22" i="3"/>
  <c r="N22" i="3"/>
  <c r="X22" i="3"/>
  <c r="AN22" i="3" s="1"/>
  <c r="U22" i="3"/>
  <c r="BK22" i="3"/>
  <c r="BJ22" i="3"/>
  <c r="AM23" i="3"/>
  <c r="N23" i="3"/>
  <c r="BR23" i="3"/>
  <c r="BL23" i="3"/>
  <c r="BK23" i="3"/>
  <c r="BJ23" i="3"/>
  <c r="BT23" i="3"/>
  <c r="BI23" i="3"/>
  <c r="BP23" i="3" s="1"/>
  <c r="AM24" i="3"/>
  <c r="N24" i="3"/>
  <c r="BR24" i="3"/>
  <c r="BL24" i="3"/>
  <c r="U24" i="3"/>
  <c r="BT24" i="3"/>
  <c r="BI24" i="3"/>
  <c r="BP24" i="3" s="1"/>
  <c r="U25" i="3"/>
  <c r="BK25" i="3"/>
  <c r="BJ25" i="3"/>
  <c r="AM26" i="3"/>
  <c r="N26" i="3"/>
  <c r="BR26" i="3"/>
  <c r="BL26" i="3"/>
  <c r="BK26" i="3"/>
  <c r="BJ26" i="3"/>
  <c r="BT26" i="3"/>
  <c r="BI26" i="3"/>
  <c r="BP26" i="3" s="1"/>
  <c r="AM27" i="3"/>
  <c r="N27" i="3"/>
  <c r="BR27" i="3"/>
  <c r="BL27" i="3"/>
  <c r="U27" i="3"/>
  <c r="BT27" i="3"/>
  <c r="BI27" i="3"/>
  <c r="BP27" i="3" s="1"/>
  <c r="AM28" i="3"/>
  <c r="N28" i="3"/>
  <c r="BR28" i="3"/>
  <c r="BL28" i="3"/>
  <c r="U28" i="3"/>
  <c r="BK28" i="3"/>
  <c r="BJ28" i="3"/>
  <c r="BT28" i="3"/>
  <c r="BI28" i="3"/>
  <c r="BP28" i="3" s="1"/>
  <c r="AM29" i="3"/>
  <c r="N29" i="3"/>
  <c r="BK29" i="3"/>
  <c r="BJ29" i="3"/>
  <c r="AM30" i="3"/>
  <c r="N30" i="3"/>
  <c r="BR30" i="3"/>
  <c r="BL30" i="3"/>
  <c r="U30" i="3"/>
  <c r="BT30" i="3"/>
  <c r="BI30" i="3"/>
  <c r="BP30" i="3" s="1"/>
  <c r="AM31" i="3"/>
  <c r="N31" i="3"/>
  <c r="BJ31" i="3"/>
  <c r="AM32" i="3"/>
  <c r="N32" i="3"/>
  <c r="BR32" i="3"/>
  <c r="BL32" i="3"/>
  <c r="BT32" i="3" s="1"/>
  <c r="U32" i="3"/>
  <c r="AM33" i="3"/>
  <c r="N33" i="3"/>
  <c r="BR33" i="3"/>
  <c r="BL33" i="3"/>
  <c r="BK33" i="3"/>
  <c r="BJ33" i="3"/>
  <c r="AM34" i="3"/>
  <c r="N34" i="3"/>
  <c r="X34" i="3"/>
  <c r="AN34" i="3" s="1"/>
  <c r="BJ34" i="3"/>
  <c r="AM35" i="3"/>
  <c r="N35" i="3"/>
  <c r="BK35" i="3"/>
  <c r="BJ35" i="3"/>
  <c r="AM36" i="3"/>
  <c r="N36" i="3"/>
  <c r="BR36" i="3"/>
  <c r="BL36" i="3"/>
  <c r="BT36" i="3" s="1"/>
  <c r="X36" i="3"/>
  <c r="U36" i="3"/>
  <c r="AN36" i="3"/>
  <c r="AM37" i="3"/>
  <c r="N37" i="3"/>
  <c r="BR37" i="3"/>
  <c r="BL37" i="3"/>
  <c r="X37" i="3"/>
  <c r="AN37" i="3" s="1"/>
  <c r="U37" i="3"/>
  <c r="BT37" i="3"/>
  <c r="BI37" i="3"/>
  <c r="BP37" i="3" s="1"/>
  <c r="AM38" i="3"/>
  <c r="N38" i="3"/>
  <c r="AM39" i="3"/>
  <c r="N39" i="3"/>
  <c r="X39" i="3"/>
  <c r="BJ39" i="3"/>
  <c r="AN39" i="3"/>
  <c r="AM40" i="3"/>
  <c r="N40" i="3"/>
  <c r="X40" i="3"/>
  <c r="U40" i="3"/>
  <c r="BK40" i="3"/>
  <c r="BJ40" i="3"/>
  <c r="AN40" i="3"/>
  <c r="AM41" i="3"/>
  <c r="N41" i="3"/>
  <c r="AM42" i="3"/>
  <c r="N42" i="3"/>
  <c r="BR42" i="3"/>
  <c r="BL42" i="3"/>
  <c r="BK42" i="3"/>
  <c r="BJ42" i="3"/>
  <c r="BT42" i="3" s="1"/>
  <c r="BP42" i="3"/>
  <c r="AM43" i="3"/>
  <c r="N43" i="3"/>
  <c r="BR43" i="3"/>
  <c r="BL43" i="3"/>
  <c r="U43" i="3"/>
  <c r="BK43" i="3"/>
  <c r="BJ43" i="3"/>
  <c r="BT43" i="3" s="1"/>
  <c r="BP43" i="3"/>
  <c r="BR44" i="3"/>
  <c r="BL44" i="3"/>
  <c r="AM45" i="3"/>
  <c r="N45" i="3"/>
  <c r="BR45" i="3"/>
  <c r="BL45" i="3"/>
  <c r="U45" i="3"/>
  <c r="BT45" i="3"/>
  <c r="BI45" i="3"/>
  <c r="BP45" i="3" s="1"/>
  <c r="AM46" i="3"/>
  <c r="N46" i="3"/>
  <c r="BJ46" i="3"/>
  <c r="BT46" i="3"/>
  <c r="AM47" i="3"/>
  <c r="N47" i="3"/>
  <c r="BK47" i="3"/>
  <c r="BJ47" i="3"/>
  <c r="AM48" i="3"/>
  <c r="N48" i="3"/>
  <c r="BK48" i="3"/>
  <c r="BJ48" i="3"/>
  <c r="AM49" i="3"/>
  <c r="N49" i="3"/>
  <c r="BJ49" i="3"/>
  <c r="AM50" i="3"/>
  <c r="N50" i="3"/>
  <c r="BR50" i="3"/>
  <c r="BL50" i="3"/>
  <c r="BT50" i="3" s="1"/>
  <c r="X50" i="3"/>
  <c r="U50" i="3"/>
  <c r="AN50" i="3"/>
  <c r="AM51" i="3"/>
  <c r="N51" i="3"/>
  <c r="BR51" i="3"/>
  <c r="BL51" i="3"/>
  <c r="BK51" i="3"/>
  <c r="BJ51" i="3"/>
  <c r="AM52" i="3"/>
  <c r="N52" i="3"/>
  <c r="BR52" i="3"/>
  <c r="BL52" i="3"/>
  <c r="BT52" i="3"/>
  <c r="BI52" i="3"/>
  <c r="BP52" i="3" s="1"/>
  <c r="AM53" i="3"/>
  <c r="N53" i="3"/>
  <c r="BR53" i="3"/>
  <c r="BL53" i="3"/>
  <c r="BT53" i="3" s="1"/>
  <c r="U53" i="3"/>
  <c r="BK53" i="3" s="1"/>
  <c r="S37" i="2"/>
  <c r="BW53" i="3" l="1"/>
  <c r="BG53" i="3"/>
  <c r="BE53" i="3"/>
  <c r="BU53" i="3" s="1"/>
  <c r="BD53" i="3"/>
  <c r="BC53" i="3"/>
  <c r="AR53" i="3"/>
  <c r="BW52" i="3"/>
  <c r="BU52" i="3"/>
  <c r="BG52" i="3"/>
  <c r="BH52" i="3" s="1"/>
  <c r="BO52" i="3" s="1"/>
  <c r="BQ52" i="3" s="1"/>
  <c r="BE52" i="3"/>
  <c r="BD52" i="3"/>
  <c r="BC52" i="3"/>
  <c r="AR52" i="3"/>
  <c r="BT51" i="3"/>
  <c r="BG51" i="3"/>
  <c r="BE51" i="3"/>
  <c r="BU51" i="3" s="1"/>
  <c r="BX51" i="3" s="1"/>
  <c r="BD51" i="3"/>
  <c r="BC51" i="3"/>
  <c r="AR51" i="3"/>
  <c r="BW50" i="3"/>
  <c r="BG50" i="3"/>
  <c r="BE50" i="3"/>
  <c r="BU50" i="3" s="1"/>
  <c r="BD50" i="3"/>
  <c r="BC50" i="3"/>
  <c r="AR50" i="3"/>
  <c r="BG49" i="3"/>
  <c r="AR49" i="3"/>
  <c r="BG48" i="3"/>
  <c r="AR48" i="3"/>
  <c r="BG47" i="3"/>
  <c r="AR47" i="3"/>
  <c r="BW46" i="3"/>
  <c r="BG46" i="3"/>
  <c r="BE46" i="3"/>
  <c r="BU46" i="3" s="1"/>
  <c r="BC46" i="3"/>
  <c r="AR46" i="3"/>
  <c r="BW45" i="3"/>
  <c r="BU45" i="3"/>
  <c r="BG45" i="3"/>
  <c r="BH45" i="3" s="1"/>
  <c r="BO45" i="3" s="1"/>
  <c r="BQ45" i="3" s="1"/>
  <c r="BE45" i="3"/>
  <c r="BD45" i="3"/>
  <c r="BC45" i="3"/>
  <c r="AR45" i="3"/>
  <c r="BW43" i="3"/>
  <c r="BU43" i="3"/>
  <c r="BG43" i="3"/>
  <c r="BH43" i="3" s="1"/>
  <c r="BO43" i="3" s="1"/>
  <c r="BQ43" i="3" s="1"/>
  <c r="BE43" i="3"/>
  <c r="BD43" i="3"/>
  <c r="BC43" i="3"/>
  <c r="AR43" i="3"/>
  <c r="BW42" i="3"/>
  <c r="BU42" i="3"/>
  <c r="BG42" i="3"/>
  <c r="BH42" i="3" s="1"/>
  <c r="BO42" i="3" s="1"/>
  <c r="BQ42" i="3" s="1"/>
  <c r="BE42" i="3"/>
  <c r="BD42" i="3"/>
  <c r="BC42" i="3"/>
  <c r="AR42" i="3"/>
  <c r="BG41" i="3"/>
  <c r="AR41" i="3"/>
  <c r="AS41" i="3" s="1"/>
  <c r="BG40" i="3"/>
  <c r="AR40" i="3"/>
  <c r="BG39" i="3"/>
  <c r="AR39" i="3"/>
  <c r="BG38" i="3"/>
  <c r="AR38" i="3"/>
  <c r="BW37" i="3"/>
  <c r="BU37" i="3"/>
  <c r="BG37" i="3"/>
  <c r="BH37" i="3" s="1"/>
  <c r="BO37" i="3" s="1"/>
  <c r="BQ37" i="3" s="1"/>
  <c r="BE37" i="3"/>
  <c r="BD37" i="3"/>
  <c r="BC37" i="3"/>
  <c r="AR37" i="3"/>
  <c r="BW36" i="3"/>
  <c r="BG36" i="3"/>
  <c r="BE36" i="3"/>
  <c r="BU36" i="3" s="1"/>
  <c r="BD36" i="3"/>
  <c r="BC36" i="3"/>
  <c r="AR36" i="3"/>
  <c r="BG35" i="3"/>
  <c r="AR35" i="3"/>
  <c r="BG34" i="3"/>
  <c r="AR34" i="3"/>
  <c r="BT33" i="3"/>
  <c r="BG33" i="3"/>
  <c r="BE33" i="3"/>
  <c r="BU33" i="3" s="1"/>
  <c r="BX33" i="3" s="1"/>
  <c r="BD33" i="3"/>
  <c r="BC33" i="3"/>
  <c r="AR33" i="3"/>
  <c r="BW32" i="3"/>
  <c r="BG32" i="3"/>
  <c r="BE32" i="3"/>
  <c r="BU32" i="3" s="1"/>
  <c r="BD32" i="3"/>
  <c r="BC32" i="3"/>
  <c r="AR32" i="3"/>
  <c r="BG31" i="3"/>
  <c r="AR31" i="3"/>
  <c r="BW30" i="3"/>
  <c r="BU30" i="3"/>
  <c r="BG30" i="3"/>
  <c r="BH30" i="3" s="1"/>
  <c r="BO30" i="3" s="1"/>
  <c r="BQ30" i="3" s="1"/>
  <c r="BE30" i="3"/>
  <c r="BD30" i="3"/>
  <c r="BC30" i="3"/>
  <c r="AR30" i="3"/>
  <c r="BG29" i="3"/>
  <c r="AR29" i="3"/>
  <c r="BW28" i="3"/>
  <c r="BU28" i="3"/>
  <c r="BG28" i="3"/>
  <c r="BH28" i="3" s="1"/>
  <c r="BO28" i="3" s="1"/>
  <c r="BQ28" i="3" s="1"/>
  <c r="BE28" i="3"/>
  <c r="BD28" i="3"/>
  <c r="BC28" i="3"/>
  <c r="AR28" i="3"/>
  <c r="BW27" i="3"/>
  <c r="BU27" i="3"/>
  <c r="BG27" i="3"/>
  <c r="BH27" i="3" s="1"/>
  <c r="BO27" i="3" s="1"/>
  <c r="BQ27" i="3" s="1"/>
  <c r="BE27" i="3"/>
  <c r="BD27" i="3"/>
  <c r="BC27" i="3"/>
  <c r="AR27" i="3"/>
  <c r="BW26" i="3"/>
  <c r="BU26" i="3"/>
  <c r="BG26" i="3"/>
  <c r="BH26" i="3" s="1"/>
  <c r="BO26" i="3" s="1"/>
  <c r="BQ26" i="3" s="1"/>
  <c r="BE26" i="3"/>
  <c r="BD26" i="3"/>
  <c r="BC26" i="3"/>
  <c r="AR26" i="3"/>
  <c r="BW24" i="3"/>
  <c r="BU24" i="3"/>
  <c r="BG24" i="3"/>
  <c r="BH24" i="3" s="1"/>
  <c r="BO24" i="3" s="1"/>
  <c r="BQ24" i="3" s="1"/>
  <c r="BE24" i="3"/>
  <c r="BD24" i="3"/>
  <c r="BC24" i="3"/>
  <c r="AR24" i="3"/>
  <c r="BW23" i="3"/>
  <c r="BU23" i="3"/>
  <c r="BG23" i="3"/>
  <c r="BH23" i="3" s="1"/>
  <c r="BO23" i="3" s="1"/>
  <c r="BQ23" i="3" s="1"/>
  <c r="BE23" i="3"/>
  <c r="BD23" i="3"/>
  <c r="BC23" i="3"/>
  <c r="AR23" i="3"/>
  <c r="BG22" i="3"/>
  <c r="AR22" i="3"/>
  <c r="BG21" i="3"/>
  <c r="AR21" i="3"/>
  <c r="BG20" i="3"/>
  <c r="BH20" i="3" s="1"/>
  <c r="AR20" i="3"/>
  <c r="BG19" i="3"/>
  <c r="AR19" i="3"/>
  <c r="BG18" i="3"/>
  <c r="AR18" i="3"/>
  <c r="BG17" i="3"/>
  <c r="AR17" i="3"/>
  <c r="BA16" i="3"/>
  <c r="AS16" i="3"/>
  <c r="BG15" i="3"/>
  <c r="AR15" i="3"/>
  <c r="BG14" i="3"/>
  <c r="AR14" i="3"/>
  <c r="BT13" i="3"/>
  <c r="BG13" i="3"/>
  <c r="BE13" i="3"/>
  <c r="BU13" i="3" s="1"/>
  <c r="BX13" i="3" s="1"/>
  <c r="BD13" i="3"/>
  <c r="BC13" i="3"/>
  <c r="AR13" i="3"/>
  <c r="BW12" i="3"/>
  <c r="BG12" i="3"/>
  <c r="BE12" i="3"/>
  <c r="BU12" i="3" s="1"/>
  <c r="BD12" i="3"/>
  <c r="BC12" i="3"/>
  <c r="AR12" i="3"/>
  <c r="BA11" i="3"/>
  <c r="AS11" i="3"/>
  <c r="BG10" i="3"/>
  <c r="AR10" i="3"/>
  <c r="BG9" i="3"/>
  <c r="AR9" i="3"/>
  <c r="BG8" i="3"/>
  <c r="BH8" i="3" s="1"/>
  <c r="AR8" i="3"/>
  <c r="BG7" i="3"/>
  <c r="BH7" i="3" s="1"/>
  <c r="AR7" i="3"/>
  <c r="BG6" i="3"/>
  <c r="BH6" i="3" s="1"/>
  <c r="AR6" i="3"/>
  <c r="BG5" i="3"/>
  <c r="AR5" i="3"/>
  <c r="BG4" i="3"/>
  <c r="AR4" i="3"/>
  <c r="BG3" i="3"/>
  <c r="AR3" i="3"/>
  <c r="BW2" i="3"/>
  <c r="BG2" i="3"/>
  <c r="BE2" i="3"/>
  <c r="BU2" i="3" s="1"/>
  <c r="BD2" i="3"/>
  <c r="BC2" i="3"/>
  <c r="AR2" i="3"/>
  <c r="W86" i="1"/>
  <c r="J86" i="1"/>
  <c r="G86" i="1"/>
  <c r="W91" i="1"/>
  <c r="W90" i="1"/>
  <c r="W89" i="1"/>
  <c r="W88" i="1"/>
  <c r="BB2" i="3" l="1"/>
  <c r="BA2" i="3"/>
  <c r="AS2" i="3"/>
  <c r="BS2" i="3"/>
  <c r="BM2" i="3"/>
  <c r="BX2" i="3"/>
  <c r="BV2" i="3"/>
  <c r="BY2" i="3" s="1"/>
  <c r="BI2" i="3"/>
  <c r="BA3" i="3"/>
  <c r="AS3" i="3"/>
  <c r="BA4" i="3"/>
  <c r="AS4" i="3"/>
  <c r="BA5" i="3"/>
  <c r="AS5" i="3"/>
  <c r="BA6" i="3"/>
  <c r="AS6" i="3"/>
  <c r="BA7" i="3"/>
  <c r="AS7" i="3"/>
  <c r="BA8" i="3"/>
  <c r="AS8" i="3"/>
  <c r="BA9" i="3"/>
  <c r="AS9" i="3"/>
  <c r="BA10" i="3"/>
  <c r="AS10" i="3"/>
  <c r="BB12" i="3"/>
  <c r="BA12" i="3"/>
  <c r="AS12" i="3"/>
  <c r="BS12" i="3"/>
  <c r="BM12" i="3"/>
  <c r="BX12" i="3"/>
  <c r="BV12" i="3"/>
  <c r="BY12" i="3" s="1"/>
  <c r="BI12" i="3"/>
  <c r="BB13" i="3"/>
  <c r="BA13" i="3"/>
  <c r="AS13" i="3"/>
  <c r="BS13" i="3"/>
  <c r="BM13" i="3"/>
  <c r="BI13" i="3"/>
  <c r="BW13" i="3"/>
  <c r="BV13" i="3"/>
  <c r="BY13" i="3" s="1"/>
  <c r="BA14" i="3"/>
  <c r="AS14" i="3"/>
  <c r="BA15" i="3"/>
  <c r="AS15" i="3"/>
  <c r="BA17" i="3"/>
  <c r="AS17" i="3"/>
  <c r="BA18" i="3"/>
  <c r="AS18" i="3"/>
  <c r="BA19" i="3"/>
  <c r="AS19" i="3"/>
  <c r="BA20" i="3"/>
  <c r="AS20" i="3"/>
  <c r="BA21" i="3"/>
  <c r="AS21" i="3"/>
  <c r="BA22" i="3"/>
  <c r="AS22" i="3"/>
  <c r="BB23" i="3"/>
  <c r="BA23" i="3"/>
  <c r="AS23" i="3"/>
  <c r="BS23" i="3"/>
  <c r="BM23" i="3"/>
  <c r="BX23" i="3"/>
  <c r="BV23" i="3"/>
  <c r="BY23" i="3" s="1"/>
  <c r="BB24" i="3"/>
  <c r="BA24" i="3"/>
  <c r="AS24" i="3"/>
  <c r="BS24" i="3"/>
  <c r="BM24" i="3"/>
  <c r="BX24" i="3"/>
  <c r="BV24" i="3"/>
  <c r="BY24" i="3" s="1"/>
  <c r="BB26" i="3"/>
  <c r="BA26" i="3"/>
  <c r="AS26" i="3"/>
  <c r="BS26" i="3"/>
  <c r="BM26" i="3"/>
  <c r="BX26" i="3"/>
  <c r="BV26" i="3"/>
  <c r="BY26" i="3" s="1"/>
  <c r="BB27" i="3"/>
  <c r="BA27" i="3"/>
  <c r="AS27" i="3"/>
  <c r="BS27" i="3"/>
  <c r="BM27" i="3"/>
  <c r="BX27" i="3"/>
  <c r="BV27" i="3"/>
  <c r="BY27" i="3" s="1"/>
  <c r="BB28" i="3"/>
  <c r="BA28" i="3"/>
  <c r="AS28" i="3"/>
  <c r="BS28" i="3"/>
  <c r="BM28" i="3"/>
  <c r="BX28" i="3"/>
  <c r="BV28" i="3"/>
  <c r="BY28" i="3" s="1"/>
  <c r="BA29" i="3"/>
  <c r="AS29" i="3"/>
  <c r="BB30" i="3"/>
  <c r="BA30" i="3"/>
  <c r="AS30" i="3"/>
  <c r="BS30" i="3"/>
  <c r="BM30" i="3"/>
  <c r="BX30" i="3"/>
  <c r="BV30" i="3"/>
  <c r="BY30" i="3" s="1"/>
  <c r="BA31" i="3"/>
  <c r="AS31" i="3"/>
  <c r="BB32" i="3"/>
  <c r="BA32" i="3"/>
  <c r="AS32" i="3"/>
  <c r="BS32" i="3"/>
  <c r="BM32" i="3"/>
  <c r="BX32" i="3"/>
  <c r="BV32" i="3"/>
  <c r="BY32" i="3" s="1"/>
  <c r="BI32" i="3"/>
  <c r="BB33" i="3"/>
  <c r="BA33" i="3"/>
  <c r="AS33" i="3"/>
  <c r="BS33" i="3"/>
  <c r="BM33" i="3"/>
  <c r="BI33" i="3"/>
  <c r="BW33" i="3"/>
  <c r="BV33" i="3"/>
  <c r="BY33" i="3" s="1"/>
  <c r="BA34" i="3"/>
  <c r="AS34" i="3"/>
  <c r="BA35" i="3"/>
  <c r="AS35" i="3"/>
  <c r="BB36" i="3"/>
  <c r="BA36" i="3"/>
  <c r="AS36" i="3"/>
  <c r="BS36" i="3"/>
  <c r="BM36" i="3"/>
  <c r="BX36" i="3"/>
  <c r="BV36" i="3"/>
  <c r="BY36" i="3" s="1"/>
  <c r="BI36" i="3"/>
  <c r="BB37" i="3"/>
  <c r="BA37" i="3"/>
  <c r="AS37" i="3"/>
  <c r="BS37" i="3"/>
  <c r="BM37" i="3"/>
  <c r="BX37" i="3"/>
  <c r="BV37" i="3"/>
  <c r="BY37" i="3" s="1"/>
  <c r="BA38" i="3"/>
  <c r="AS38" i="3"/>
  <c r="BA39" i="3"/>
  <c r="AS39" i="3"/>
  <c r="BA40" i="3"/>
  <c r="AS40" i="3"/>
  <c r="BB42" i="3"/>
  <c r="BA42" i="3"/>
  <c r="AS42" i="3"/>
  <c r="BS42" i="3"/>
  <c r="BM42" i="3"/>
  <c r="BX42" i="3"/>
  <c r="BV42" i="3"/>
  <c r="BY42" i="3" s="1"/>
  <c r="BB43" i="3"/>
  <c r="BA43" i="3"/>
  <c r="AS43" i="3"/>
  <c r="BS43" i="3"/>
  <c r="BM43" i="3"/>
  <c r="BX43" i="3"/>
  <c r="BV43" i="3"/>
  <c r="BY43" i="3" s="1"/>
  <c r="BB45" i="3"/>
  <c r="BA45" i="3"/>
  <c r="AS45" i="3"/>
  <c r="BS45" i="3"/>
  <c r="BM45" i="3"/>
  <c r="BX45" i="3"/>
  <c r="BV45" i="3"/>
  <c r="BY45" i="3" s="1"/>
  <c r="BB46" i="3"/>
  <c r="BA46" i="3"/>
  <c r="AS46" i="3"/>
  <c r="BS46" i="3"/>
  <c r="BM46" i="3"/>
  <c r="BX46" i="3"/>
  <c r="BV46" i="3"/>
  <c r="BY46" i="3" s="1"/>
  <c r="BI46" i="3"/>
  <c r="BP46" i="3" s="1"/>
  <c r="BH46" i="3"/>
  <c r="BO46" i="3" s="1"/>
  <c r="BQ46" i="3" s="1"/>
  <c r="BA47" i="3"/>
  <c r="AS47" i="3"/>
  <c r="BA48" i="3"/>
  <c r="AS48" i="3"/>
  <c r="BA49" i="3"/>
  <c r="AS49" i="3"/>
  <c r="BB50" i="3"/>
  <c r="BA50" i="3"/>
  <c r="AS50" i="3"/>
  <c r="BS50" i="3"/>
  <c r="BM50" i="3"/>
  <c r="BX50" i="3"/>
  <c r="BV50" i="3"/>
  <c r="BY50" i="3" s="1"/>
  <c r="BI50" i="3"/>
  <c r="BB51" i="3"/>
  <c r="BA51" i="3"/>
  <c r="AS51" i="3"/>
  <c r="BS51" i="3"/>
  <c r="BM51" i="3"/>
  <c r="BI51" i="3"/>
  <c r="BW51" i="3"/>
  <c r="BV51" i="3"/>
  <c r="BY51" i="3" s="1"/>
  <c r="BB52" i="3"/>
  <c r="BA52" i="3"/>
  <c r="AS52" i="3"/>
  <c r="BS52" i="3"/>
  <c r="BM52" i="3"/>
  <c r="BX52" i="3"/>
  <c r="BV52" i="3"/>
  <c r="BY52" i="3" s="1"/>
  <c r="BB53" i="3"/>
  <c r="BA53" i="3"/>
  <c r="AS53" i="3"/>
  <c r="BS53" i="3"/>
  <c r="BM53" i="3"/>
  <c r="BX53" i="3"/>
  <c r="BV53" i="3"/>
  <c r="BY53" i="3" s="1"/>
  <c r="BI53" i="3"/>
  <c r="F2" i="2"/>
  <c r="D2" i="2"/>
  <c r="C2" i="2"/>
  <c r="B2" i="2"/>
  <c r="BP53" i="3" l="1"/>
  <c r="BH53" i="3"/>
  <c r="BO53" i="3" s="1"/>
  <c r="BQ53" i="3" s="1"/>
  <c r="BP51" i="3"/>
  <c r="BH51" i="3"/>
  <c r="BO51" i="3" s="1"/>
  <c r="BQ51" i="3" s="1"/>
  <c r="BP50" i="3"/>
  <c r="BH50" i="3"/>
  <c r="BO50" i="3" s="1"/>
  <c r="BQ50" i="3" s="1"/>
  <c r="BP36" i="3"/>
  <c r="BH36" i="3"/>
  <c r="BO36" i="3" s="1"/>
  <c r="BQ36" i="3" s="1"/>
  <c r="BP33" i="3"/>
  <c r="BH33" i="3"/>
  <c r="BO33" i="3" s="1"/>
  <c r="BQ33" i="3" s="1"/>
  <c r="BP32" i="3"/>
  <c r="BH32" i="3"/>
  <c r="BO32" i="3" s="1"/>
  <c r="BQ32" i="3" s="1"/>
  <c r="BP13" i="3"/>
  <c r="BH13" i="3"/>
  <c r="BO13" i="3" s="1"/>
  <c r="BQ13" i="3" s="1"/>
  <c r="BP12" i="3"/>
  <c r="BH12" i="3"/>
  <c r="BO12" i="3" s="1"/>
  <c r="BQ12" i="3" s="1"/>
  <c r="BP2" i="3"/>
  <c r="BH2" i="3"/>
  <c r="BO2" i="3" s="1"/>
  <c r="BQ2" i="3" s="1"/>
  <c r="Q29" i="1"/>
  <c r="G39" i="2" l="1"/>
  <c r="G38" i="2"/>
  <c r="G36" i="2"/>
  <c r="G35" i="2"/>
  <c r="G34" i="2"/>
  <c r="G33" i="2"/>
  <c r="G32" i="2"/>
  <c r="G31" i="2"/>
  <c r="G30" i="2"/>
  <c r="J31" i="2"/>
  <c r="J32" i="2"/>
  <c r="J33" i="2"/>
  <c r="J34" i="2"/>
  <c r="J35" i="2"/>
  <c r="J36" i="2"/>
  <c r="J37" i="2"/>
  <c r="J38" i="2"/>
  <c r="J39" i="2"/>
  <c r="J30" i="2"/>
  <c r="S39" i="2" l="1"/>
  <c r="S38" i="2"/>
  <c r="AP37" i="2"/>
  <c r="AO37" i="2"/>
  <c r="AN37" i="2"/>
  <c r="AM37" i="2"/>
  <c r="AF37" i="2"/>
  <c r="Z37" i="2"/>
  <c r="V37" i="2"/>
  <c r="G37" i="2"/>
  <c r="S36" i="2"/>
  <c r="S35" i="2"/>
  <c r="S34" i="2"/>
  <c r="S33" i="2"/>
  <c r="S31" i="2"/>
  <c r="AD27" i="2"/>
  <c r="E17" i="2"/>
  <c r="F17" i="2" s="1"/>
  <c r="H16" i="2"/>
  <c r="F16" i="2"/>
  <c r="D16" i="2"/>
  <c r="E16" i="2" s="1"/>
  <c r="F15" i="2"/>
  <c r="D15" i="2"/>
  <c r="E15" i="2" s="1"/>
  <c r="F14" i="2"/>
  <c r="D14" i="2"/>
  <c r="E14" i="2" s="1"/>
  <c r="F13" i="2"/>
  <c r="D13" i="2"/>
  <c r="E13" i="2" s="1"/>
  <c r="F12" i="2"/>
  <c r="E12" i="2"/>
  <c r="D12" i="2"/>
  <c r="F11" i="2"/>
  <c r="D11" i="2"/>
  <c r="E11" i="2" s="1"/>
  <c r="F10" i="2"/>
  <c r="D10" i="2"/>
  <c r="E10" i="2" s="1"/>
  <c r="D9" i="2"/>
  <c r="X27" i="2"/>
  <c r="D8" i="2"/>
  <c r="K7" i="2"/>
  <c r="D7" i="2"/>
  <c r="F7" i="2"/>
  <c r="J6" i="2"/>
  <c r="F6" i="2"/>
  <c r="E6" i="2"/>
  <c r="D6" i="2"/>
  <c r="J5" i="2"/>
  <c r="K6" i="2" s="1"/>
  <c r="D5" i="2"/>
  <c r="J4" i="2"/>
  <c r="K5" i="2" s="1"/>
  <c r="F4" i="2"/>
  <c r="E4" i="2"/>
  <c r="D4" i="2"/>
  <c r="D3" i="2"/>
  <c r="I14" i="2" s="1"/>
  <c r="J87" i="1"/>
  <c r="W85" i="1"/>
  <c r="J85" i="1"/>
  <c r="W84" i="1"/>
  <c r="G84" i="1"/>
  <c r="W83" i="1"/>
  <c r="S83" i="1"/>
  <c r="J83" i="1"/>
  <c r="W82" i="1"/>
  <c r="S82" i="1"/>
  <c r="J82" i="1"/>
  <c r="G82" i="1"/>
  <c r="W81" i="1"/>
  <c r="S81" i="1"/>
  <c r="J81" i="1"/>
  <c r="G81" i="1"/>
  <c r="W80" i="1"/>
  <c r="S80" i="1"/>
  <c r="O80" i="1"/>
  <c r="J80" i="1"/>
  <c r="W79" i="1"/>
  <c r="S79" i="1"/>
  <c r="J79" i="1"/>
  <c r="W78" i="1"/>
  <c r="S78" i="1"/>
  <c r="O78" i="1"/>
  <c r="J78" i="1"/>
  <c r="W77" i="1"/>
  <c r="S77" i="1"/>
  <c r="J77" i="1"/>
  <c r="W76" i="1"/>
  <c r="S76" i="1"/>
  <c r="J76" i="1"/>
  <c r="AE75" i="1"/>
  <c r="J75" i="1"/>
  <c r="BJ74" i="1"/>
  <c r="AQ74" i="1"/>
  <c r="AP74" i="1"/>
  <c r="AO74" i="1"/>
  <c r="AN74" i="1"/>
  <c r="AM74" i="1"/>
  <c r="Z74" i="1"/>
  <c r="Y74" i="1"/>
  <c r="S74" i="1"/>
  <c r="O74" i="1"/>
  <c r="V74" i="1" s="1"/>
  <c r="N74" i="1"/>
  <c r="M74" i="1"/>
  <c r="J74" i="1"/>
  <c r="G74" i="1"/>
  <c r="BK73" i="1"/>
  <c r="BJ73" i="1"/>
  <c r="AQ73" i="1"/>
  <c r="AO73" i="1"/>
  <c r="BI73" i="1" s="1"/>
  <c r="AN73" i="1"/>
  <c r="AM73" i="1"/>
  <c r="AL73" i="1"/>
  <c r="AP73" i="1" s="1"/>
  <c r="W73" i="1"/>
  <c r="V73" i="1"/>
  <c r="S73" i="1"/>
  <c r="U73" i="1" s="1"/>
  <c r="M73" i="1"/>
  <c r="N73" i="1" s="1"/>
  <c r="J73" i="1"/>
  <c r="G73" i="1"/>
  <c r="AQ72" i="1"/>
  <c r="AP72" i="1"/>
  <c r="AO72" i="1"/>
  <c r="Y72" i="1"/>
  <c r="AN72" i="1" s="1"/>
  <c r="W72" i="1"/>
  <c r="S72" i="1"/>
  <c r="U72" i="1" s="1"/>
  <c r="O72" i="1"/>
  <c r="V72" i="1" s="1"/>
  <c r="N72" i="1"/>
  <c r="M72" i="1"/>
  <c r="AM72" i="1" s="1"/>
  <c r="J72" i="1"/>
  <c r="G72" i="1"/>
  <c r="BK71" i="1"/>
  <c r="BJ71" i="1"/>
  <c r="AQ71" i="1"/>
  <c r="AP71" i="1"/>
  <c r="AO71" i="1"/>
  <c r="Z71" i="1"/>
  <c r="Y71" i="1"/>
  <c r="W71" i="1"/>
  <c r="S71" i="1"/>
  <c r="U71" i="1" s="1"/>
  <c r="O71" i="1"/>
  <c r="V71" i="1" s="1"/>
  <c r="M71" i="1"/>
  <c r="J71" i="1"/>
  <c r="G71" i="1"/>
  <c r="AQ70" i="1"/>
  <c r="AP70" i="1"/>
  <c r="AO70" i="1"/>
  <c r="AF70" i="1"/>
  <c r="Z70" i="1"/>
  <c r="Y70" i="1"/>
  <c r="AN70" i="1" s="1"/>
  <c r="W70" i="1"/>
  <c r="S70" i="1"/>
  <c r="O70" i="1"/>
  <c r="V70" i="1" s="1"/>
  <c r="N70" i="1"/>
  <c r="M70" i="1"/>
  <c r="AM70" i="1" s="1"/>
  <c r="J70" i="1"/>
  <c r="G70" i="1"/>
  <c r="AQ69" i="1"/>
  <c r="AO69" i="1"/>
  <c r="AM69" i="1"/>
  <c r="AL69" i="1"/>
  <c r="AP69" i="1" s="1"/>
  <c r="AF69" i="1"/>
  <c r="Z69" i="1"/>
  <c r="Y69" i="1"/>
  <c r="AN69" i="1" s="1"/>
  <c r="W69" i="1"/>
  <c r="S69" i="1"/>
  <c r="U69" i="1" s="1"/>
  <c r="O69" i="1"/>
  <c r="V69" i="1" s="1"/>
  <c r="M69" i="1"/>
  <c r="N69" i="1" s="1"/>
  <c r="J69" i="1"/>
  <c r="G69" i="1"/>
  <c r="AQ68" i="1"/>
  <c r="AP68" i="1"/>
  <c r="AO68" i="1"/>
  <c r="AN68" i="1"/>
  <c r="AF68" i="1"/>
  <c r="Z68" i="1"/>
  <c r="Y68" i="1"/>
  <c r="W68" i="1"/>
  <c r="S68" i="1"/>
  <c r="U68" i="1" s="1"/>
  <c r="O68" i="1"/>
  <c r="V68" i="1" s="1"/>
  <c r="M68" i="1"/>
  <c r="J68" i="1"/>
  <c r="G68" i="1"/>
  <c r="BR67" i="1"/>
  <c r="BN67" i="1"/>
  <c r="AQ67" i="1"/>
  <c r="AP67" i="1"/>
  <c r="AO67" i="1"/>
  <c r="AM67" i="1"/>
  <c r="AF67" i="1"/>
  <c r="Z67" i="1"/>
  <c r="Y67" i="1"/>
  <c r="AN67" i="1" s="1"/>
  <c r="W67" i="1"/>
  <c r="S67" i="1"/>
  <c r="O67" i="1"/>
  <c r="M67" i="1"/>
  <c r="N67" i="1" s="1"/>
  <c r="J67" i="1"/>
  <c r="G67" i="1"/>
  <c r="BK66" i="1"/>
  <c r="BJ66" i="1"/>
  <c r="AO66" i="1"/>
  <c r="BI66" i="1" s="1"/>
  <c r="AN66" i="1"/>
  <c r="AL66" i="1"/>
  <c r="AP66" i="1" s="1"/>
  <c r="AF66" i="1"/>
  <c r="Z66" i="1"/>
  <c r="W66" i="1"/>
  <c r="S66" i="1"/>
  <c r="O66" i="1"/>
  <c r="V66" i="1" s="1"/>
  <c r="BR66" i="1" s="1"/>
  <c r="M66" i="1"/>
  <c r="J66" i="1"/>
  <c r="G66" i="1"/>
  <c r="S65" i="1"/>
  <c r="O65" i="1"/>
  <c r="V65" i="1" s="1"/>
  <c r="BN65" i="1" s="1"/>
  <c r="J65" i="1"/>
  <c r="G65" i="1"/>
  <c r="BI64" i="1"/>
  <c r="AM64" i="1"/>
  <c r="Z64" i="1"/>
  <c r="W64" i="1"/>
  <c r="BJ64" i="1" s="1"/>
  <c r="BT64" i="1" s="1"/>
  <c r="S64" i="1"/>
  <c r="O64" i="1"/>
  <c r="V64" i="1" s="1"/>
  <c r="BR64" i="1" s="1"/>
  <c r="N64" i="1"/>
  <c r="M64" i="1"/>
  <c r="J64" i="1"/>
  <c r="G64" i="1"/>
  <c r="BK63" i="1"/>
  <c r="BI63" i="1"/>
  <c r="AM63" i="1"/>
  <c r="AL63" i="1"/>
  <c r="Z63" i="1"/>
  <c r="W63" i="1"/>
  <c r="BJ63" i="1" s="1"/>
  <c r="BT63" i="1" s="1"/>
  <c r="S63" i="1"/>
  <c r="U63" i="1" s="1"/>
  <c r="O63" i="1"/>
  <c r="V63" i="1" s="1"/>
  <c r="M63" i="1"/>
  <c r="N63" i="1" s="1"/>
  <c r="J63" i="1"/>
  <c r="G63" i="1"/>
  <c r="AP62" i="1"/>
  <c r="AO62" i="1"/>
  <c r="Z62" i="1"/>
  <c r="Y62" i="1"/>
  <c r="AN62" i="1" s="1"/>
  <c r="S62" i="1"/>
  <c r="O62" i="1"/>
  <c r="V62" i="1" s="1"/>
  <c r="M62" i="1"/>
  <c r="AM62" i="1" s="1"/>
  <c r="J62" i="1"/>
  <c r="G62" i="1"/>
  <c r="AQ61" i="1"/>
  <c r="AP61" i="1"/>
  <c r="AO61" i="1"/>
  <c r="AM61" i="1"/>
  <c r="Z61" i="1"/>
  <c r="Y61" i="1"/>
  <c r="W61" i="1"/>
  <c r="S61" i="1"/>
  <c r="U61" i="1" s="1"/>
  <c r="O61" i="1"/>
  <c r="V61" i="1" s="1"/>
  <c r="BR61" i="1" s="1"/>
  <c r="N61" i="1"/>
  <c r="M61" i="1"/>
  <c r="J61" i="1"/>
  <c r="G61" i="1"/>
  <c r="AQ60" i="1"/>
  <c r="AP60" i="1"/>
  <c r="AO60" i="1"/>
  <c r="Z60" i="1"/>
  <c r="Y60" i="1"/>
  <c r="W60" i="1"/>
  <c r="S60" i="1"/>
  <c r="X60" i="1" s="1"/>
  <c r="AN60" i="1" s="1"/>
  <c r="O60" i="1"/>
  <c r="V60" i="1" s="1"/>
  <c r="N60" i="1"/>
  <c r="M60" i="1"/>
  <c r="AM60" i="1" s="1"/>
  <c r="J60" i="1"/>
  <c r="G60" i="1"/>
  <c r="BK59" i="1"/>
  <c r="BJ59" i="1"/>
  <c r="AP59" i="1"/>
  <c r="AO59" i="1"/>
  <c r="AN59" i="1"/>
  <c r="Z59" i="1"/>
  <c r="S59" i="1"/>
  <c r="O59" i="1"/>
  <c r="V59" i="1" s="1"/>
  <c r="M59" i="1"/>
  <c r="J59" i="1"/>
  <c r="G59" i="1"/>
  <c r="BK58" i="1"/>
  <c r="BJ58" i="1"/>
  <c r="AO58" i="1"/>
  <c r="AL58" i="1"/>
  <c r="AP58" i="1" s="1"/>
  <c r="AI58" i="1"/>
  <c r="AF58" i="1"/>
  <c r="Z58" i="1"/>
  <c r="W58" i="1"/>
  <c r="S58" i="1"/>
  <c r="U58" i="1" s="1"/>
  <c r="O58" i="1"/>
  <c r="V58" i="1" s="1"/>
  <c r="BR58" i="1" s="1"/>
  <c r="N58" i="1"/>
  <c r="M58" i="1"/>
  <c r="AM58" i="1" s="1"/>
  <c r="J58" i="1"/>
  <c r="G58" i="1"/>
  <c r="BK57" i="1"/>
  <c r="BJ57" i="1"/>
  <c r="AP57" i="1"/>
  <c r="AO57" i="1"/>
  <c r="AF57" i="1"/>
  <c r="Z57" i="1"/>
  <c r="Y57" i="1"/>
  <c r="W57" i="1"/>
  <c r="S57" i="1"/>
  <c r="X57" i="1" s="1"/>
  <c r="AN57" i="1" s="1"/>
  <c r="O57" i="1"/>
  <c r="V57" i="1" s="1"/>
  <c r="N57" i="1"/>
  <c r="M57" i="1"/>
  <c r="AM57" i="1" s="1"/>
  <c r="J57" i="1"/>
  <c r="G57" i="1"/>
  <c r="AQ56" i="1"/>
  <c r="AO56" i="1"/>
  <c r="AM56" i="1"/>
  <c r="AL56" i="1"/>
  <c r="AP56" i="1" s="1"/>
  <c r="AF56" i="1"/>
  <c r="Z56" i="1"/>
  <c r="Y56" i="1"/>
  <c r="AN56" i="1" s="1"/>
  <c r="W56" i="1"/>
  <c r="V56" i="1"/>
  <c r="S56" i="1"/>
  <c r="U56" i="1" s="1"/>
  <c r="N56" i="1"/>
  <c r="M56" i="1"/>
  <c r="J56" i="1"/>
  <c r="G56" i="1"/>
  <c r="AP55" i="1"/>
  <c r="AO55" i="1"/>
  <c r="AL55" i="1"/>
  <c r="AI55" i="1"/>
  <c r="AF55" i="1"/>
  <c r="Z55" i="1"/>
  <c r="W55" i="1"/>
  <c r="S55" i="1"/>
  <c r="O55" i="1"/>
  <c r="V55" i="1" s="1"/>
  <c r="N55" i="1"/>
  <c r="M55" i="1"/>
  <c r="AM55" i="1" s="1"/>
  <c r="J55" i="1"/>
  <c r="G55" i="1"/>
  <c r="AQ54" i="1"/>
  <c r="AP54" i="1"/>
  <c r="AO54" i="1"/>
  <c r="AN54" i="1"/>
  <c r="Z54" i="1"/>
  <c r="Y54" i="1"/>
  <c r="W54" i="1"/>
  <c r="S54" i="1"/>
  <c r="U54" i="1" s="1"/>
  <c r="O54" i="1"/>
  <c r="V54" i="1" s="1"/>
  <c r="M54" i="1"/>
  <c r="J54" i="1"/>
  <c r="G54" i="1"/>
  <c r="BK53" i="1"/>
  <c r="BJ53" i="1"/>
  <c r="AO53" i="1"/>
  <c r="AN53" i="1"/>
  <c r="AM53" i="1"/>
  <c r="AL53" i="1"/>
  <c r="AP53" i="1" s="1"/>
  <c r="AI53" i="1"/>
  <c r="AF53" i="1"/>
  <c r="Z53" i="1"/>
  <c r="W53" i="1"/>
  <c r="S53" i="1"/>
  <c r="O53" i="1"/>
  <c r="N53" i="1"/>
  <c r="M53" i="1"/>
  <c r="J53" i="1"/>
  <c r="G53" i="1"/>
  <c r="AQ52" i="1"/>
  <c r="AP52" i="1"/>
  <c r="AO52" i="1"/>
  <c r="AN52" i="1"/>
  <c r="AM52" i="1"/>
  <c r="AF52" i="1"/>
  <c r="Z52" i="1"/>
  <c r="W52" i="1"/>
  <c r="BJ52" i="1" s="1"/>
  <c r="S52" i="1"/>
  <c r="O52" i="1"/>
  <c r="N52" i="1"/>
  <c r="M52" i="1"/>
  <c r="J52" i="1"/>
  <c r="G52" i="1"/>
  <c r="BK51" i="1"/>
  <c r="BJ51" i="1"/>
  <c r="AP51" i="1"/>
  <c r="AO51" i="1"/>
  <c r="AN51" i="1"/>
  <c r="AF51" i="1"/>
  <c r="Z51" i="1"/>
  <c r="W51" i="1"/>
  <c r="S51" i="1"/>
  <c r="O51" i="1"/>
  <c r="V51" i="1" s="1"/>
  <c r="M51" i="1"/>
  <c r="J51" i="1"/>
  <c r="G51" i="1"/>
  <c r="AP50" i="1"/>
  <c r="AO50" i="1"/>
  <c r="AN50" i="1"/>
  <c r="AF50" i="1"/>
  <c r="Z50" i="1"/>
  <c r="Y50" i="1"/>
  <c r="W50" i="1"/>
  <c r="S50" i="1"/>
  <c r="U50" i="1" s="1"/>
  <c r="O50" i="1"/>
  <c r="V50" i="1" s="1"/>
  <c r="M50" i="1"/>
  <c r="J50" i="1"/>
  <c r="G50" i="1"/>
  <c r="AP49" i="1"/>
  <c r="AO49" i="1"/>
  <c r="BI49" i="1" s="1"/>
  <c r="AN49" i="1"/>
  <c r="AM49" i="1"/>
  <c r="Z49" i="1"/>
  <c r="W49" i="1"/>
  <c r="S49" i="1"/>
  <c r="O49" i="1"/>
  <c r="V49" i="1" s="1"/>
  <c r="BN49" i="1" s="1"/>
  <c r="N49" i="1"/>
  <c r="M49" i="1"/>
  <c r="G49" i="1"/>
  <c r="BK48" i="1"/>
  <c r="BJ48" i="1"/>
  <c r="AP48" i="1"/>
  <c r="AO48" i="1"/>
  <c r="BI48" i="1" s="1"/>
  <c r="AN48" i="1"/>
  <c r="Z48" i="1"/>
  <c r="W48" i="1"/>
  <c r="S48" i="1"/>
  <c r="O48" i="1"/>
  <c r="V48" i="1" s="1"/>
  <c r="M48" i="1"/>
  <c r="AM48" i="1" s="1"/>
  <c r="J48" i="1"/>
  <c r="G48" i="1"/>
  <c r="AP47" i="1"/>
  <c r="AO47" i="1"/>
  <c r="AN47" i="1"/>
  <c r="AM47" i="1"/>
  <c r="Z47" i="1"/>
  <c r="W47" i="1"/>
  <c r="S47" i="1"/>
  <c r="U47" i="1" s="1"/>
  <c r="O47" i="1"/>
  <c r="V47" i="1" s="1"/>
  <c r="N47" i="1"/>
  <c r="M47" i="1"/>
  <c r="G47" i="1"/>
  <c r="W46" i="1"/>
  <c r="S46" i="1"/>
  <c r="O46" i="1"/>
  <c r="V46" i="1" s="1"/>
  <c r="J46" i="1"/>
  <c r="G46" i="1"/>
  <c r="BK45" i="1"/>
  <c r="BJ45" i="1"/>
  <c r="AP45" i="1"/>
  <c r="AO45" i="1"/>
  <c r="AN45" i="1"/>
  <c r="Z45" i="1"/>
  <c r="W45" i="1"/>
  <c r="S45" i="1"/>
  <c r="O45" i="1"/>
  <c r="V45" i="1" s="1"/>
  <c r="BN45" i="1" s="1"/>
  <c r="M45" i="1"/>
  <c r="J45" i="1"/>
  <c r="G45" i="1"/>
  <c r="AP44" i="1"/>
  <c r="AO44" i="1"/>
  <c r="BI44" i="1" s="1"/>
  <c r="AN44" i="1"/>
  <c r="AL44" i="1"/>
  <c r="AI44" i="1"/>
  <c r="AF44" i="1"/>
  <c r="Z44" i="1"/>
  <c r="W44" i="1"/>
  <c r="S44" i="1"/>
  <c r="U44" i="1" s="1"/>
  <c r="O44" i="1"/>
  <c r="V44" i="1" s="1"/>
  <c r="M44" i="1"/>
  <c r="AM44" i="1" s="1"/>
  <c r="J44" i="1"/>
  <c r="G44" i="1"/>
  <c r="AQ43" i="1"/>
  <c r="AP43" i="1"/>
  <c r="AO43" i="1"/>
  <c r="AM43" i="1"/>
  <c r="AF43" i="1"/>
  <c r="Z43" i="1"/>
  <c r="W43" i="1"/>
  <c r="S43" i="1"/>
  <c r="X43" i="1" s="1"/>
  <c r="AN43" i="1" s="1"/>
  <c r="O43" i="1"/>
  <c r="V43" i="1" s="1"/>
  <c r="N43" i="1"/>
  <c r="M43" i="1"/>
  <c r="J43" i="1"/>
  <c r="G43" i="1"/>
  <c r="AQ42" i="1"/>
  <c r="AP42" i="1"/>
  <c r="AO42" i="1"/>
  <c r="AF42" i="1"/>
  <c r="Z42" i="1"/>
  <c r="Y42" i="1"/>
  <c r="W42" i="1"/>
  <c r="S42" i="1"/>
  <c r="O42" i="1"/>
  <c r="V42" i="1" s="1"/>
  <c r="BN42" i="1" s="1"/>
  <c r="M42" i="1"/>
  <c r="AM42" i="1" s="1"/>
  <c r="J42" i="1"/>
  <c r="G42" i="1"/>
  <c r="BK41" i="1"/>
  <c r="BJ41" i="1"/>
  <c r="AQ41" i="1"/>
  <c r="AP41" i="1"/>
  <c r="AO41" i="1"/>
  <c r="BI41" i="1" s="1"/>
  <c r="AN41" i="1"/>
  <c r="AM41" i="1"/>
  <c r="AF41" i="1"/>
  <c r="Z41" i="1"/>
  <c r="W41" i="1"/>
  <c r="S41" i="1"/>
  <c r="U41" i="1" s="1"/>
  <c r="O41" i="1"/>
  <c r="V41" i="1" s="1"/>
  <c r="N41" i="1"/>
  <c r="M41" i="1"/>
  <c r="J41" i="1"/>
  <c r="G41" i="1"/>
  <c r="AQ40" i="1"/>
  <c r="AP40" i="1"/>
  <c r="AO40" i="1"/>
  <c r="AF40" i="1"/>
  <c r="Z40" i="1"/>
  <c r="Y40" i="1"/>
  <c r="AN40" i="1" s="1"/>
  <c r="S40" i="1"/>
  <c r="O40" i="1"/>
  <c r="V40" i="1" s="1"/>
  <c r="BR40" i="1" s="1"/>
  <c r="M40" i="1"/>
  <c r="AM40" i="1" s="1"/>
  <c r="J40" i="1"/>
  <c r="G40" i="1"/>
  <c r="AP39" i="1"/>
  <c r="AO39" i="1"/>
  <c r="AN39" i="1"/>
  <c r="AM39" i="1"/>
  <c r="AF39" i="1"/>
  <c r="Z39" i="1"/>
  <c r="S39" i="1"/>
  <c r="O39" i="1"/>
  <c r="V39" i="1" s="1"/>
  <c r="N39" i="1"/>
  <c r="M39" i="1"/>
  <c r="J39" i="1"/>
  <c r="G39" i="1"/>
  <c r="AQ38" i="1"/>
  <c r="AP38" i="1"/>
  <c r="AO38" i="1"/>
  <c r="AN38" i="1"/>
  <c r="AF38" i="1"/>
  <c r="Z38" i="1"/>
  <c r="S38" i="1"/>
  <c r="O38" i="1"/>
  <c r="V38" i="1" s="1"/>
  <c r="BR38" i="1" s="1"/>
  <c r="M38" i="1"/>
  <c r="J38" i="1"/>
  <c r="G38" i="1"/>
  <c r="AQ37" i="1"/>
  <c r="AP37" i="1"/>
  <c r="AO37" i="1"/>
  <c r="AN37" i="1"/>
  <c r="AM37" i="1"/>
  <c r="AF37" i="1"/>
  <c r="Z37" i="1"/>
  <c r="S37" i="1"/>
  <c r="O37" i="1"/>
  <c r="V37" i="1" s="1"/>
  <c r="N37" i="1"/>
  <c r="J37" i="1"/>
  <c r="G37" i="1"/>
  <c r="AQ36" i="1"/>
  <c r="AP36" i="1"/>
  <c r="AO36" i="1"/>
  <c r="AN36" i="1"/>
  <c r="AM36" i="1"/>
  <c r="AF36" i="1"/>
  <c r="Z36" i="1"/>
  <c r="S36" i="1"/>
  <c r="O36" i="1"/>
  <c r="V36" i="1" s="1"/>
  <c r="BR36" i="1" s="1"/>
  <c r="M36" i="1"/>
  <c r="N36" i="1" s="1"/>
  <c r="J36" i="1"/>
  <c r="G36" i="1"/>
  <c r="AQ35" i="1"/>
  <c r="AP35" i="1"/>
  <c r="AO35" i="1"/>
  <c r="AN35" i="1"/>
  <c r="AF35" i="1"/>
  <c r="Z35" i="1"/>
  <c r="S35" i="1"/>
  <c r="O35" i="1"/>
  <c r="V35" i="1" s="1"/>
  <c r="M35" i="1"/>
  <c r="N35" i="1" s="1"/>
  <c r="J35" i="1"/>
  <c r="G35" i="1"/>
  <c r="AP34" i="1"/>
  <c r="AO34" i="1"/>
  <c r="AN34" i="1"/>
  <c r="AM34" i="1"/>
  <c r="AF34" i="1"/>
  <c r="Y34" i="1"/>
  <c r="W34" i="1"/>
  <c r="S34" i="1"/>
  <c r="U34" i="1" s="1"/>
  <c r="O34" i="1"/>
  <c r="V34" i="1" s="1"/>
  <c r="BL34" i="1" s="1"/>
  <c r="N34" i="1"/>
  <c r="M34" i="1"/>
  <c r="J34" i="1"/>
  <c r="G34" i="1"/>
  <c r="BK33" i="1"/>
  <c r="BJ33" i="1"/>
  <c r="AQ33" i="1"/>
  <c r="AP33" i="1"/>
  <c r="AO33" i="1"/>
  <c r="AF33" i="1"/>
  <c r="Y33" i="1"/>
  <c r="AN33" i="1" s="1"/>
  <c r="W33" i="1"/>
  <c r="S33" i="1"/>
  <c r="U33" i="1" s="1"/>
  <c r="O33" i="1"/>
  <c r="V33" i="1" s="1"/>
  <c r="BN33" i="1" s="1"/>
  <c r="M33" i="1"/>
  <c r="AM33" i="1" s="1"/>
  <c r="J33" i="1"/>
  <c r="G33" i="1"/>
  <c r="BJ32" i="1"/>
  <c r="AP32" i="1"/>
  <c r="AO32" i="1"/>
  <c r="AN32" i="1"/>
  <c r="AM32" i="1"/>
  <c r="AF32" i="1"/>
  <c r="Z32" i="1"/>
  <c r="O32" i="1"/>
  <c r="U32" i="1" s="1"/>
  <c r="BK32" i="1" s="1"/>
  <c r="N32" i="1"/>
  <c r="J32" i="1"/>
  <c r="G32" i="1"/>
  <c r="AQ31" i="1"/>
  <c r="AP31" i="1"/>
  <c r="AO31" i="1"/>
  <c r="AN31" i="1"/>
  <c r="AF31" i="1"/>
  <c r="Z31" i="1"/>
  <c r="Y31" i="1"/>
  <c r="S31" i="1"/>
  <c r="O31" i="1"/>
  <c r="V31" i="1" s="1"/>
  <c r="BN31" i="1" s="1"/>
  <c r="M31" i="1"/>
  <c r="J31" i="1"/>
  <c r="G31" i="1"/>
  <c r="AQ30" i="1"/>
  <c r="AP30" i="1"/>
  <c r="AO30" i="1"/>
  <c r="AM30" i="1"/>
  <c r="AF30" i="1"/>
  <c r="Z30" i="1"/>
  <c r="Y30" i="1"/>
  <c r="S30" i="1"/>
  <c r="X30" i="1" s="1"/>
  <c r="O30" i="1"/>
  <c r="V30" i="1" s="1"/>
  <c r="BR30" i="1" s="1"/>
  <c r="M30" i="1"/>
  <c r="N30" i="1" s="1"/>
  <c r="J30" i="1"/>
  <c r="G30" i="1"/>
  <c r="BK29" i="1"/>
  <c r="BJ29" i="1"/>
  <c r="AP29" i="1"/>
  <c r="AO29" i="1"/>
  <c r="BI29" i="1" s="1"/>
  <c r="AM29" i="1"/>
  <c r="AF29" i="1"/>
  <c r="Z29" i="1"/>
  <c r="Y29" i="1"/>
  <c r="AN29" i="1" s="1"/>
  <c r="W29" i="1"/>
  <c r="S29" i="1"/>
  <c r="O29" i="1"/>
  <c r="V29" i="1" s="1"/>
  <c r="BN29" i="1" s="1"/>
  <c r="N29" i="1"/>
  <c r="M29" i="1"/>
  <c r="J29" i="1"/>
  <c r="G29" i="1"/>
  <c r="BK28" i="1"/>
  <c r="BJ28" i="1"/>
  <c r="AP28" i="1"/>
  <c r="AO28" i="1"/>
  <c r="AF28" i="1"/>
  <c r="Z28" i="1"/>
  <c r="Y28" i="1"/>
  <c r="AN28" i="1" s="1"/>
  <c r="W28" i="1"/>
  <c r="Q28" i="1"/>
  <c r="S28" i="1" s="1"/>
  <c r="O28" i="1"/>
  <c r="N28" i="1"/>
  <c r="M28" i="1"/>
  <c r="AM28" i="1" s="1"/>
  <c r="J28" i="1"/>
  <c r="G28" i="1"/>
  <c r="AO27" i="1"/>
  <c r="BI27" i="1" s="1"/>
  <c r="AN27" i="1"/>
  <c r="AM27" i="1"/>
  <c r="AL27" i="1"/>
  <c r="AP27" i="1" s="1"/>
  <c r="AI27" i="1"/>
  <c r="AF27" i="1"/>
  <c r="Z27" i="1"/>
  <c r="Y27" i="1"/>
  <c r="W27" i="1"/>
  <c r="BJ27" i="1" s="1"/>
  <c r="Q27" i="1"/>
  <c r="S27" i="1" s="1"/>
  <c r="O27" i="1"/>
  <c r="M27" i="1"/>
  <c r="N27" i="1" s="1"/>
  <c r="J27" i="1"/>
  <c r="G27" i="1"/>
  <c r="AQ26" i="1"/>
  <c r="AP26" i="1"/>
  <c r="AO26" i="1"/>
  <c r="AF26" i="1"/>
  <c r="Z26" i="1"/>
  <c r="Y26" i="1"/>
  <c r="AN26" i="1" s="1"/>
  <c r="S26" i="1"/>
  <c r="O26" i="1"/>
  <c r="V26" i="1" s="1"/>
  <c r="BL26" i="1" s="1"/>
  <c r="N26" i="1"/>
  <c r="M26" i="1"/>
  <c r="AM26" i="1" s="1"/>
  <c r="J26" i="1"/>
  <c r="G26" i="1"/>
  <c r="AQ25" i="1"/>
  <c r="AP25" i="1"/>
  <c r="AO25" i="1"/>
  <c r="AF25" i="1"/>
  <c r="Z25" i="1"/>
  <c r="Y25" i="1"/>
  <c r="AN25" i="1" s="1"/>
  <c r="S25" i="1"/>
  <c r="O25" i="1"/>
  <c r="V25" i="1" s="1"/>
  <c r="M25" i="1"/>
  <c r="AM25" i="1" s="1"/>
  <c r="G25" i="1"/>
  <c r="AP24" i="1"/>
  <c r="AO24" i="1"/>
  <c r="AN24" i="1"/>
  <c r="AF24" i="1"/>
  <c r="Z24" i="1"/>
  <c r="S24" i="1"/>
  <c r="O24" i="1"/>
  <c r="V24" i="1" s="1"/>
  <c r="N24" i="1"/>
  <c r="M24" i="1"/>
  <c r="AM24" i="1" s="1"/>
  <c r="J24" i="1"/>
  <c r="G24" i="1"/>
  <c r="BK23" i="1"/>
  <c r="BJ23" i="1"/>
  <c r="AQ23" i="1"/>
  <c r="AP23" i="1"/>
  <c r="AO23" i="1"/>
  <c r="AN23" i="1"/>
  <c r="AM23" i="1"/>
  <c r="AF23" i="1"/>
  <c r="Z23" i="1"/>
  <c r="Y23" i="1"/>
  <c r="S23" i="1"/>
  <c r="O23" i="1"/>
  <c r="V23" i="1" s="1"/>
  <c r="M23" i="1"/>
  <c r="J23" i="1"/>
  <c r="G23" i="1"/>
  <c r="AD20" i="1"/>
  <c r="F18" i="1"/>
  <c r="E18" i="1"/>
  <c r="F17" i="1"/>
  <c r="E17" i="1"/>
  <c r="H16" i="1"/>
  <c r="E16" i="1"/>
  <c r="F16" i="1" s="1"/>
  <c r="E15" i="1"/>
  <c r="F15" i="1" s="1"/>
  <c r="F14" i="1"/>
  <c r="E14" i="1"/>
  <c r="F13" i="1"/>
  <c r="E13" i="1"/>
  <c r="F12" i="1"/>
  <c r="E12" i="1"/>
  <c r="F11" i="1"/>
  <c r="E11" i="1"/>
  <c r="E10" i="1"/>
  <c r="F10" i="1" s="1"/>
  <c r="F9" i="1"/>
  <c r="E9" i="1"/>
  <c r="S8" i="1"/>
  <c r="X20" i="1" s="1"/>
  <c r="E8" i="1"/>
  <c r="F8" i="1" s="1"/>
  <c r="K7" i="1"/>
  <c r="C7" i="1"/>
  <c r="E7" i="1" s="1"/>
  <c r="F7" i="1" s="1"/>
  <c r="B7" i="1"/>
  <c r="J6" i="1"/>
  <c r="D6" i="1"/>
  <c r="E6" i="1" s="1"/>
  <c r="F6" i="1" s="1"/>
  <c r="S5" i="1"/>
  <c r="J5" i="1"/>
  <c r="K6" i="1" s="1"/>
  <c r="D5" i="1"/>
  <c r="E5" i="1" s="1"/>
  <c r="F5" i="1" s="1"/>
  <c r="J4" i="1"/>
  <c r="K5" i="1" s="1"/>
  <c r="D4" i="1"/>
  <c r="E4" i="1" s="1"/>
  <c r="F4" i="1" s="1"/>
  <c r="BK34" i="1" l="1"/>
  <c r="BJ34" i="1"/>
  <c r="BT34" i="1" s="1"/>
  <c r="U67" i="1"/>
  <c r="BK67" i="1" s="1"/>
  <c r="BD67" i="1" s="1"/>
  <c r="U31" i="1"/>
  <c r="BK31" i="1" s="1"/>
  <c r="U26" i="1"/>
  <c r="BK26" i="1" s="1"/>
  <c r="BD26" i="1" s="1"/>
  <c r="BT28" i="1"/>
  <c r="V28" i="1"/>
  <c r="BR28" i="1" s="1"/>
  <c r="AR34" i="1"/>
  <c r="BA34" i="1" s="1"/>
  <c r="U62" i="1"/>
  <c r="BK62" i="1" s="1"/>
  <c r="BD62" i="1" s="1"/>
  <c r="BN36" i="1"/>
  <c r="AR26" i="1"/>
  <c r="BA26" i="1" s="1"/>
  <c r="BP73" i="1"/>
  <c r="U27" i="1"/>
  <c r="BK27" i="1" s="1"/>
  <c r="BN51" i="1"/>
  <c r="BR51" i="1"/>
  <c r="BR33" i="1"/>
  <c r="AR70" i="1"/>
  <c r="BA70" i="1" s="1"/>
  <c r="AR74" i="1"/>
  <c r="BA74" i="1" s="1"/>
  <c r="BG56" i="1"/>
  <c r="BI56" i="1" s="1"/>
  <c r="BH56" i="1" s="1"/>
  <c r="BT58" i="1"/>
  <c r="BW58" i="1" s="1"/>
  <c r="X61" i="1"/>
  <c r="AN61" i="1" s="1"/>
  <c r="U46" i="1"/>
  <c r="BK46" i="1" s="1"/>
  <c r="BG53" i="1"/>
  <c r="AR33" i="1"/>
  <c r="BA33" i="1" s="1"/>
  <c r="AR37" i="1"/>
  <c r="BA37" i="1" s="1"/>
  <c r="BP63" i="1"/>
  <c r="BC29" i="1"/>
  <c r="BS29" i="1" s="1"/>
  <c r="BG29" i="1"/>
  <c r="BH29" i="1" s="1"/>
  <c r="BO29" i="1" s="1"/>
  <c r="BE26" i="1"/>
  <c r="BU26" i="1" s="1"/>
  <c r="BG28" i="1"/>
  <c r="U40" i="1"/>
  <c r="BK40" i="1" s="1"/>
  <c r="BD40" i="1" s="1"/>
  <c r="U45" i="1"/>
  <c r="X58" i="1"/>
  <c r="AN58" i="1" s="1"/>
  <c r="AR58" i="1" s="1"/>
  <c r="BG32" i="1"/>
  <c r="U66" i="1"/>
  <c r="BI58" i="1"/>
  <c r="BP58" i="1" s="1"/>
  <c r="U74" i="1"/>
  <c r="BK74" i="1" s="1"/>
  <c r="U48" i="1"/>
  <c r="BP48" i="1"/>
  <c r="BU63" i="1"/>
  <c r="BP64" i="1"/>
  <c r="BT66" i="1"/>
  <c r="BW66" i="1" s="1"/>
  <c r="U57" i="1"/>
  <c r="U28" i="1"/>
  <c r="U39" i="1"/>
  <c r="BK39" i="1" s="1"/>
  <c r="BD39" i="1" s="1"/>
  <c r="BT41" i="1"/>
  <c r="U49" i="1"/>
  <c r="BK49" i="1" s="1"/>
  <c r="BD49" i="1" s="1"/>
  <c r="U29" i="1"/>
  <c r="U24" i="1"/>
  <c r="BK24" i="1" s="1"/>
  <c r="BD24" i="1" s="1"/>
  <c r="V27" i="1"/>
  <c r="BN27" i="1" s="1"/>
  <c r="U52" i="1"/>
  <c r="BK52" i="1" s="1"/>
  <c r="BR54" i="1"/>
  <c r="BN54" i="1"/>
  <c r="BN43" i="1"/>
  <c r="BR43" i="1"/>
  <c r="BR47" i="1"/>
  <c r="BN47" i="1"/>
  <c r="BR63" i="1"/>
  <c r="BW63" i="1" s="1"/>
  <c r="BL63" i="1"/>
  <c r="BE63" i="1" s="1"/>
  <c r="BN55" i="1"/>
  <c r="BR55" i="1"/>
  <c r="BN44" i="1"/>
  <c r="BR44" i="1"/>
  <c r="BR41" i="1"/>
  <c r="BN41" i="1"/>
  <c r="BR39" i="1"/>
  <c r="BN39" i="1"/>
  <c r="BN69" i="1"/>
  <c r="BR69" i="1"/>
  <c r="BC57" i="1"/>
  <c r="BS57" i="1" s="1"/>
  <c r="BT73" i="1"/>
  <c r="AR63" i="1"/>
  <c r="BA63" i="1" s="1"/>
  <c r="BG49" i="1"/>
  <c r="BH49" i="1" s="1"/>
  <c r="BO49" i="1" s="1"/>
  <c r="U55" i="1"/>
  <c r="BK55" i="1" s="1"/>
  <c r="U51" i="1"/>
  <c r="X55" i="1"/>
  <c r="AN55" i="1" s="1"/>
  <c r="AR55" i="1" s="1"/>
  <c r="BN64" i="1"/>
  <c r="BC74" i="1"/>
  <c r="BM74" i="1" s="1"/>
  <c r="BT48" i="1"/>
  <c r="BD74" i="1"/>
  <c r="BG72" i="1"/>
  <c r="BI72" i="1" s="1"/>
  <c r="BG74" i="1"/>
  <c r="BI74" i="1" s="1"/>
  <c r="AR48" i="1"/>
  <c r="BB48" i="1" s="1"/>
  <c r="U30" i="1"/>
  <c r="BK30" i="1" s="1"/>
  <c r="AR39" i="1"/>
  <c r="BB39" i="1" s="1"/>
  <c r="V52" i="1"/>
  <c r="BN58" i="1"/>
  <c r="BG52" i="1"/>
  <c r="U59" i="1"/>
  <c r="BI28" i="1"/>
  <c r="BP28" i="1" s="1"/>
  <c r="AR29" i="1"/>
  <c r="BB29" i="1" s="1"/>
  <c r="AR40" i="1"/>
  <c r="BB40" i="1" s="1"/>
  <c r="BR45" i="1"/>
  <c r="V32" i="1"/>
  <c r="BN32" i="1" s="1"/>
  <c r="U23" i="1"/>
  <c r="U64" i="1"/>
  <c r="BK64" i="1" s="1"/>
  <c r="BD64" i="1" s="1"/>
  <c r="X71" i="1"/>
  <c r="AN71" i="1" s="1"/>
  <c r="E2" i="2"/>
  <c r="BN48" i="1"/>
  <c r="BR48" i="1"/>
  <c r="BU48" i="1"/>
  <c r="AR24" i="1"/>
  <c r="BI47" i="1"/>
  <c r="X42" i="1"/>
  <c r="AN42" i="1" s="1"/>
  <c r="U42" i="1"/>
  <c r="BK42" i="1" s="1"/>
  <c r="BI51" i="1"/>
  <c r="BP51" i="1" s="1"/>
  <c r="BT51" i="1"/>
  <c r="BR37" i="1"/>
  <c r="BN37" i="1"/>
  <c r="BN34" i="1"/>
  <c r="BR34" i="1"/>
  <c r="BR50" i="1"/>
  <c r="BN50" i="1"/>
  <c r="BR26" i="1"/>
  <c r="BN26" i="1"/>
  <c r="BG43" i="1"/>
  <c r="AR43" i="1"/>
  <c r="U38" i="1"/>
  <c r="BK38" i="1" s="1"/>
  <c r="BG40" i="1"/>
  <c r="BI40" i="1" s="1"/>
  <c r="BL41" i="1"/>
  <c r="BE41" i="1" s="1"/>
  <c r="BG44" i="1"/>
  <c r="BH44" i="1" s="1"/>
  <c r="BU44" i="1"/>
  <c r="AR44" i="1"/>
  <c r="AM45" i="1"/>
  <c r="N45" i="1"/>
  <c r="BL45" i="1"/>
  <c r="AR62" i="1"/>
  <c r="AS62" i="1" s="1"/>
  <c r="BU64" i="1"/>
  <c r="BX64" i="1" s="1"/>
  <c r="BG64" i="1"/>
  <c r="BH64" i="1" s="1"/>
  <c r="BC64" i="1"/>
  <c r="BN73" i="1"/>
  <c r="BR73" i="1"/>
  <c r="N62" i="1"/>
  <c r="AR64" i="1"/>
  <c r="E9" i="2"/>
  <c r="F9" i="2"/>
  <c r="BG23" i="1"/>
  <c r="BI23" i="1" s="1"/>
  <c r="BP23" i="1" s="1"/>
  <c r="BD23" i="1"/>
  <c r="BC23" i="1"/>
  <c r="AR23" i="1"/>
  <c r="N25" i="1"/>
  <c r="BN30" i="1"/>
  <c r="AM54" i="1"/>
  <c r="N54" i="1"/>
  <c r="BG60" i="1"/>
  <c r="U37" i="2"/>
  <c r="BL25" i="1"/>
  <c r="AN30" i="1"/>
  <c r="BG30" i="1" s="1"/>
  <c r="BG70" i="1"/>
  <c r="BI70" i="1" s="1"/>
  <c r="AR73" i="1"/>
  <c r="BG73" i="1"/>
  <c r="BH73" i="1" s="1"/>
  <c r="BD73" i="1"/>
  <c r="BU73" i="1"/>
  <c r="BC73" i="1"/>
  <c r="BR29" i="1"/>
  <c r="AP75" i="1"/>
  <c r="U25" i="1"/>
  <c r="BK25" i="1" s="1"/>
  <c r="BD25" i="1" s="1"/>
  <c r="BN25" i="1"/>
  <c r="BT27" i="1"/>
  <c r="AR28" i="1"/>
  <c r="AR36" i="1"/>
  <c r="BG36" i="1"/>
  <c r="BI36" i="1" s="1"/>
  <c r="BG39" i="1"/>
  <c r="N40" i="1"/>
  <c r="N44" i="1"/>
  <c r="BJ49" i="1"/>
  <c r="BT49" i="1" s="1"/>
  <c r="AM51" i="1"/>
  <c r="N51" i="1"/>
  <c r="BL67" i="1"/>
  <c r="BN70" i="1"/>
  <c r="BR70" i="1"/>
  <c r="N71" i="1"/>
  <c r="AM71" i="1"/>
  <c r="BN38" i="1"/>
  <c r="BG24" i="1"/>
  <c r="BI24" i="1" s="1"/>
  <c r="BG27" i="1"/>
  <c r="BH27" i="1" s="1"/>
  <c r="BU29" i="1"/>
  <c r="BC34" i="1"/>
  <c r="BG37" i="1"/>
  <c r="BI37" i="1" s="1"/>
  <c r="BR25" i="1"/>
  <c r="BD34" i="1"/>
  <c r="BR49" i="1"/>
  <c r="BR56" i="1"/>
  <c r="BN56" i="1"/>
  <c r="BK56" i="1"/>
  <c r="BD56" i="1" s="1"/>
  <c r="AQ75" i="1"/>
  <c r="BJ40" i="1"/>
  <c r="BC40" i="1" s="1"/>
  <c r="BR24" i="1"/>
  <c r="BN24" i="1"/>
  <c r="BP27" i="1"/>
  <c r="N31" i="1"/>
  <c r="AM31" i="1"/>
  <c r="BD33" i="1"/>
  <c r="BG33" i="1"/>
  <c r="BI33" i="1" s="1"/>
  <c r="BP33" i="1" s="1"/>
  <c r="BC33" i="1"/>
  <c r="BE34" i="1"/>
  <c r="BU34" i="1" s="1"/>
  <c r="U35" i="1"/>
  <c r="BK35" i="1" s="1"/>
  <c r="U37" i="1"/>
  <c r="BK37" i="1" s="1"/>
  <c r="BD37" i="1" s="1"/>
  <c r="BL37" i="1"/>
  <c r="BN40" i="1"/>
  <c r="BJ43" i="1"/>
  <c r="BC43" i="1" s="1"/>
  <c r="V53" i="1"/>
  <c r="BD53" i="1" s="1"/>
  <c r="U53" i="1"/>
  <c r="BG62" i="1"/>
  <c r="BI62" i="1" s="1"/>
  <c r="BL30" i="1"/>
  <c r="BL71" i="1"/>
  <c r="BT71" i="1" s="1"/>
  <c r="BL72" i="1"/>
  <c r="BL70" i="1"/>
  <c r="BE70" i="1" s="1"/>
  <c r="BU70" i="1" s="1"/>
  <c r="BK61" i="1"/>
  <c r="BL60" i="1"/>
  <c r="BE60" i="1" s="1"/>
  <c r="BU60" i="1" s="1"/>
  <c r="BL57" i="1"/>
  <c r="BK47" i="1"/>
  <c r="BD47" i="1" s="1"/>
  <c r="BK72" i="1"/>
  <c r="BD72" i="1" s="1"/>
  <c r="BL69" i="1"/>
  <c r="BJ61" i="1"/>
  <c r="BL59" i="1"/>
  <c r="BT59" i="1" s="1"/>
  <c r="BL74" i="1"/>
  <c r="BJ69" i="1"/>
  <c r="BC69" i="1" s="1"/>
  <c r="BL68" i="1"/>
  <c r="BL62" i="1"/>
  <c r="BE62" i="1" s="1"/>
  <c r="BU62" i="1" s="1"/>
  <c r="BJ56" i="1"/>
  <c r="BC56" i="1" s="1"/>
  <c r="BL44" i="1"/>
  <c r="BE44" i="1" s="1"/>
  <c r="BJ35" i="1"/>
  <c r="BL65" i="1"/>
  <c r="BL55" i="1"/>
  <c r="BJ37" i="1"/>
  <c r="BC37" i="1" s="1"/>
  <c r="BL64" i="1"/>
  <c r="BE64" i="1" s="1"/>
  <c r="BJ55" i="1"/>
  <c r="BL51" i="1"/>
  <c r="BL48" i="1"/>
  <c r="BE48" i="1" s="1"/>
  <c r="BL38" i="1"/>
  <c r="BJ72" i="1"/>
  <c r="BC72" i="1" s="1"/>
  <c r="BL66" i="1"/>
  <c r="BJ70" i="1"/>
  <c r="BC70" i="1" s="1"/>
  <c r="BL56" i="1"/>
  <c r="BJ68" i="1"/>
  <c r="BJ60" i="1"/>
  <c r="BC60" i="1" s="1"/>
  <c r="BL35" i="1"/>
  <c r="BL31" i="1"/>
  <c r="BJ30" i="1"/>
  <c r="BL73" i="1"/>
  <c r="BE73" i="1" s="1"/>
  <c r="BL58" i="1"/>
  <c r="BJ24" i="1"/>
  <c r="BC24" i="1" s="1"/>
  <c r="BK50" i="1"/>
  <c r="BK68" i="1"/>
  <c r="BJ67" i="1"/>
  <c r="BC67" i="1" s="1"/>
  <c r="BL47" i="1"/>
  <c r="BE47" i="1" s="1"/>
  <c r="BJ31" i="1"/>
  <c r="BJ26" i="1"/>
  <c r="BT26" i="1" s="1"/>
  <c r="BJ25" i="1"/>
  <c r="BC25" i="1" s="1"/>
  <c r="BL54" i="1"/>
  <c r="BJ47" i="1"/>
  <c r="BT47" i="1" s="1"/>
  <c r="BL33" i="1"/>
  <c r="BT33" i="1" s="1"/>
  <c r="BK54" i="1"/>
  <c r="BL40" i="1"/>
  <c r="BJ38" i="1"/>
  <c r="BL29" i="1"/>
  <c r="BE29" i="1" s="1"/>
  <c r="BK69" i="1"/>
  <c r="BD69" i="1" s="1"/>
  <c r="BL61" i="1"/>
  <c r="BJ54" i="1"/>
  <c r="BL50" i="1"/>
  <c r="BK44" i="1"/>
  <c r="BD44" i="1" s="1"/>
  <c r="BL42" i="1"/>
  <c r="BJ50" i="1"/>
  <c r="BJ42" i="1"/>
  <c r="BL49" i="1"/>
  <c r="BE49" i="1" s="1"/>
  <c r="BJ46" i="1"/>
  <c r="BT29" i="1"/>
  <c r="BL24" i="1"/>
  <c r="BR35" i="1"/>
  <c r="BN35" i="1"/>
  <c r="AR27" i="1"/>
  <c r="BR31" i="1"/>
  <c r="N33" i="1"/>
  <c r="BG34" i="1"/>
  <c r="BI34" i="1" s="1"/>
  <c r="BP34" i="1" s="1"/>
  <c r="BJ39" i="1"/>
  <c r="BC39" i="1" s="1"/>
  <c r="BG41" i="1"/>
  <c r="BH41" i="1" s="1"/>
  <c r="BU41" i="1"/>
  <c r="AR41" i="1"/>
  <c r="BD41" i="1"/>
  <c r="BC41" i="1"/>
  <c r="BJ44" i="1"/>
  <c r="AR72" i="1"/>
  <c r="BR23" i="1"/>
  <c r="BN23" i="1"/>
  <c r="BD29" i="1"/>
  <c r="BJ36" i="1"/>
  <c r="BC36" i="1" s="1"/>
  <c r="BL39" i="1"/>
  <c r="BL43" i="1"/>
  <c r="BE43" i="1" s="1"/>
  <c r="BU43" i="1" s="1"/>
  <c r="N50" i="1"/>
  <c r="AM50" i="1"/>
  <c r="BN60" i="1"/>
  <c r="BR60" i="1"/>
  <c r="BW64" i="1"/>
  <c r="AR69" i="1"/>
  <c r="BG69" i="1"/>
  <c r="BG25" i="1"/>
  <c r="BI25" i="1" s="1"/>
  <c r="AM38" i="1"/>
  <c r="N38" i="1"/>
  <c r="BL23" i="1"/>
  <c r="BT23" i="1" s="1"/>
  <c r="AR25" i="1"/>
  <c r="BG26" i="1"/>
  <c r="BL36" i="1"/>
  <c r="BE36" i="1" s="1"/>
  <c r="BU36" i="1" s="1"/>
  <c r="BX36" i="1" s="1"/>
  <c r="BP41" i="1"/>
  <c r="N42" i="1"/>
  <c r="BT45" i="1"/>
  <c r="BI45" i="1"/>
  <c r="BP45" i="1" s="1"/>
  <c r="BU47" i="1"/>
  <c r="AR47" i="1"/>
  <c r="BG47" i="1"/>
  <c r="BU49" i="1"/>
  <c r="AR49" i="1"/>
  <c r="AR57" i="1"/>
  <c r="BG57" i="1"/>
  <c r="BI57" i="1" s="1"/>
  <c r="BP57" i="1" s="1"/>
  <c r="BD57" i="1"/>
  <c r="BJ62" i="1"/>
  <c r="BC62" i="1" s="1"/>
  <c r="BN72" i="1"/>
  <c r="BR72" i="1"/>
  <c r="BN62" i="1"/>
  <c r="BR62" i="1"/>
  <c r="F5" i="2"/>
  <c r="E5" i="2"/>
  <c r="AR60" i="1"/>
  <c r="BD63" i="1"/>
  <c r="BC63" i="1"/>
  <c r="BG67" i="1"/>
  <c r="BI67" i="1" s="1"/>
  <c r="AR67" i="1"/>
  <c r="S32" i="2"/>
  <c r="U70" i="1"/>
  <c r="BK70" i="1" s="1"/>
  <c r="BD70" i="1" s="1"/>
  <c r="BR71" i="1"/>
  <c r="BN71" i="1"/>
  <c r="BN74" i="1"/>
  <c r="BR74" i="1"/>
  <c r="BP29" i="1"/>
  <c r="N68" i="1"/>
  <c r="AM68" i="1"/>
  <c r="AR56" i="1"/>
  <c r="AR32" i="1"/>
  <c r="BG48" i="1"/>
  <c r="BH48" i="1" s="1"/>
  <c r="BC48" i="1"/>
  <c r="BN59" i="1"/>
  <c r="U60" i="1"/>
  <c r="BK60" i="1" s="1"/>
  <c r="BD60" i="1" s="1"/>
  <c r="BG63" i="1"/>
  <c r="BH63" i="1" s="1"/>
  <c r="BR65" i="1"/>
  <c r="BR57" i="1"/>
  <c r="BP66" i="1"/>
  <c r="N48" i="1"/>
  <c r="BD48" i="1"/>
  <c r="AM59" i="1"/>
  <c r="N59" i="1"/>
  <c r="U43" i="1"/>
  <c r="BK43" i="1" s="1"/>
  <c r="BD43" i="1" s="1"/>
  <c r="BN61" i="1"/>
  <c r="BN68" i="1"/>
  <c r="BR68" i="1"/>
  <c r="AM35" i="1"/>
  <c r="AR53" i="1"/>
  <c r="BN57" i="1"/>
  <c r="N66" i="1"/>
  <c r="AM66" i="1"/>
  <c r="E7" i="2"/>
  <c r="U36" i="1"/>
  <c r="BR42" i="1"/>
  <c r="BR59" i="1"/>
  <c r="AR52" i="1"/>
  <c r="F8" i="2"/>
  <c r="E8" i="2"/>
  <c r="BN63" i="1"/>
  <c r="F3" i="2"/>
  <c r="E3" i="2"/>
  <c r="BN66" i="1"/>
  <c r="S30" i="2"/>
  <c r="BD27" i="1" l="1"/>
  <c r="BS74" i="1"/>
  <c r="BB70" i="1"/>
  <c r="BB26" i="1"/>
  <c r="BC28" i="1"/>
  <c r="BS28" i="1" s="1"/>
  <c r="BN28" i="1"/>
  <c r="BO41" i="1"/>
  <c r="BQ41" i="1" s="1"/>
  <c r="BW28" i="1"/>
  <c r="BL28" i="1"/>
  <c r="BE28" i="1" s="1"/>
  <c r="BC27" i="1"/>
  <c r="BM27" i="1" s="1"/>
  <c r="BU28" i="1"/>
  <c r="BX28" i="1" s="1"/>
  <c r="BD28" i="1"/>
  <c r="AS34" i="1"/>
  <c r="BB34" i="1"/>
  <c r="AR30" i="1"/>
  <c r="BA30" i="1" s="1"/>
  <c r="BC30" i="1"/>
  <c r="BS30" i="1" s="1"/>
  <c r="BP72" i="1"/>
  <c r="BM29" i="1"/>
  <c r="BB74" i="1"/>
  <c r="BW34" i="1"/>
  <c r="BO56" i="1"/>
  <c r="BX70" i="1"/>
  <c r="BX63" i="1"/>
  <c r="BX26" i="1"/>
  <c r="AS70" i="1"/>
  <c r="BR32" i="1"/>
  <c r="BT72" i="1"/>
  <c r="BW72" i="1" s="1"/>
  <c r="BV63" i="1"/>
  <c r="BY63" i="1" s="1"/>
  <c r="AS26" i="1"/>
  <c r="BC32" i="1"/>
  <c r="BS32" i="1" s="1"/>
  <c r="AS74" i="1"/>
  <c r="BW73" i="1"/>
  <c r="BB33" i="1"/>
  <c r="AS33" i="1"/>
  <c r="BP24" i="1"/>
  <c r="BD58" i="1"/>
  <c r="BT67" i="1"/>
  <c r="BW67" i="1" s="1"/>
  <c r="BP67" i="1"/>
  <c r="AS63" i="1"/>
  <c r="BT24" i="1"/>
  <c r="BW24" i="1" s="1"/>
  <c r="BQ29" i="1"/>
  <c r="BB63" i="1"/>
  <c r="BC58" i="1"/>
  <c r="BM58" i="1" s="1"/>
  <c r="BG58" i="1"/>
  <c r="BH58" i="1" s="1"/>
  <c r="BO58" i="1" s="1"/>
  <c r="BQ58" i="1" s="1"/>
  <c r="BO64" i="1"/>
  <c r="BQ64" i="1" s="1"/>
  <c r="BX48" i="1"/>
  <c r="BG61" i="1"/>
  <c r="BI61" i="1" s="1"/>
  <c r="BP61" i="1" s="1"/>
  <c r="AR61" i="1"/>
  <c r="BB61" i="1" s="1"/>
  <c r="BT61" i="1"/>
  <c r="BW61" i="1" s="1"/>
  <c r="BM57" i="1"/>
  <c r="BD32" i="1"/>
  <c r="BH28" i="1"/>
  <c r="BE58" i="1"/>
  <c r="BE30" i="1"/>
  <c r="BU30" i="1" s="1"/>
  <c r="BX30" i="1" s="1"/>
  <c r="BC61" i="1"/>
  <c r="BS61" i="1" s="1"/>
  <c r="BV64" i="1"/>
  <c r="BY64" i="1" s="1"/>
  <c r="BI32" i="1"/>
  <c r="BP32" i="1" s="1"/>
  <c r="BV41" i="1"/>
  <c r="BY41" i="1" s="1"/>
  <c r="BL53" i="1"/>
  <c r="BT53" i="1" s="1"/>
  <c r="BT38" i="1"/>
  <c r="BW38" i="1" s="1"/>
  <c r="BB37" i="1"/>
  <c r="BD61" i="1"/>
  <c r="BU58" i="1"/>
  <c r="BX58" i="1" s="1"/>
  <c r="AS37" i="1"/>
  <c r="BW41" i="1"/>
  <c r="BX43" i="1"/>
  <c r="BL27" i="1"/>
  <c r="BE27" i="1" s="1"/>
  <c r="BR27" i="1"/>
  <c r="BW27" i="1" s="1"/>
  <c r="BU27" i="1"/>
  <c r="BD42" i="1"/>
  <c r="BX73" i="1"/>
  <c r="BP25" i="1"/>
  <c r="BA40" i="1"/>
  <c r="BO44" i="1"/>
  <c r="BX47" i="1"/>
  <c r="BO73" i="1"/>
  <c r="BQ73" i="1" s="1"/>
  <c r="BP40" i="1"/>
  <c r="BX44" i="1"/>
  <c r="BA39" i="1"/>
  <c r="BW48" i="1"/>
  <c r="BX60" i="1"/>
  <c r="BX34" i="1"/>
  <c r="BP74" i="1"/>
  <c r="BH74" i="1"/>
  <c r="BO74" i="1" s="1"/>
  <c r="BL52" i="1"/>
  <c r="BI52" i="1"/>
  <c r="BP52" i="1" s="1"/>
  <c r="BT54" i="1"/>
  <c r="BW54" i="1" s="1"/>
  <c r="BE55" i="1"/>
  <c r="BU55" i="1" s="1"/>
  <c r="BX55" i="1" s="1"/>
  <c r="BT42" i="1"/>
  <c r="BW42" i="1" s="1"/>
  <c r="BX29" i="1"/>
  <c r="BP62" i="1"/>
  <c r="BD30" i="1"/>
  <c r="AS39" i="1"/>
  <c r="BE67" i="1"/>
  <c r="BU67" i="1" s="1"/>
  <c r="BX67" i="1" s="1"/>
  <c r="BG55" i="1"/>
  <c r="BI55" i="1" s="1"/>
  <c r="BP55" i="1" s="1"/>
  <c r="BT50" i="1"/>
  <c r="BW50" i="1" s="1"/>
  <c r="BA48" i="1"/>
  <c r="AS48" i="1"/>
  <c r="BD55" i="1"/>
  <c r="BO63" i="1"/>
  <c r="BQ63" i="1" s="1"/>
  <c r="BC26" i="1"/>
  <c r="BM26" i="1" s="1"/>
  <c r="BR52" i="1"/>
  <c r="BC55" i="1"/>
  <c r="BM55" i="1" s="1"/>
  <c r="BN52" i="1"/>
  <c r="BP49" i="1"/>
  <c r="BQ49" i="1" s="1"/>
  <c r="BA29" i="1"/>
  <c r="AS29" i="1"/>
  <c r="BX49" i="1"/>
  <c r="AR42" i="1"/>
  <c r="AS42" i="1" s="1"/>
  <c r="BD52" i="1"/>
  <c r="BC52" i="1"/>
  <c r="BS52" i="1" s="1"/>
  <c r="BH47" i="1"/>
  <c r="BO47" i="1" s="1"/>
  <c r="BT39" i="1"/>
  <c r="BW39" i="1" s="1"/>
  <c r="BX41" i="1"/>
  <c r="AS40" i="1"/>
  <c r="U75" i="1"/>
  <c r="D3" i="1" s="1"/>
  <c r="E3" i="1" s="1"/>
  <c r="F3" i="1" s="1"/>
  <c r="BL32" i="1"/>
  <c r="BT32" i="1" s="1"/>
  <c r="BM70" i="1"/>
  <c r="BS70" i="1"/>
  <c r="BI30" i="1"/>
  <c r="BP30" i="1" s="1"/>
  <c r="BM69" i="1"/>
  <c r="BS69" i="1"/>
  <c r="BV47" i="1"/>
  <c r="BY47" i="1" s="1"/>
  <c r="BW47" i="1"/>
  <c r="BM43" i="1"/>
  <c r="BS43" i="1"/>
  <c r="BS36" i="1"/>
  <c r="BM36" i="1"/>
  <c r="BM60" i="1"/>
  <c r="BS60" i="1"/>
  <c r="BB55" i="1"/>
  <c r="AS55" i="1"/>
  <c r="BA55" i="1"/>
  <c r="BS34" i="1"/>
  <c r="BM34" i="1"/>
  <c r="BT60" i="1"/>
  <c r="BS40" i="1"/>
  <c r="BM40" i="1"/>
  <c r="BT37" i="1"/>
  <c r="BE37" i="1"/>
  <c r="BU37" i="1" s="1"/>
  <c r="BX37" i="1" s="1"/>
  <c r="BH36" i="1"/>
  <c r="BO36" i="1" s="1"/>
  <c r="BM37" i="1"/>
  <c r="BS37" i="1"/>
  <c r="BA24" i="1"/>
  <c r="BB24" i="1"/>
  <c r="AS24" i="1"/>
  <c r="BA53" i="1"/>
  <c r="AS53" i="1"/>
  <c r="BB53" i="1"/>
  <c r="BE59" i="1"/>
  <c r="BU59" i="1" s="1"/>
  <c r="BX59" i="1" s="1"/>
  <c r="BD59" i="1"/>
  <c r="BC59" i="1"/>
  <c r="AR59" i="1"/>
  <c r="BG59" i="1"/>
  <c r="BW23" i="1"/>
  <c r="BE61" i="1"/>
  <c r="BU61" i="1" s="1"/>
  <c r="BX61" i="1" s="1"/>
  <c r="BA41" i="1"/>
  <c r="BB41" i="1"/>
  <c r="AS41" i="1"/>
  <c r="BM72" i="1"/>
  <c r="BS72" i="1"/>
  <c r="BT62" i="1"/>
  <c r="BT70" i="1"/>
  <c r="BO27" i="1"/>
  <c r="BQ27" i="1" s="1"/>
  <c r="BB36" i="1"/>
  <c r="AS36" i="1"/>
  <c r="BA36" i="1"/>
  <c r="AS73" i="1"/>
  <c r="BA73" i="1"/>
  <c r="BB73" i="1"/>
  <c r="BE54" i="1"/>
  <c r="BU54" i="1" s="1"/>
  <c r="BX54" i="1" s="1"/>
  <c r="BG54" i="1"/>
  <c r="BD54" i="1"/>
  <c r="BC54" i="1"/>
  <c r="AR54" i="1"/>
  <c r="BH72" i="1"/>
  <c r="BO72" i="1" s="1"/>
  <c r="BC71" i="1"/>
  <c r="BG71" i="1"/>
  <c r="BE71" i="1"/>
  <c r="BU71" i="1" s="1"/>
  <c r="BX71" i="1" s="1"/>
  <c r="AR71" i="1"/>
  <c r="BD71" i="1"/>
  <c r="BG66" i="1"/>
  <c r="BH66" i="1" s="1"/>
  <c r="BO66" i="1" s="1"/>
  <c r="BQ66" i="1" s="1"/>
  <c r="BE66" i="1"/>
  <c r="BD66" i="1"/>
  <c r="BC66" i="1"/>
  <c r="AR66" i="1"/>
  <c r="BU66" i="1"/>
  <c r="BH40" i="1"/>
  <c r="BO40" i="1" s="1"/>
  <c r="BP36" i="1"/>
  <c r="BS62" i="1"/>
  <c r="BM62" i="1"/>
  <c r="BA69" i="1"/>
  <c r="AS69" i="1"/>
  <c r="BB69" i="1"/>
  <c r="BA56" i="1"/>
  <c r="AS56" i="1"/>
  <c r="BB56" i="1"/>
  <c r="AR68" i="1"/>
  <c r="BG68" i="1"/>
  <c r="BD68" i="1"/>
  <c r="BE68" i="1"/>
  <c r="BU68" i="1" s="1"/>
  <c r="BX68" i="1" s="1"/>
  <c r="BC68" i="1"/>
  <c r="BS41" i="1"/>
  <c r="BM41" i="1"/>
  <c r="BB25" i="1"/>
  <c r="BA25" i="1"/>
  <c r="AS25" i="1"/>
  <c r="BA72" i="1"/>
  <c r="AS72" i="1"/>
  <c r="BB72" i="1"/>
  <c r="BE24" i="1"/>
  <c r="BU24" i="1" s="1"/>
  <c r="BX24" i="1" s="1"/>
  <c r="BI26" i="1"/>
  <c r="BP26" i="1" s="1"/>
  <c r="BV73" i="1"/>
  <c r="BY73" i="1" s="1"/>
  <c r="BI60" i="1"/>
  <c r="BP60" i="1" s="1"/>
  <c r="BH67" i="1"/>
  <c r="BO67" i="1" s="1"/>
  <c r="BH57" i="1"/>
  <c r="BO57" i="1" s="1"/>
  <c r="BQ57" i="1" s="1"/>
  <c r="BC42" i="1"/>
  <c r="BG50" i="1"/>
  <c r="BE50" i="1"/>
  <c r="BU50" i="1" s="1"/>
  <c r="BX50" i="1" s="1"/>
  <c r="BD50" i="1"/>
  <c r="BC50" i="1"/>
  <c r="AR50" i="1"/>
  <c r="BE72" i="1"/>
  <c r="BU72" i="1" s="1"/>
  <c r="BX72" i="1" s="1"/>
  <c r="BT35" i="1"/>
  <c r="BW59" i="1"/>
  <c r="BM33" i="1"/>
  <c r="BS33" i="1"/>
  <c r="BH70" i="1"/>
  <c r="BO70" i="1" s="1"/>
  <c r="BS23" i="1"/>
  <c r="BM23" i="1"/>
  <c r="BM64" i="1"/>
  <c r="BS64" i="1"/>
  <c r="AR45" i="1"/>
  <c r="BD45" i="1"/>
  <c r="BG45" i="1"/>
  <c r="BH45" i="1" s="1"/>
  <c r="BO45" i="1" s="1"/>
  <c r="BQ45" i="1" s="1"/>
  <c r="BE45" i="1"/>
  <c r="BU45" i="1"/>
  <c r="BX45" i="1" s="1"/>
  <c r="BC45" i="1"/>
  <c r="BW51" i="1"/>
  <c r="BC47" i="1"/>
  <c r="BM73" i="1"/>
  <c r="BS73" i="1"/>
  <c r="BC44" i="1"/>
  <c r="BT44" i="1"/>
  <c r="BX62" i="1"/>
  <c r="BB47" i="1"/>
  <c r="AS47" i="1"/>
  <c r="BA47" i="1"/>
  <c r="AS43" i="1"/>
  <c r="BB43" i="1"/>
  <c r="BA43" i="1"/>
  <c r="BW45" i="1"/>
  <c r="BE33" i="1"/>
  <c r="BU33" i="1" s="1"/>
  <c r="BX33" i="1" s="1"/>
  <c r="BV48" i="1"/>
  <c r="BY48" i="1" s="1"/>
  <c r="BS63" i="1"/>
  <c r="BM63" i="1"/>
  <c r="BA57" i="1"/>
  <c r="AS57" i="1"/>
  <c r="BB57" i="1"/>
  <c r="BH25" i="1"/>
  <c r="BO25" i="1" s="1"/>
  <c r="BH34" i="1"/>
  <c r="BO34" i="1" s="1"/>
  <c r="BQ34" i="1" s="1"/>
  <c r="BH62" i="1"/>
  <c r="BO62" i="1" s="1"/>
  <c r="BH33" i="1"/>
  <c r="BO33" i="1" s="1"/>
  <c r="BQ33" i="1" s="1"/>
  <c r="BB58" i="1"/>
  <c r="BA58" i="1"/>
  <c r="AS58" i="1"/>
  <c r="AR51" i="1"/>
  <c r="BG51" i="1"/>
  <c r="BH51" i="1" s="1"/>
  <c r="BO51" i="1" s="1"/>
  <c r="BQ51" i="1" s="1"/>
  <c r="BE51" i="1"/>
  <c r="BC51" i="1"/>
  <c r="BU51" i="1"/>
  <c r="BX51" i="1" s="1"/>
  <c r="BD51" i="1"/>
  <c r="AS44" i="1"/>
  <c r="BB44" i="1"/>
  <c r="BA44" i="1"/>
  <c r="BE57" i="1"/>
  <c r="BU57" i="1" s="1"/>
  <c r="BX57" i="1" s="1"/>
  <c r="BT57" i="1"/>
  <c r="BW26" i="1"/>
  <c r="BV26" i="1"/>
  <c r="BY26" i="1" s="1"/>
  <c r="BM67" i="1"/>
  <c r="BS67" i="1"/>
  <c r="BM39" i="1"/>
  <c r="BS39" i="1"/>
  <c r="BW33" i="1"/>
  <c r="BI69" i="1"/>
  <c r="BP69" i="1" s="1"/>
  <c r="BE39" i="1"/>
  <c r="BU39" i="1" s="1"/>
  <c r="BX39" i="1" s="1"/>
  <c r="BB67" i="1"/>
  <c r="BA67" i="1"/>
  <c r="AS67" i="1"/>
  <c r="BV29" i="1"/>
  <c r="BY29" i="1" s="1"/>
  <c r="BW29" i="1"/>
  <c r="BP70" i="1"/>
  <c r="BP44" i="1"/>
  <c r="BB32" i="1"/>
  <c r="BA32" i="1"/>
  <c r="AS32" i="1"/>
  <c r="BK36" i="1"/>
  <c r="BD36" i="1" s="1"/>
  <c r="BB27" i="1"/>
  <c r="AS27" i="1"/>
  <c r="BA27" i="1"/>
  <c r="BT56" i="1"/>
  <c r="BE56" i="1"/>
  <c r="BU56" i="1" s="1"/>
  <c r="BX56" i="1" s="1"/>
  <c r="BB64" i="1"/>
  <c r="BA64" i="1"/>
  <c r="AS64" i="1"/>
  <c r="BI39" i="1"/>
  <c r="BP39" i="1" s="1"/>
  <c r="BM56" i="1"/>
  <c r="BS56" i="1"/>
  <c r="BE35" i="1"/>
  <c r="BU35" i="1" s="1"/>
  <c r="BX35" i="1" s="1"/>
  <c r="BC35" i="1"/>
  <c r="BG35" i="1"/>
  <c r="BD35" i="1"/>
  <c r="AR35" i="1"/>
  <c r="BS25" i="1"/>
  <c r="BM25" i="1"/>
  <c r="BT68" i="1"/>
  <c r="BS24" i="1"/>
  <c r="BM24" i="1"/>
  <c r="BW71" i="1"/>
  <c r="AR38" i="1"/>
  <c r="BG38" i="1"/>
  <c r="BE38" i="1"/>
  <c r="BU38" i="1" s="1"/>
  <c r="BX38" i="1" s="1"/>
  <c r="BC38" i="1"/>
  <c r="BD38" i="1"/>
  <c r="BT31" i="1"/>
  <c r="BT74" i="1"/>
  <c r="BE74" i="1"/>
  <c r="BU74" i="1" s="1"/>
  <c r="BX74" i="1" s="1"/>
  <c r="BT30" i="1"/>
  <c r="BH24" i="1"/>
  <c r="BO24" i="1" s="1"/>
  <c r="BB28" i="1"/>
  <c r="AS28" i="1"/>
  <c r="BA28" i="1"/>
  <c r="BA23" i="1"/>
  <c r="AS23" i="1"/>
  <c r="BB23" i="1"/>
  <c r="BB52" i="1"/>
  <c r="BA52" i="1"/>
  <c r="AS52" i="1"/>
  <c r="BA49" i="1"/>
  <c r="BB49" i="1"/>
  <c r="AS49" i="1"/>
  <c r="BT43" i="1"/>
  <c r="BT40" i="1"/>
  <c r="BW49" i="1"/>
  <c r="BV49" i="1"/>
  <c r="BY49" i="1" s="1"/>
  <c r="BT25" i="1"/>
  <c r="BE23" i="1"/>
  <c r="BU23" i="1" s="1"/>
  <c r="BX23" i="1" s="1"/>
  <c r="BP47" i="1"/>
  <c r="BM48" i="1"/>
  <c r="BS48" i="1"/>
  <c r="BT36" i="1"/>
  <c r="BE42" i="1"/>
  <c r="BU42" i="1" s="1"/>
  <c r="BX42" i="1" s="1"/>
  <c r="BT55" i="1"/>
  <c r="BT69" i="1"/>
  <c r="BN53" i="1"/>
  <c r="BR53" i="1"/>
  <c r="BI53" i="1"/>
  <c r="BC53" i="1"/>
  <c r="BP56" i="1"/>
  <c r="BH23" i="1"/>
  <c r="BO23" i="1" s="1"/>
  <c r="BQ23" i="1" s="1"/>
  <c r="BP37" i="1"/>
  <c r="BE25" i="1"/>
  <c r="BU25" i="1" s="1"/>
  <c r="BX25" i="1" s="1"/>
  <c r="BV34" i="1"/>
  <c r="BY34" i="1" s="1"/>
  <c r="BO48" i="1"/>
  <c r="BQ48" i="1" s="1"/>
  <c r="BB60" i="1"/>
  <c r="AS60" i="1"/>
  <c r="BA60" i="1"/>
  <c r="BC49" i="1"/>
  <c r="BE69" i="1"/>
  <c r="BU69" i="1" s="1"/>
  <c r="BX69" i="1" s="1"/>
  <c r="BG42" i="1"/>
  <c r="BC31" i="1"/>
  <c r="BG31" i="1"/>
  <c r="BD31" i="1"/>
  <c r="BE31" i="1"/>
  <c r="BU31" i="1" s="1"/>
  <c r="BX31" i="1" s="1"/>
  <c r="AR31" i="1"/>
  <c r="BH37" i="1"/>
  <c r="BO37" i="1" s="1"/>
  <c r="BE40" i="1"/>
  <c r="BU40" i="1" s="1"/>
  <c r="BX40" i="1" s="1"/>
  <c r="BI43" i="1"/>
  <c r="BP43" i="1" s="1"/>
  <c r="BM28" i="1" l="1"/>
  <c r="BQ37" i="1"/>
  <c r="BO28" i="1"/>
  <c r="BQ28" i="1" s="1"/>
  <c r="BM32" i="1"/>
  <c r="BV28" i="1"/>
  <c r="BY28" i="1" s="1"/>
  <c r="BS27" i="1"/>
  <c r="BQ72" i="1"/>
  <c r="BM30" i="1"/>
  <c r="BB30" i="1"/>
  <c r="AS30" i="1"/>
  <c r="BQ56" i="1"/>
  <c r="AS61" i="1"/>
  <c r="BA61" i="1"/>
  <c r="BV71" i="1"/>
  <c r="BY71" i="1" s="1"/>
  <c r="BQ24" i="1"/>
  <c r="BQ74" i="1"/>
  <c r="BQ67" i="1"/>
  <c r="BX27" i="1"/>
  <c r="BS58" i="1"/>
  <c r="BQ44" i="1"/>
  <c r="BE53" i="1"/>
  <c r="BU53" i="1" s="1"/>
  <c r="BV53" i="1" s="1"/>
  <c r="BY53" i="1" s="1"/>
  <c r="BQ47" i="1"/>
  <c r="BA42" i="1"/>
  <c r="BW53" i="1"/>
  <c r="BQ25" i="1"/>
  <c r="BH55" i="1"/>
  <c r="BO55" i="1" s="1"/>
  <c r="BQ55" i="1" s="1"/>
  <c r="BM52" i="1"/>
  <c r="BV51" i="1"/>
  <c r="BY51" i="1" s="1"/>
  <c r="BQ40" i="1"/>
  <c r="BM61" i="1"/>
  <c r="BV58" i="1"/>
  <c r="BY58" i="1" s="1"/>
  <c r="BH32" i="1"/>
  <c r="BO32" i="1" s="1"/>
  <c r="BQ32" i="1" s="1"/>
  <c r="D2" i="1"/>
  <c r="E2" i="1" s="1"/>
  <c r="F2" i="1" s="1"/>
  <c r="I14" i="1"/>
  <c r="BH39" i="1"/>
  <c r="BO39" i="1" s="1"/>
  <c r="BQ39" i="1" s="1"/>
  <c r="BS26" i="1"/>
  <c r="BV45" i="1"/>
  <c r="BY45" i="1" s="1"/>
  <c r="BB42" i="1"/>
  <c r="BV59" i="1"/>
  <c r="BY59" i="1" s="1"/>
  <c r="BE32" i="1"/>
  <c r="BU32" i="1" s="1"/>
  <c r="BX32" i="1" s="1"/>
  <c r="BQ36" i="1"/>
  <c r="BV61" i="1"/>
  <c r="BY61" i="1" s="1"/>
  <c r="BV27" i="1"/>
  <c r="BY27" i="1" s="1"/>
  <c r="BV33" i="1"/>
  <c r="BY33" i="1" s="1"/>
  <c r="BV67" i="1"/>
  <c r="BY67" i="1" s="1"/>
  <c r="BH43" i="1"/>
  <c r="BO43" i="1" s="1"/>
  <c r="BQ43" i="1" s="1"/>
  <c r="BE52" i="1"/>
  <c r="BU52" i="1" s="1"/>
  <c r="BX52" i="1" s="1"/>
  <c r="BT52" i="1"/>
  <c r="BH52" i="1"/>
  <c r="BO52" i="1" s="1"/>
  <c r="BQ52" i="1" s="1"/>
  <c r="BQ62" i="1"/>
  <c r="BV72" i="1"/>
  <c r="BY72" i="1" s="1"/>
  <c r="BV24" i="1"/>
  <c r="BY24" i="1" s="1"/>
  <c r="BS55" i="1"/>
  <c r="BQ70" i="1"/>
  <c r="BW36" i="1"/>
  <c r="BV36" i="1"/>
  <c r="BY36" i="1" s="1"/>
  <c r="BA31" i="1"/>
  <c r="AS31" i="1"/>
  <c r="BB31" i="1"/>
  <c r="BW32" i="1"/>
  <c r="BB51" i="1"/>
  <c r="BA51" i="1"/>
  <c r="AS51" i="1"/>
  <c r="BW74" i="1"/>
  <c r="BV74" i="1"/>
  <c r="BY74" i="1" s="1"/>
  <c r="BV39" i="1"/>
  <c r="BY39" i="1" s="1"/>
  <c r="BB71" i="1"/>
  <c r="BA71" i="1"/>
  <c r="AS71" i="1"/>
  <c r="BV31" i="1"/>
  <c r="BY31" i="1" s="1"/>
  <c r="BW31" i="1"/>
  <c r="BI54" i="1"/>
  <c r="BP54" i="1" s="1"/>
  <c r="BV42" i="1"/>
  <c r="BY42" i="1" s="1"/>
  <c r="BW30" i="1"/>
  <c r="BV30" i="1"/>
  <c r="BY30" i="1" s="1"/>
  <c r="BS71" i="1"/>
  <c r="BM71" i="1"/>
  <c r="BM47" i="1"/>
  <c r="BS47" i="1"/>
  <c r="BI31" i="1"/>
  <c r="BP31" i="1" s="1"/>
  <c r="BM42" i="1"/>
  <c r="BS42" i="1"/>
  <c r="BS45" i="1"/>
  <c r="BM45" i="1"/>
  <c r="BI71" i="1"/>
  <c r="BP71" i="1" s="1"/>
  <c r="BM53" i="1"/>
  <c r="BS53" i="1"/>
  <c r="BI59" i="1"/>
  <c r="BP59" i="1" s="1"/>
  <c r="BP53" i="1"/>
  <c r="BH53" i="1"/>
  <c r="BO53" i="1" s="1"/>
  <c r="BB59" i="1"/>
  <c r="BA59" i="1"/>
  <c r="AS59" i="1"/>
  <c r="BB35" i="1"/>
  <c r="BA35" i="1"/>
  <c r="AS35" i="1"/>
  <c r="BB45" i="1"/>
  <c r="AS45" i="1"/>
  <c r="BA45" i="1"/>
  <c r="BI68" i="1"/>
  <c r="BP68" i="1" s="1"/>
  <c r="BX66" i="1"/>
  <c r="BV66" i="1"/>
  <c r="BY66" i="1" s="1"/>
  <c r="BV62" i="1"/>
  <c r="BY62" i="1" s="1"/>
  <c r="BW62" i="1"/>
  <c r="BW37" i="1"/>
  <c r="BV37" i="1"/>
  <c r="BY37" i="1" s="1"/>
  <c r="BM38" i="1"/>
  <c r="BS38" i="1"/>
  <c r="BV23" i="1"/>
  <c r="BY23" i="1" s="1"/>
  <c r="BW25" i="1"/>
  <c r="BV25" i="1"/>
  <c r="BY25" i="1" s="1"/>
  <c r="BW68" i="1"/>
  <c r="BV68" i="1"/>
  <c r="BY68" i="1" s="1"/>
  <c r="BV44" i="1"/>
  <c r="BY44" i="1" s="1"/>
  <c r="BW44" i="1"/>
  <c r="BS68" i="1"/>
  <c r="BM68" i="1"/>
  <c r="BI38" i="1"/>
  <c r="BP38" i="1" s="1"/>
  <c r="BV56" i="1"/>
  <c r="BY56" i="1" s="1"/>
  <c r="BW56" i="1"/>
  <c r="BV38" i="1"/>
  <c r="BY38" i="1" s="1"/>
  <c r="BM44" i="1"/>
  <c r="BS44" i="1"/>
  <c r="BV35" i="1"/>
  <c r="BY35" i="1" s="1"/>
  <c r="BW35" i="1"/>
  <c r="BH26" i="1"/>
  <c r="BO26" i="1" s="1"/>
  <c r="BQ26" i="1" s="1"/>
  <c r="BI42" i="1"/>
  <c r="BP42" i="1" s="1"/>
  <c r="BA38" i="1"/>
  <c r="AS38" i="1"/>
  <c r="BB38" i="1"/>
  <c r="BW70" i="1"/>
  <c r="BV70" i="1"/>
  <c r="BY70" i="1" s="1"/>
  <c r="BM59" i="1"/>
  <c r="BS59" i="1"/>
  <c r="BH61" i="1"/>
  <c r="BO61" i="1" s="1"/>
  <c r="BQ61" i="1" s="1"/>
  <c r="BA50" i="1"/>
  <c r="AS50" i="1"/>
  <c r="BB50" i="1"/>
  <c r="BM49" i="1"/>
  <c r="BS49" i="1"/>
  <c r="BW69" i="1"/>
  <c r="BV69" i="1"/>
  <c r="BY69" i="1" s="1"/>
  <c r="BW40" i="1"/>
  <c r="BV40" i="1"/>
  <c r="BY40" i="1" s="1"/>
  <c r="BM50" i="1"/>
  <c r="BS50" i="1"/>
  <c r="BA68" i="1"/>
  <c r="AS68" i="1"/>
  <c r="BB68" i="1"/>
  <c r="BB66" i="1"/>
  <c r="BA66" i="1"/>
  <c r="AS66" i="1"/>
  <c r="BA54" i="1"/>
  <c r="BB54" i="1"/>
  <c r="AS54" i="1"/>
  <c r="BH30" i="1"/>
  <c r="BO30" i="1" s="1"/>
  <c r="BQ30" i="1" s="1"/>
  <c r="BV55" i="1"/>
  <c r="BY55" i="1" s="1"/>
  <c r="BW55" i="1"/>
  <c r="BI35" i="1"/>
  <c r="BP35" i="1" s="1"/>
  <c r="BV54" i="1"/>
  <c r="BY54" i="1" s="1"/>
  <c r="BH60" i="1"/>
  <c r="BO60" i="1" s="1"/>
  <c r="BQ60" i="1" s="1"/>
  <c r="BM66" i="1"/>
  <c r="BS66" i="1"/>
  <c r="BM54" i="1"/>
  <c r="BS54" i="1"/>
  <c r="BI50" i="1"/>
  <c r="BP50" i="1" s="1"/>
  <c r="BS31" i="1"/>
  <c r="BM31" i="1"/>
  <c r="BV43" i="1"/>
  <c r="BY43" i="1" s="1"/>
  <c r="BW43" i="1"/>
  <c r="BM35" i="1"/>
  <c r="BS35" i="1"/>
  <c r="BW57" i="1"/>
  <c r="BV57" i="1"/>
  <c r="BY57" i="1" s="1"/>
  <c r="BM51" i="1"/>
  <c r="BS51" i="1"/>
  <c r="BH69" i="1"/>
  <c r="BO69" i="1" s="1"/>
  <c r="BQ69" i="1" s="1"/>
  <c r="BV50" i="1"/>
  <c r="BY50" i="1" s="1"/>
  <c r="BW60" i="1"/>
  <c r="BV60" i="1"/>
  <c r="BY60" i="1" s="1"/>
  <c r="BQ53" i="1" l="1"/>
  <c r="BX53" i="1"/>
  <c r="BV32" i="1"/>
  <c r="BY32" i="1" s="1"/>
  <c r="BV52" i="1"/>
  <c r="BY52" i="1" s="1"/>
  <c r="BW52" i="1"/>
  <c r="BH54" i="1"/>
  <c r="BO54" i="1" s="1"/>
  <c r="BQ54" i="1" s="1"/>
  <c r="BH50" i="1"/>
  <c r="BO50" i="1" s="1"/>
  <c r="BQ50" i="1" s="1"/>
  <c r="BH68" i="1"/>
  <c r="BO68" i="1" s="1"/>
  <c r="BQ68" i="1" s="1"/>
  <c r="BH71" i="1"/>
  <c r="BO71" i="1" s="1"/>
  <c r="BQ71" i="1" s="1"/>
  <c r="BH59" i="1"/>
  <c r="BO59" i="1" s="1"/>
  <c r="BQ59" i="1" s="1"/>
  <c r="BH42" i="1"/>
  <c r="BO42" i="1" s="1"/>
  <c r="BQ42" i="1" s="1"/>
  <c r="BH35" i="1"/>
  <c r="BO35" i="1" s="1"/>
  <c r="BQ35" i="1" s="1"/>
  <c r="BH38" i="1"/>
  <c r="BO38" i="1" s="1"/>
  <c r="BQ38" i="1" s="1"/>
  <c r="BH31" i="1"/>
  <c r="BO31" i="1" s="1"/>
  <c r="BQ31" i="1" s="1"/>
  <c r="BD3" i="3"/>
  <c r="BK3" i="3"/>
  <c r="BD4" i="3"/>
  <c r="BK4" i="3"/>
  <c r="U4" i="3"/>
  <c r="BD5" i="3"/>
  <c r="BK5" i="3"/>
  <c r="U5" i="3"/>
  <c r="BW6" i="3"/>
  <c r="BR6" i="3"/>
  <c r="BW7" i="3"/>
  <c r="BR7" i="3"/>
  <c r="BW8" i="3"/>
  <c r="BR8" i="3"/>
  <c r="BD9" i="3"/>
  <c r="BK9" i="3"/>
  <c r="U9" i="3"/>
  <c r="BD10" i="3"/>
  <c r="BK10" i="3"/>
  <c r="U10" i="3"/>
  <c r="BD14" i="3"/>
  <c r="BK14" i="3"/>
  <c r="U14" i="3"/>
  <c r="BD15" i="3"/>
  <c r="BK15" i="3"/>
  <c r="U15" i="3"/>
  <c r="BD17" i="3"/>
  <c r="BK17" i="3"/>
  <c r="U17" i="3"/>
  <c r="BD18" i="3"/>
  <c r="BK18" i="3"/>
  <c r="U18" i="3"/>
  <c r="BD19" i="3"/>
  <c r="BK19" i="3"/>
  <c r="U19" i="3"/>
  <c r="BW20" i="3"/>
  <c r="BR20" i="3"/>
  <c r="BD21" i="3"/>
  <c r="BK21" i="3"/>
  <c r="U21" i="3"/>
  <c r="BD31" i="3"/>
  <c r="BK31" i="3"/>
  <c r="U31" i="3"/>
  <c r="BD34" i="3"/>
  <c r="BK34" i="3"/>
  <c r="U34" i="3"/>
  <c r="BD39" i="3"/>
  <c r="BK39" i="3"/>
  <c r="U39" i="3"/>
  <c r="BD41" i="3"/>
  <c r="BK41" i="3"/>
  <c r="U41" i="3"/>
  <c r="BD46" i="3"/>
  <c r="BK46" i="3"/>
  <c r="U46" i="3"/>
  <c r="BD49" i="3"/>
  <c r="BK49" i="3"/>
  <c r="U49" i="3"/>
  <c r="BD16" i="3"/>
  <c r="BK16" i="3"/>
  <c r="U16" i="3"/>
  <c r="BD11" i="3"/>
  <c r="BK11" i="3"/>
  <c r="U11" i="3"/>
  <c r="U3" i="3"/>
  <c r="U54" i="3"/>
  <c r="BP3" i="3"/>
  <c r="BI3" i="3"/>
  <c r="BH3" i="3"/>
  <c r="BO3" i="3"/>
  <c r="BQ3" i="3"/>
  <c r="BB3" i="3"/>
  <c r="BN3" i="3"/>
  <c r="BR3" i="3"/>
  <c r="BM3" i="3"/>
  <c r="BC3" i="3"/>
  <c r="BS3" i="3"/>
  <c r="BW3" i="3"/>
  <c r="BE3" i="3"/>
  <c r="BU3" i="3"/>
  <c r="BX3" i="3"/>
  <c r="V3" i="3"/>
  <c r="BL3" i="3"/>
  <c r="BT3" i="3"/>
  <c r="BV3" i="3"/>
  <c r="BY3" i="3"/>
  <c r="BP4" i="3"/>
  <c r="BI4" i="3"/>
  <c r="BH4" i="3"/>
  <c r="BO4" i="3"/>
  <c r="BQ4" i="3"/>
  <c r="BB4" i="3"/>
  <c r="BN4" i="3"/>
  <c r="BR4" i="3"/>
  <c r="BM4" i="3"/>
  <c r="BC4" i="3"/>
  <c r="BS4" i="3"/>
  <c r="BW4" i="3"/>
  <c r="BE4" i="3"/>
  <c r="BU4" i="3"/>
  <c r="BX4" i="3"/>
  <c r="V4" i="3"/>
  <c r="BL4" i="3"/>
  <c r="BT4" i="3"/>
  <c r="BV4" i="3"/>
  <c r="BY4" i="3"/>
  <c r="BP5" i="3"/>
  <c r="BI5" i="3"/>
  <c r="BH5" i="3"/>
  <c r="BO5" i="3"/>
  <c r="BQ5" i="3"/>
  <c r="BB5" i="3"/>
  <c r="BN5" i="3"/>
  <c r="BR5" i="3"/>
  <c r="BM5" i="3"/>
  <c r="BC5" i="3"/>
  <c r="BS5" i="3"/>
  <c r="BW5" i="3"/>
  <c r="BE5" i="3"/>
  <c r="BU5" i="3"/>
  <c r="BX5" i="3"/>
  <c r="V5" i="3"/>
  <c r="BL5" i="3"/>
  <c r="BT5" i="3"/>
  <c r="BV5" i="3"/>
  <c r="BY5" i="3"/>
  <c r="BN6" i="3"/>
  <c r="BO6" i="3"/>
  <c r="BQ6" i="3"/>
  <c r="BB6" i="3"/>
  <c r="BD6" i="3"/>
  <c r="BE6" i="3"/>
  <c r="BL6" i="3"/>
  <c r="BM6" i="3"/>
  <c r="BC6" i="3"/>
  <c r="BS6" i="3"/>
  <c r="BX6" i="3"/>
  <c r="V6" i="3"/>
  <c r="BU6" i="3"/>
  <c r="BV6" i="3"/>
  <c r="BY6" i="3"/>
  <c r="BN7" i="3"/>
  <c r="BO7" i="3"/>
  <c r="BQ7" i="3"/>
  <c r="BB7" i="3"/>
  <c r="BD7" i="3"/>
  <c r="BE7" i="3"/>
  <c r="BL7" i="3"/>
  <c r="BM7" i="3"/>
  <c r="BC7" i="3"/>
  <c r="BS7" i="3"/>
  <c r="BX7" i="3"/>
  <c r="V7" i="3"/>
  <c r="BU7" i="3"/>
  <c r="BV7" i="3"/>
  <c r="BY7" i="3"/>
  <c r="BN8" i="3"/>
  <c r="BO8" i="3"/>
  <c r="BQ8" i="3"/>
  <c r="BB8" i="3"/>
  <c r="BD8" i="3"/>
  <c r="BE8" i="3"/>
  <c r="BL8" i="3"/>
  <c r="BM8" i="3"/>
  <c r="BC8" i="3"/>
  <c r="BS8" i="3"/>
  <c r="BX8" i="3"/>
  <c r="V8" i="3"/>
  <c r="BU8" i="3"/>
  <c r="BV8" i="3"/>
  <c r="BY8" i="3"/>
  <c r="BP9" i="3"/>
  <c r="BI9" i="3"/>
  <c r="BH9" i="3"/>
  <c r="BO9" i="3"/>
  <c r="BQ9" i="3"/>
  <c r="BB9" i="3"/>
  <c r="BN9" i="3"/>
  <c r="BR9" i="3"/>
  <c r="BM9" i="3"/>
  <c r="BC9" i="3"/>
  <c r="BS9" i="3"/>
  <c r="BW9" i="3"/>
  <c r="BE9" i="3"/>
  <c r="BU9" i="3"/>
  <c r="BX9" i="3"/>
  <c r="V9" i="3"/>
  <c r="BL9" i="3"/>
  <c r="BT9" i="3"/>
  <c r="BV9" i="3"/>
  <c r="BY9" i="3"/>
  <c r="BP10" i="3"/>
  <c r="BI10" i="3"/>
  <c r="BH10" i="3"/>
  <c r="BO10" i="3"/>
  <c r="BQ10" i="3"/>
  <c r="BB10" i="3"/>
  <c r="BN10" i="3"/>
  <c r="BR10" i="3"/>
  <c r="BM10" i="3"/>
  <c r="BC10" i="3"/>
  <c r="BS10" i="3"/>
  <c r="BW10" i="3"/>
  <c r="BE10" i="3"/>
  <c r="BU10" i="3"/>
  <c r="BX10" i="3"/>
  <c r="V10" i="3"/>
  <c r="BL10" i="3"/>
  <c r="BT10" i="3"/>
  <c r="BV10" i="3"/>
  <c r="BY10" i="3"/>
  <c r="BP11" i="3"/>
  <c r="BI11" i="3"/>
  <c r="BH11" i="3"/>
  <c r="BO11" i="3"/>
  <c r="BQ11" i="3"/>
  <c r="BB11" i="3"/>
  <c r="BN11" i="3"/>
  <c r="BR11" i="3"/>
  <c r="BM11" i="3"/>
  <c r="BC11" i="3"/>
  <c r="BS11" i="3"/>
  <c r="BW11" i="3"/>
  <c r="BE11" i="3"/>
  <c r="BU11" i="3"/>
  <c r="BX11" i="3"/>
  <c r="V11" i="3"/>
  <c r="BL11" i="3"/>
  <c r="BT11" i="3"/>
  <c r="BV11" i="3"/>
  <c r="BY11" i="3"/>
  <c r="BP14" i="3"/>
  <c r="BI14" i="3"/>
  <c r="BH14" i="3"/>
  <c r="BO14" i="3"/>
  <c r="BQ14" i="3"/>
  <c r="BB14" i="3"/>
  <c r="BN14" i="3"/>
  <c r="BR14" i="3"/>
  <c r="BM14" i="3"/>
  <c r="BC14" i="3"/>
  <c r="BS14" i="3"/>
  <c r="BW14" i="3"/>
  <c r="BE14" i="3"/>
  <c r="BU14" i="3"/>
  <c r="BX14" i="3"/>
  <c r="V14" i="3"/>
  <c r="BL14" i="3"/>
  <c r="BT14" i="3"/>
  <c r="BV14" i="3"/>
  <c r="BY14" i="3"/>
  <c r="BP15" i="3"/>
  <c r="BI15" i="3"/>
  <c r="BH15" i="3"/>
  <c r="BO15" i="3"/>
  <c r="BQ15" i="3"/>
  <c r="BB15" i="3"/>
  <c r="BN15" i="3"/>
  <c r="BR15" i="3"/>
  <c r="BM15" i="3"/>
  <c r="BC15" i="3"/>
  <c r="BS15" i="3"/>
  <c r="BW15" i="3"/>
  <c r="BE15" i="3"/>
  <c r="BU15" i="3"/>
  <c r="BX15" i="3"/>
  <c r="V15" i="3"/>
  <c r="BL15" i="3"/>
  <c r="BT15" i="3"/>
  <c r="BV15" i="3"/>
  <c r="BY15" i="3"/>
  <c r="BP16" i="3"/>
  <c r="BI16" i="3"/>
  <c r="BH16" i="3"/>
  <c r="BO16" i="3"/>
  <c r="BQ16" i="3"/>
  <c r="BB16" i="3"/>
  <c r="BN16" i="3"/>
  <c r="BR16" i="3"/>
  <c r="BM16" i="3"/>
  <c r="BC16" i="3"/>
  <c r="BS16" i="3"/>
  <c r="BW16" i="3"/>
  <c r="BE16" i="3"/>
  <c r="BU16" i="3"/>
  <c r="BX16" i="3"/>
  <c r="V16" i="3"/>
  <c r="BL16" i="3"/>
  <c r="BT16" i="3"/>
  <c r="BV16" i="3"/>
  <c r="BY16" i="3"/>
  <c r="BP17" i="3"/>
  <c r="BI17" i="3"/>
  <c r="BH17" i="3"/>
  <c r="BO17" i="3"/>
  <c r="BQ17" i="3"/>
  <c r="BB17" i="3"/>
  <c r="BN17" i="3"/>
  <c r="BR17" i="3"/>
  <c r="BM17" i="3"/>
  <c r="BC17" i="3"/>
  <c r="BS17" i="3"/>
  <c r="BW17" i="3"/>
  <c r="BE17" i="3"/>
  <c r="BU17" i="3"/>
  <c r="BX17" i="3"/>
  <c r="V17" i="3"/>
  <c r="BL17" i="3"/>
  <c r="BT17" i="3"/>
  <c r="BV17" i="3"/>
  <c r="BY17" i="3"/>
  <c r="BP18" i="3"/>
  <c r="BI18" i="3"/>
  <c r="BH18" i="3"/>
  <c r="BO18" i="3"/>
  <c r="BQ18" i="3"/>
  <c r="BB18" i="3"/>
  <c r="BN18" i="3"/>
  <c r="BR18" i="3"/>
  <c r="BM18" i="3"/>
  <c r="BC18" i="3"/>
  <c r="BS18" i="3"/>
  <c r="BW18" i="3"/>
  <c r="BE18" i="3"/>
  <c r="BU18" i="3"/>
  <c r="BX18" i="3"/>
  <c r="V18" i="3"/>
  <c r="BL18" i="3"/>
  <c r="BT18" i="3"/>
  <c r="BV18" i="3"/>
  <c r="BY18" i="3"/>
  <c r="BP19" i="3"/>
  <c r="BI19" i="3"/>
  <c r="BH19" i="3"/>
  <c r="BO19" i="3"/>
  <c r="BQ19" i="3"/>
  <c r="BB19" i="3"/>
  <c r="BN19" i="3"/>
  <c r="BR19" i="3"/>
  <c r="BM19" i="3"/>
  <c r="BC19" i="3"/>
  <c r="BS19" i="3"/>
  <c r="BW19" i="3"/>
  <c r="BE19" i="3"/>
  <c r="BU19" i="3"/>
  <c r="BX19" i="3"/>
  <c r="V19" i="3"/>
  <c r="BL19" i="3"/>
  <c r="BT19" i="3"/>
  <c r="BV19" i="3"/>
  <c r="BY19" i="3"/>
  <c r="BN20" i="3"/>
  <c r="BO20" i="3"/>
  <c r="BQ20" i="3"/>
  <c r="BB20" i="3"/>
  <c r="BD20" i="3"/>
  <c r="BE20" i="3"/>
  <c r="BL20" i="3"/>
  <c r="BM20" i="3"/>
  <c r="BC20" i="3"/>
  <c r="BS20" i="3"/>
  <c r="BX20" i="3"/>
  <c r="V20" i="3"/>
  <c r="BU20" i="3"/>
  <c r="BV20" i="3"/>
  <c r="BY20" i="3"/>
  <c r="BP21" i="3"/>
  <c r="BI21" i="3"/>
  <c r="BH21" i="3"/>
  <c r="BO21" i="3"/>
  <c r="BQ21" i="3"/>
  <c r="BB21" i="3"/>
  <c r="BN21" i="3"/>
  <c r="BR21" i="3"/>
  <c r="BM21" i="3"/>
  <c r="BC21" i="3"/>
  <c r="BS21" i="3"/>
  <c r="BW21" i="3"/>
  <c r="BE21" i="3"/>
  <c r="BU21" i="3"/>
  <c r="BX21" i="3"/>
  <c r="V21" i="3"/>
  <c r="BL21" i="3"/>
  <c r="BT21" i="3"/>
  <c r="BV21" i="3"/>
  <c r="BY21" i="3"/>
  <c r="BP22" i="3"/>
  <c r="BI22" i="3"/>
  <c r="BH22" i="3"/>
  <c r="BO22" i="3"/>
  <c r="BQ22" i="3"/>
  <c r="BB22" i="3"/>
  <c r="BD22" i="3"/>
  <c r="BN22" i="3"/>
  <c r="BR22" i="3"/>
  <c r="BM22" i="3"/>
  <c r="BC22" i="3"/>
  <c r="BS22" i="3"/>
  <c r="BW22" i="3"/>
  <c r="BE22" i="3"/>
  <c r="BU22" i="3"/>
  <c r="BX22" i="3"/>
  <c r="V22" i="3"/>
  <c r="BL22" i="3"/>
  <c r="BT22" i="3"/>
  <c r="BV22" i="3"/>
  <c r="BY22" i="3"/>
  <c r="BP29" i="3"/>
  <c r="BI29" i="3"/>
  <c r="BH29" i="3"/>
  <c r="BO29" i="3"/>
  <c r="BQ29" i="3"/>
  <c r="BB29" i="3"/>
  <c r="BD29" i="3"/>
  <c r="BN29" i="3"/>
  <c r="BR29" i="3"/>
  <c r="BM29" i="3"/>
  <c r="BC29" i="3"/>
  <c r="BS29" i="3"/>
  <c r="BW29" i="3"/>
  <c r="BE29" i="3"/>
  <c r="BU29" i="3"/>
  <c r="BX29" i="3"/>
  <c r="V29" i="3"/>
  <c r="BL29" i="3"/>
  <c r="BT29" i="3"/>
  <c r="BV29" i="3"/>
  <c r="BY29" i="3"/>
  <c r="BP31" i="3"/>
  <c r="BI31" i="3"/>
  <c r="BH31" i="3"/>
  <c r="BO31" i="3"/>
  <c r="BQ31" i="3"/>
  <c r="BB31" i="3"/>
  <c r="BN31" i="3"/>
  <c r="BR31" i="3"/>
  <c r="BM31" i="3"/>
  <c r="BC31" i="3"/>
  <c r="BS31" i="3"/>
  <c r="BW31" i="3"/>
  <c r="BE31" i="3"/>
  <c r="BU31" i="3"/>
  <c r="BX31" i="3"/>
  <c r="V31" i="3"/>
  <c r="BL31" i="3"/>
  <c r="BT31" i="3"/>
  <c r="BV31" i="3"/>
  <c r="BY31" i="3"/>
  <c r="BP34" i="3"/>
  <c r="BI34" i="3"/>
  <c r="BH34" i="3"/>
  <c r="BO34" i="3"/>
  <c r="BQ34" i="3"/>
  <c r="BB34" i="3"/>
  <c r="BN34" i="3"/>
  <c r="BR34" i="3"/>
  <c r="BM34" i="3"/>
  <c r="BC34" i="3"/>
  <c r="BS34" i="3"/>
  <c r="BW34" i="3"/>
  <c r="BE34" i="3"/>
  <c r="BU34" i="3"/>
  <c r="BX34" i="3"/>
  <c r="V34" i="3"/>
  <c r="BL34" i="3"/>
  <c r="BT34" i="3"/>
  <c r="BV34" i="3"/>
  <c r="BY34" i="3"/>
  <c r="U38" i="3"/>
  <c r="U8" i="3"/>
  <c r="BP35" i="3"/>
  <c r="BI35" i="3"/>
  <c r="BH35" i="3"/>
  <c r="BO35" i="3"/>
  <c r="BQ35" i="3"/>
  <c r="BB35" i="3"/>
  <c r="BD35" i="3"/>
  <c r="BN35" i="3"/>
  <c r="BR35" i="3"/>
  <c r="BM35" i="3"/>
  <c r="BC35" i="3"/>
  <c r="BS35" i="3"/>
  <c r="BW35" i="3"/>
  <c r="BE35" i="3"/>
  <c r="BU35" i="3"/>
  <c r="BX35" i="3"/>
  <c r="V35" i="3"/>
  <c r="BL35" i="3"/>
  <c r="BT35" i="3"/>
  <c r="BV35" i="3"/>
  <c r="BY35" i="3"/>
  <c r="BP38" i="3"/>
  <c r="BI38" i="3"/>
  <c r="BH38" i="3"/>
  <c r="BO38" i="3"/>
  <c r="BQ38" i="3"/>
  <c r="BB38" i="3"/>
  <c r="BD38" i="3"/>
  <c r="BN38" i="3"/>
  <c r="BR38" i="3"/>
  <c r="BM38" i="3"/>
  <c r="BC38" i="3"/>
  <c r="BS38" i="3"/>
  <c r="BW38" i="3"/>
  <c r="BE38" i="3"/>
  <c r="BU38" i="3"/>
  <c r="BX38" i="3"/>
  <c r="V38" i="3"/>
  <c r="BL38" i="3"/>
  <c r="BT38" i="3"/>
  <c r="BV38" i="3"/>
  <c r="BY38" i="3"/>
  <c r="BP39" i="3"/>
  <c r="BI39" i="3"/>
  <c r="BH39" i="3"/>
  <c r="BO39" i="3"/>
  <c r="BQ39" i="3"/>
  <c r="BB39" i="3"/>
  <c r="BN39" i="3"/>
  <c r="BR39" i="3"/>
  <c r="BM39" i="3"/>
  <c r="BC39" i="3"/>
  <c r="BS39" i="3"/>
  <c r="BW39" i="3"/>
  <c r="BE39" i="3"/>
  <c r="BU39" i="3"/>
  <c r="BX39" i="3"/>
  <c r="V39" i="3"/>
  <c r="BL39" i="3"/>
  <c r="BT39" i="3"/>
  <c r="BV39" i="3"/>
  <c r="BY39" i="3"/>
  <c r="BP40" i="3"/>
  <c r="BI40" i="3"/>
  <c r="BH40" i="3"/>
  <c r="BO40" i="3"/>
  <c r="BQ40" i="3"/>
  <c r="BB40" i="3"/>
  <c r="BD40" i="3"/>
  <c r="BN40" i="3"/>
  <c r="BR40" i="3"/>
  <c r="BM40" i="3"/>
  <c r="BC40" i="3"/>
  <c r="BS40" i="3"/>
  <c r="BW40" i="3"/>
  <c r="BE40" i="3"/>
  <c r="BU40" i="3"/>
  <c r="BX40" i="3"/>
  <c r="V40" i="3"/>
  <c r="BL40" i="3"/>
  <c r="BT40" i="3"/>
  <c r="BV40" i="3"/>
  <c r="BY40" i="3"/>
  <c r="BP41" i="3"/>
  <c r="BI41" i="3"/>
  <c r="BH41" i="3"/>
  <c r="BO41" i="3"/>
  <c r="BQ41" i="3"/>
  <c r="BN41" i="3"/>
  <c r="BR41" i="3"/>
  <c r="BM41" i="3"/>
  <c r="BC41" i="3"/>
  <c r="BS41" i="3"/>
  <c r="BW41" i="3"/>
  <c r="BE41" i="3"/>
  <c r="BU41" i="3"/>
  <c r="BX41" i="3"/>
  <c r="V41" i="3"/>
  <c r="BL41" i="3"/>
  <c r="BT41" i="3"/>
  <c r="BV41" i="3"/>
  <c r="BY41" i="3"/>
  <c r="BP47" i="3"/>
  <c r="BI47" i="3"/>
  <c r="BH47" i="3"/>
  <c r="BO47" i="3"/>
  <c r="BQ47" i="3"/>
  <c r="BB47" i="3"/>
  <c r="BD47" i="3"/>
  <c r="BN47" i="3"/>
  <c r="BR47" i="3"/>
  <c r="BM47" i="3"/>
  <c r="BC47" i="3"/>
  <c r="BS47" i="3"/>
  <c r="BW47" i="3"/>
  <c r="BE47" i="3"/>
  <c r="BU47" i="3"/>
  <c r="BX47" i="3"/>
  <c r="V47" i="3"/>
  <c r="BL47" i="3"/>
  <c r="BT47" i="3"/>
  <c r="BV47" i="3"/>
  <c r="BY47" i="3"/>
  <c r="BP48" i="3"/>
  <c r="BI48" i="3"/>
  <c r="BH48" i="3"/>
  <c r="BO48" i="3"/>
  <c r="BQ48" i="3"/>
  <c r="BB48" i="3"/>
  <c r="BD48" i="3"/>
  <c r="BN48" i="3"/>
  <c r="BR48" i="3"/>
  <c r="BM48" i="3"/>
  <c r="BC48" i="3"/>
  <c r="BS48" i="3"/>
  <c r="BW48" i="3"/>
  <c r="BE48" i="3"/>
  <c r="BU48" i="3"/>
  <c r="BX48" i="3"/>
  <c r="V48" i="3"/>
  <c r="BL48" i="3"/>
  <c r="BT48" i="3"/>
  <c r="BV48" i="3"/>
  <c r="BY48" i="3"/>
  <c r="BP49" i="3"/>
  <c r="BI49" i="3"/>
  <c r="BH49" i="3"/>
  <c r="BO49" i="3"/>
  <c r="BQ49" i="3"/>
  <c r="BB49" i="3"/>
  <c r="BN49" i="3"/>
  <c r="BR49" i="3"/>
  <c r="BM49" i="3"/>
  <c r="BC49" i="3"/>
  <c r="BS49" i="3"/>
  <c r="BW49" i="3"/>
  <c r="BE49" i="3"/>
  <c r="BU49" i="3"/>
  <c r="BX49" i="3"/>
  <c r="U20" i="3"/>
  <c r="V49" i="3"/>
  <c r="BL49" i="3"/>
  <c r="BT49" i="3"/>
  <c r="BV49" i="3"/>
  <c r="BY4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00000000-0006-0000-0000-000002000000}">
      <text>
        <r>
          <rPr>
            <sz val="10"/>
            <rFont val="Arial"/>
            <family val="2"/>
          </rPr>
          <t xml:space="preserve">Swapnil Rode:
</t>
        </r>
        <r>
          <rPr>
            <sz val="9"/>
            <color rgb="FF000000"/>
            <rFont val="Tahoma"/>
            <family val="2"/>
            <charset val="1"/>
          </rPr>
          <t xml:space="preserve">FROM DCCP </t>
        </r>
      </text>
    </comment>
    <comment ref="C3" authorId="0" shapeId="0" xr:uid="{00000000-0006-0000-0000-000003000000}">
      <text>
        <r>
          <rPr>
            <sz val="10"/>
            <rFont val="Arial"/>
            <family val="2"/>
          </rPr>
          <t xml:space="preserve">Swapnil Rode:
</t>
        </r>
        <r>
          <rPr>
            <sz val="9"/>
            <color rgb="FF000000"/>
            <rFont val="Tahoma"/>
            <family val="2"/>
            <charset val="1"/>
          </rPr>
          <t>From DCCP</t>
        </r>
      </text>
    </comment>
    <comment ref="G22" authorId="0" shapeId="0" xr:uid="{00000000-0006-0000-0000-000004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Formula added</t>
        </r>
      </text>
    </comment>
    <comment ref="O22" authorId="0" shapeId="0" xr:uid="{00000000-0006-0000-0000-000009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Formula</t>
        </r>
      </text>
    </comment>
    <comment ref="V22" authorId="0" shapeId="0" xr:uid="{00000000-0006-0000-0000-00000A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Added by David</t>
        </r>
      </text>
    </comment>
    <comment ref="Z22" authorId="0" shapeId="0" xr:uid="{00000000-0006-0000-0000-000019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Formula</t>
        </r>
      </text>
    </comment>
    <comment ref="AQ23" authorId="0" shapeId="0" xr:uid="{00000000-0006-0000-0000-000020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Backup, Tape Rotation &amp; Cross connect</t>
        </r>
      </text>
    </comment>
    <comment ref="AQ25" authorId="0" shapeId="0" xr:uid="{00000000-0006-0000-0000-000021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connect, Safe Vault &amp; Tape Rotation)</t>
        </r>
      </text>
    </comment>
    <comment ref="AQ26" authorId="0" shapeId="0" xr:uid="{00000000-0006-0000-0000-000022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connect, Safe Vault &amp; Tape Rotation)</t>
        </r>
      </text>
    </comment>
    <comment ref="AT27" authorId="0" shapeId="0" xr:uid="{00000000-0006-0000-0000-000032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Power usage on Monthly Ars</t>
        </r>
      </text>
    </comment>
    <comment ref="AT28" authorId="0" shapeId="0" xr:uid="{00000000-0006-0000-0000-000033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Power usage on Monthly Ars</t>
        </r>
      </text>
    </comment>
    <comment ref="AT29" authorId="0" shapeId="0" xr:uid="{00000000-0006-0000-0000-000034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Power usage on Monthly Ars</t>
        </r>
      </text>
    </comment>
    <comment ref="AQ30" authorId="0" shapeId="0" xr:uid="{00000000-0006-0000-0000-000023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Smart Pair of Hands</t>
        </r>
      </text>
    </comment>
    <comment ref="AQ31" authorId="0" shapeId="0" xr:uid="{00000000-0006-0000-0000-000024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connect, SPH, Tape Rotation</t>
        </r>
      </text>
    </comment>
    <comment ref="Y35" authorId="0" shapeId="0" xr:uid="{00000000-0006-0000-0000-00000B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Q35" authorId="0" shapeId="0" xr:uid="{00000000-0006-0000-0000-000025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Y36" authorId="0" shapeId="0" xr:uid="{00000000-0006-0000-0000-00000C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Q36" authorId="0" shapeId="0" xr:uid="{00000000-0006-0000-0000-000026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M37" authorId="0" shapeId="0" xr:uid="{00000000-0006-0000-0000-000007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FoC for first year</t>
        </r>
      </text>
    </comment>
    <comment ref="Y37" authorId="0" shapeId="0" xr:uid="{00000000-0006-0000-0000-00000D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Q37" authorId="0" shapeId="0" xr:uid="{00000000-0006-0000-0000-000027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K38" authorId="0" shapeId="0" xr:uid="{00000000-0006-0000-0000-000006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1st Rack FOC for 1st year</t>
        </r>
      </text>
    </comment>
    <comment ref="Y38" authorId="0" shapeId="0" xr:uid="{00000000-0006-0000-0000-00000E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Q38" authorId="0" shapeId="0" xr:uid="{00000000-0006-0000-0000-000028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AQ39" authorId="0" shapeId="0" xr:uid="{00000000-0006-0000-0000-000029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AQ40" authorId="0" shapeId="0" xr:uid="{00000000-0006-0000-0000-00002A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M41" authorId="0" shapeId="0" xr:uid="{00000000-0006-0000-0000-000008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First one year free. From second year onwards 8750 if not used</t>
        </r>
      </text>
    </comment>
    <comment ref="H42" authorId="0" shapeId="0" xr:uid="{00000000-0006-0000-0000-000005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Half Rack space as per PO</t>
        </r>
      </text>
    </comment>
    <comment ref="Y42" authorId="0" shapeId="0" xr:uid="{00000000-0006-0000-0000-00000F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Rate only for 6 months as per PO</t>
        </r>
      </text>
    </comment>
    <comment ref="Y44" authorId="0" shapeId="0" xr:uid="{00000000-0006-0000-0000-000010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L44" authorId="0" shapeId="0" xr:uid="{00000000-0006-0000-0000-00001A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One bundled with initial order (OTC charged)</t>
        </r>
      </text>
    </comment>
    <comment ref="Y45" authorId="0" shapeId="0" xr:uid="{00000000-0006-0000-0000-000011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L45" authorId="0" shapeId="0" xr:uid="{00000000-0006-0000-0000-00001B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One bundled with initial order (OTC charged)</t>
        </r>
      </text>
    </comment>
    <comment ref="Y47" authorId="0" shapeId="0" xr:uid="{00000000-0006-0000-0000-000012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L47" authorId="0" shapeId="0" xr:uid="{00000000-0006-0000-0000-00001C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One bundled with initial order (OTC charged)</t>
        </r>
      </text>
    </comment>
    <comment ref="Y48" authorId="0" shapeId="0" xr:uid="{00000000-0006-0000-0000-000013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L48" authorId="0" shapeId="0" xr:uid="{00000000-0006-0000-0000-00001D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One bundled with initial order (OTC charged)</t>
        </r>
      </text>
    </comment>
    <comment ref="Y49" authorId="0" shapeId="0" xr:uid="{00000000-0006-0000-0000-000014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L49" authorId="0" shapeId="0" xr:uid="{00000000-0006-0000-0000-00001E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One bundled with initial order (OTC charged)</t>
        </r>
      </text>
    </comment>
    <comment ref="Y51" authorId="0" shapeId="0" xr:uid="{00000000-0006-0000-0000-000015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L51" authorId="0" shapeId="0" xr:uid="{00000000-0006-0000-0000-00001F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One bundled with initial order (OTC charged)</t>
        </r>
      </text>
    </comment>
    <comment ref="Y52" authorId="0" shapeId="0" xr:uid="{00000000-0006-0000-0000-000016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Q52" authorId="0" shapeId="0" xr:uid="{00000000-0006-0000-0000-00002B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B53" authorId="0" shapeId="0" xr:uid="{00000000-0006-0000-0000-000001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No Additional Power capacity charges. Ensure Capacity usage within limit</t>
        </r>
      </text>
    </comment>
    <comment ref="Y53" authorId="0" shapeId="0" xr:uid="{00000000-0006-0000-0000-000017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Y55" authorId="0" shapeId="0" xr:uid="{00000000-0006-0000-0000-000018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Q61" authorId="0" shapeId="0" xr:uid="{00000000-0006-0000-0000-00002C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AQ67" authorId="0" shapeId="0" xr:uid="{00000000-0006-0000-0000-00002D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AWS Cross connect &amp; CAT-6 ross connect</t>
        </r>
      </text>
    </comment>
    <comment ref="AQ68" authorId="0" shapeId="0" xr:uid="{00000000-0006-0000-0000-00002E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AWS Cross connect &amp; CAT-6 ross connect</t>
        </r>
      </text>
    </comment>
    <comment ref="AQ69" authorId="0" shapeId="0" xr:uid="{00000000-0006-0000-0000-00002F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AWS Cross connect &amp; CAT-6 ross connect</t>
        </r>
      </text>
    </comment>
    <comment ref="AQ70" authorId="0" shapeId="0" xr:uid="{00000000-0006-0000-0000-000030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AWS Cross connect &amp; CAT-6 ross connect</t>
        </r>
      </text>
    </comment>
    <comment ref="AQ76" authorId="0" shapeId="0" xr:uid="{00000000-0006-0000-0000-000031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Arial"/>
            <family val="2"/>
            <charset val="1"/>
          </rPr>
          <t>AWS Cross connect &amp; CAT-6 ross connect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1" authorId="0" shapeId="0" xr:uid="{E349F0F8-86FD-412E-8D09-56F5121164AE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Formula added</t>
        </r>
      </text>
    </comment>
    <comment ref="O1" authorId="0" shapeId="0" xr:uid="{31CAA115-4D20-4FF7-BE29-D394DD224A02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Formula</t>
        </r>
      </text>
    </comment>
    <comment ref="V1" authorId="0" shapeId="0" xr:uid="{04AABBA6-501F-4E37-B121-B4102F00FE46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Added by David</t>
        </r>
      </text>
    </comment>
    <comment ref="Z1" authorId="0" shapeId="0" xr:uid="{19751719-AD48-4D8E-A567-3057E873C3ED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Formula</t>
        </r>
      </text>
    </comment>
    <comment ref="AQ2" authorId="0" shapeId="0" xr:uid="{A0727ECA-27D9-4AA1-8C40-02AE19A8DD3F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Backup, Tape Rotation &amp; Cross connect</t>
        </r>
      </text>
    </comment>
    <comment ref="AQ4" authorId="0" shapeId="0" xr:uid="{A5977D15-1CFA-441B-81CF-B936535805EE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connect, Safe Vault &amp; Tape Rotation)</t>
        </r>
      </text>
    </comment>
    <comment ref="AQ5" authorId="0" shapeId="0" xr:uid="{FE205E02-B289-41F4-8ABF-A379A3221092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connect, Safe Vault &amp; Tape Rotation)</t>
        </r>
      </text>
    </comment>
    <comment ref="AT6" authorId="0" shapeId="0" xr:uid="{A7BFC5AA-C7BB-4C88-BC95-B3985CF8C718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Power usage on Monthly Ars</t>
        </r>
      </text>
    </comment>
    <comment ref="AT7" authorId="0" shapeId="0" xr:uid="{57955B23-2F5F-44E8-91C2-150AEBE6DC39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Power usage on Monthly Ars</t>
        </r>
      </text>
    </comment>
    <comment ref="AT8" authorId="0" shapeId="0" xr:uid="{469185D9-017B-4EA5-974D-712320ABD81F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Power usage on Monthly Ars</t>
        </r>
      </text>
    </comment>
    <comment ref="AQ9" authorId="0" shapeId="0" xr:uid="{39472384-313C-4435-B181-55D1A88E5198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Smart Pair of Hands</t>
        </r>
      </text>
    </comment>
    <comment ref="AQ10" authorId="0" shapeId="0" xr:uid="{005E8241-0606-41CE-A5D3-578ACB17069F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connect, SPH, Tape Rotation</t>
        </r>
      </text>
    </comment>
    <comment ref="Y14" authorId="0" shapeId="0" xr:uid="{2CABF14D-29F1-491B-BCB6-EB8E2DBBE083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Q14" authorId="0" shapeId="0" xr:uid="{95669A98-81CE-4E85-8992-586A7C8937C6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Y15" authorId="0" shapeId="0" xr:uid="{67BD3650-03F5-4FC5-8CAE-1AD742197799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Q15" authorId="0" shapeId="0" xr:uid="{E1107228-3C58-4202-ADBC-3DE85F9E6AF3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M16" authorId="0" shapeId="0" xr:uid="{2D97E123-C274-4B19-B90D-9E58A0A242E5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FoC for first year</t>
        </r>
      </text>
    </comment>
    <comment ref="Y16" authorId="0" shapeId="0" xr:uid="{056EDFF7-A5F4-4304-81A7-5805F28C30E7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Q16" authorId="0" shapeId="0" xr:uid="{E8CA7013-CB70-4B08-BA23-74F81EC702BC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K17" authorId="0" shapeId="0" xr:uid="{EDBC5C9E-0FE5-452F-B57B-0166479A43EB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1st Rack FOC for 1st year</t>
        </r>
      </text>
    </comment>
    <comment ref="Y17" authorId="0" shapeId="0" xr:uid="{EE418E73-414B-442E-A741-01D88030D852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Q17" authorId="0" shapeId="0" xr:uid="{62A977CA-F6E6-4FE5-86C2-364852268F39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AQ18" authorId="0" shapeId="0" xr:uid="{4D657C61-F966-4B90-A282-9EB7DE020701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AQ19" authorId="0" shapeId="0" xr:uid="{773868ED-8F31-43AC-9D54-1FAA5FF58C88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M20" authorId="0" shapeId="0" xr:uid="{E8628893-E995-4EF1-9EE0-6641E034EA36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First one year free. From second year onwards 8750 if not used</t>
        </r>
      </text>
    </comment>
    <comment ref="H21" authorId="0" shapeId="0" xr:uid="{EE247007-85BF-46F0-912A-5DA80B0E2CC2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Half Rack space as per PO</t>
        </r>
      </text>
    </comment>
    <comment ref="Y21" authorId="0" shapeId="0" xr:uid="{BDD8192A-0BA2-410E-8E9B-B05AC93E0372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Rate only for 6 months as per PO</t>
        </r>
      </text>
    </comment>
    <comment ref="Y23" authorId="0" shapeId="0" xr:uid="{B58B351B-2DD8-4E9B-B133-8C039904D4F9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L23" authorId="0" shapeId="0" xr:uid="{10F2D165-A650-4E67-8658-63B78A78110F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One bundled with initial order (OTC charged)</t>
        </r>
      </text>
    </comment>
    <comment ref="Y24" authorId="0" shapeId="0" xr:uid="{C0CD776C-04C1-4F5B-9E00-287D62837966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L24" authorId="0" shapeId="0" xr:uid="{34D4BF01-DE0E-42A6-8E13-63ED3D2DC1A1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One bundled with initial order (OTC charged)</t>
        </r>
      </text>
    </comment>
    <comment ref="Y26" authorId="0" shapeId="0" xr:uid="{4B98DD22-4E67-4DE4-BDC1-E8145CA4945E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L26" authorId="0" shapeId="0" xr:uid="{58EEE499-D33E-439E-BFE7-0D98995AC15E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One bundled with initial order (OTC charged)</t>
        </r>
      </text>
    </comment>
    <comment ref="Y27" authorId="0" shapeId="0" xr:uid="{984163DC-A886-4160-A3AD-665C6E2E52E7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L27" authorId="0" shapeId="0" xr:uid="{BA27AB81-81ED-471A-9E24-006A56EE0CA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One bundled with initial order (OTC charged)</t>
        </r>
      </text>
    </comment>
    <comment ref="Y28" authorId="0" shapeId="0" xr:uid="{B0769470-1020-426F-888A-C89CB0D858F6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L28" authorId="0" shapeId="0" xr:uid="{6C6D24B2-C46B-4D72-BAD9-AF47A9B46A3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One bundled with initial order (OTC charged)</t>
        </r>
      </text>
    </comment>
    <comment ref="Y30" authorId="0" shapeId="0" xr:uid="{97588589-C220-4845-B7C4-66031A4009AA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L30" authorId="0" shapeId="0" xr:uid="{FB8A762F-D428-4CE8-B080-A5482113B33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One bundled with initial order (OTC charged)</t>
        </r>
      </text>
    </comment>
    <comment ref="Y31" authorId="0" shapeId="0" xr:uid="{1F2B46D2-6B45-49AD-A2CA-F2BA69B14FBD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Q31" authorId="0" shapeId="0" xr:uid="{C42FC81B-51AB-423A-BDFF-37A26FA04434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B32" authorId="0" shapeId="0" xr:uid="{BBC8EF3F-CD93-4B7C-A4C5-6245BB5CEA92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No Additional Power capacity charges. Ensure Capacity usage within limit</t>
        </r>
      </text>
    </comment>
    <comment ref="Y32" authorId="0" shapeId="0" xr:uid="{31895C22-9E04-49A2-901D-AA1DC8185A3F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Y34" authorId="0" shapeId="0" xr:uid="{0EACA6FD-84C0-4BEC-A124-CD7D623F966C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Q40" authorId="0" shapeId="0" xr:uid="{294099DD-D6F7-49A6-8BB3-0F3980037C74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AQ46" authorId="0" shapeId="0" xr:uid="{E355D08A-AF35-4896-A585-455E98B304A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AWS Cross connect &amp; CAT-6 ross connect</t>
        </r>
      </text>
    </comment>
    <comment ref="AQ47" authorId="0" shapeId="0" xr:uid="{97180957-A459-435C-82AA-4E21D0A3A6D4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AWS Cross connect &amp; CAT-6 ross connect</t>
        </r>
      </text>
    </comment>
    <comment ref="AQ48" authorId="0" shapeId="0" xr:uid="{593F1E89-D69B-4CDE-B1A9-A87A28F25593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AWS Cross connect &amp; CAT-6 ross connect</t>
        </r>
      </text>
    </comment>
    <comment ref="AQ49" authorId="0" shapeId="0" xr:uid="{281F1D99-3891-40F5-8413-5686ABC14914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AWS Cross connect &amp; CAT-6 ross connect</t>
        </r>
      </text>
    </comment>
    <comment ref="AQ55" authorId="0" shapeId="0" xr:uid="{619662D3-6996-43F3-A145-2248F8ABE156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Arial"/>
            <family val="2"/>
            <charset val="1"/>
          </rPr>
          <t>AWS Cross connect &amp; CAT-6 ross connect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O29" authorId="0" shapeId="0" xr:uid="{00000000-0006-0000-0100-000002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Formula</t>
        </r>
      </text>
    </comment>
    <comment ref="V29" authorId="0" shapeId="0" xr:uid="{00000000-0006-0000-0100-000006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Added by David</t>
        </r>
      </text>
    </comment>
    <comment ref="Z29" authorId="0" shapeId="0" xr:uid="{00000000-0006-0000-0100-000007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Formula</t>
        </r>
      </text>
    </comment>
    <comment ref="Q34" authorId="0" shapeId="0" xr:uid="{00000000-0006-0000-0100-000003000000}">
      <text>
        <r>
          <rPr>
            <sz val="10"/>
            <rFont val="Arial"/>
            <family val="2"/>
          </rPr>
          <t xml:space="preserve">
T2 L4 :- 1600 Kw
T2 L3:- 120 Kw
</t>
        </r>
      </text>
    </comment>
    <comment ref="Q35" authorId="0" shapeId="0" xr:uid="{00000000-0006-0000-0100-000004000000}">
      <text>
        <r>
          <rPr>
            <sz val="10"/>
            <rFont val="Arial"/>
            <family val="2"/>
          </rPr>
          <t xml:space="preserve">
T2 L5 :- 1600 Kw
T2 L3:- 80 Kw</t>
        </r>
      </text>
    </comment>
    <comment ref="Q36" authorId="0" shapeId="0" xr:uid="{00000000-0006-0000-0100-000005000000}">
      <text>
        <r>
          <rPr>
            <sz val="10"/>
            <rFont val="Arial"/>
            <family val="2"/>
          </rPr>
          <t xml:space="preserve">
T2 L6 :- 1600 Kw
T2 L3:- 200 Kw</t>
        </r>
      </text>
    </comment>
  </commentList>
</comments>
</file>

<file path=xl/sharedStrings.xml><?xml version="1.0" encoding="utf-8"?>
<sst xmlns="http://schemas.openxmlformats.org/spreadsheetml/2006/main" count="1567" uniqueCount="255">
  <si>
    <t>Power Usage (All in KW)</t>
  </si>
  <si>
    <t>Maximum Usable Capacity</t>
  </si>
  <si>
    <t>Current utilization</t>
  </si>
  <si>
    <t>Committed (Based on Confirmed orders)</t>
  </si>
  <si>
    <t>Total</t>
  </si>
  <si>
    <t>Balance</t>
  </si>
  <si>
    <t>Target Revenue Thresholds</t>
  </si>
  <si>
    <t>Target Power Revenue Margin (Bundled)</t>
  </si>
  <si>
    <t>Target Power Revenue Margin (Metered)</t>
  </si>
  <si>
    <t>Raw Power (Genset &amp; Transformer &amp; Demand) - KW</t>
  </si>
  <si>
    <t>Product DOA</t>
  </si>
  <si>
    <t>UPS Capacity (IDC Output of UPS) L2+L1+L6+T2 L7</t>
  </si>
  <si>
    <t>From</t>
  </si>
  <si>
    <t>To</t>
  </si>
  <si>
    <t>UPS Capacity (IDC Output of UPS) L4</t>
  </si>
  <si>
    <t>Far Above</t>
  </si>
  <si>
    <t>Above</t>
  </si>
  <si>
    <t>UPS Capacity (IDC Output of UPS) L5</t>
  </si>
  <si>
    <t>Total Load</t>
  </si>
  <si>
    <t>UPS Capacity (IDC Output of UPS) L3</t>
  </si>
  <si>
    <t>Within</t>
  </si>
  <si>
    <t>Total Cosumed for subscribed customers</t>
  </si>
  <si>
    <t>Other loads (Aircon/Losses/OALAN)</t>
  </si>
  <si>
    <t>Far Below</t>
  </si>
  <si>
    <t>Total rated power provisioned for rated customers</t>
  </si>
  <si>
    <t>Space at L2-POD-A in Sq. Ft</t>
  </si>
  <si>
    <t>Rated to Subscribed ratio</t>
  </si>
  <si>
    <t>Space at L2-POD-B in Sq. Ft</t>
  </si>
  <si>
    <t>Space at L1 Server Hall in Sq. Ft</t>
  </si>
  <si>
    <t>Space at L6 Server Hall in Sq. Ft</t>
  </si>
  <si>
    <t xml:space="preserve"> </t>
  </si>
  <si>
    <t>Space at L4 Server Hall in Sq. Ft</t>
  </si>
  <si>
    <t>Space at L5 Server Hall in Sq. Ft</t>
  </si>
  <si>
    <t>Space at L3 Server Hall in Sq. Ft</t>
  </si>
  <si>
    <t>Shared Racks in L2-POD-A Nos</t>
  </si>
  <si>
    <t>Shared Racks in L2-POD-B Nos</t>
  </si>
  <si>
    <t>Shared Racks in L1-POD-Nos</t>
  </si>
  <si>
    <t>Shared Racks in L6-POD-Nos</t>
  </si>
  <si>
    <t xml:space="preserve">Divisification </t>
  </si>
  <si>
    <t>Rated to Consumed</t>
  </si>
  <si>
    <t>Actual PUE</t>
  </si>
  <si>
    <t>Actual Unit Rate:</t>
  </si>
  <si>
    <t>Genset Hr/Mo</t>
  </si>
  <si>
    <t>Billing Model</t>
  </si>
  <si>
    <t>Space</t>
  </si>
  <si>
    <t>Power Capacity</t>
  </si>
  <si>
    <t>Power Usage</t>
  </si>
  <si>
    <t>Seating Space</t>
  </si>
  <si>
    <t>Revenue (Monthly )</t>
  </si>
  <si>
    <t>Contract Information</t>
  </si>
  <si>
    <t>Floor / Module</t>
  </si>
  <si>
    <t>Customer Name</t>
  </si>
  <si>
    <t>Power Subscription Model (Rated/Subscribed)</t>
  </si>
  <si>
    <t>Power Usage Model (Bundled / Metered)</t>
  </si>
  <si>
    <t>Subscription Mode</t>
  </si>
  <si>
    <t>Caged /Uncaged</t>
  </si>
  <si>
    <t>UoM</t>
  </si>
  <si>
    <t>Subscription</t>
  </si>
  <si>
    <t>In Use</t>
  </si>
  <si>
    <t>Yet to be given/</t>
  </si>
  <si>
    <t>Billed</t>
  </si>
  <si>
    <t>Reserved Capacity if any (Non-Billable)</t>
  </si>
  <si>
    <t>Per Unit rate (MRC)</t>
  </si>
  <si>
    <t>ARC</t>
  </si>
  <si>
    <t>Subscription Model</t>
  </si>
  <si>
    <t xml:space="preserve">Total Capacity Purchased </t>
  </si>
  <si>
    <t>Capacity in Use</t>
  </si>
  <si>
    <t>Capacity to be given</t>
  </si>
  <si>
    <t>Reserved Capacity        if any</t>
  </si>
  <si>
    <t>Subscribed Capacity to be given in KW</t>
  </si>
  <si>
    <t>"Allocated" Capacity in KW</t>
  </si>
  <si>
    <t>Usage in KW</t>
  </si>
  <si>
    <t>Billable Additional Capacity</t>
  </si>
  <si>
    <t>Additional Capacity Charges (MRC)</t>
  </si>
  <si>
    <t>Usage Model</t>
  </si>
  <si>
    <t>Multiplier</t>
  </si>
  <si>
    <t>Uit rate Model (Fixed/Variable)</t>
  </si>
  <si>
    <t>Unit Rate (per KW-HR)</t>
  </si>
  <si>
    <t>No Of Units 
(KW-HR/ Month</t>
  </si>
  <si>
    <t>Yet to be given</t>
  </si>
  <si>
    <t>Per Unit rate</t>
  </si>
  <si>
    <t>Space revenue including capacity</t>
  </si>
  <si>
    <t>Additional Capacity Revenue</t>
  </si>
  <si>
    <t>Power Usage revenue</t>
  </si>
  <si>
    <t>Any Other Items</t>
  </si>
  <si>
    <t>Total Revenue (MRC)</t>
  </si>
  <si>
    <t>Billing Frequency</t>
  </si>
  <si>
    <t>Sales Order ref No</t>
  </si>
  <si>
    <t>Contract Start Date</t>
  </si>
  <si>
    <t>Term of Contract (No of Years)</t>
  </si>
  <si>
    <t>Current Exiry Date</t>
  </si>
  <si>
    <t>Remarks if any</t>
  </si>
  <si>
    <t xml:space="preserve">Avg revenue /Rack /Month </t>
  </si>
  <si>
    <t xml:space="preserve">Avg revenue /KW /Month </t>
  </si>
  <si>
    <t>Net Revenue / Resvd KW</t>
  </si>
  <si>
    <t>Proj Net Revenue / Resvd KW</t>
  </si>
  <si>
    <t>Sold Net Revenue / Resvd KW</t>
  </si>
  <si>
    <t>Total Rev (Cap + Power)</t>
  </si>
  <si>
    <t>Capacity Revenue</t>
  </si>
  <si>
    <t>Power Revenue</t>
  </si>
  <si>
    <t>Cost of Power @ Act Usage</t>
  </si>
  <si>
    <t>Proj Cost of Power @ Reserv Cap</t>
  </si>
  <si>
    <t>Cost of Power @ Design Use</t>
  </si>
  <si>
    <t>Net Rev Total</t>
  </si>
  <si>
    <t>Target Capacity Revenue</t>
  </si>
  <si>
    <t>Capacity Surplus/Leakage</t>
  </si>
  <si>
    <t>Power Surplus/Leakage</t>
  </si>
  <si>
    <t>Contribution to Target</t>
  </si>
  <si>
    <t>KW</t>
  </si>
  <si>
    <t>Total Surplus/Leakage</t>
  </si>
  <si>
    <t>Power Surplus/Leakage / KW</t>
  </si>
  <si>
    <t>Capacity Surplus/Leakage / KW</t>
  </si>
  <si>
    <t>Total Surplus/Leakage / KW</t>
  </si>
  <si>
    <t>L2/POD B</t>
  </si>
  <si>
    <t>BASSEIN CATHOLIC CO.OP.BANK LTD</t>
  </si>
  <si>
    <t>Subscribed</t>
  </si>
  <si>
    <t>Bundled</t>
  </si>
  <si>
    <t>Rack</t>
  </si>
  <si>
    <t>Uncaged</t>
  </si>
  <si>
    <t>Qtrly Adv</t>
  </si>
  <si>
    <t>721002416, 731002043, 731002377</t>
  </si>
  <si>
    <t>Including Managed services</t>
  </si>
  <si>
    <t>L2/POD A</t>
  </si>
  <si>
    <t>SITA SC INDIAN BRANCH</t>
  </si>
  <si>
    <t>Rated</t>
  </si>
  <si>
    <t>KVA</t>
  </si>
  <si>
    <t>AVENUE E-COMMERCE LTD.</t>
  </si>
  <si>
    <t>721002589, 721003934, 731002187, 711064456</t>
  </si>
  <si>
    <t>PRAMERICA LIFE INSURANCE COMPANY LTD</t>
  </si>
  <si>
    <t>STATE BANK OF INDIA TECH OPERATIONS</t>
  </si>
  <si>
    <t>Metered</t>
  </si>
  <si>
    <t>Caged</t>
  </si>
  <si>
    <t>Variable</t>
  </si>
  <si>
    <t>No of Seats</t>
  </si>
  <si>
    <t>Qtry Ars</t>
  </si>
  <si>
    <t>721001751, 721003449, 721003450, 721003451, 721004566</t>
  </si>
  <si>
    <t>L1/POD</t>
  </si>
  <si>
    <t>721003444, 721003889</t>
  </si>
  <si>
    <t>L6/POD</t>
  </si>
  <si>
    <t>THE SARASWAT CO-OP BANK LTD</t>
  </si>
  <si>
    <t>721002684, 721003151</t>
  </si>
  <si>
    <t>Citizen Credit CO-OP Bank Ltd.</t>
  </si>
  <si>
    <t>721006178, 711136454, 731004513</t>
  </si>
  <si>
    <t>Sify CLOUD</t>
  </si>
  <si>
    <t>UPL Ltd</t>
  </si>
  <si>
    <t>Fixed</t>
  </si>
  <si>
    <t>Renewal with consumed Power</t>
  </si>
  <si>
    <t>Gr MMR-A</t>
  </si>
  <si>
    <t>Vodafone</t>
  </si>
  <si>
    <t>721002789, 721004360</t>
  </si>
  <si>
    <t>Both the orders needs to be clubbed during renewal</t>
  </si>
  <si>
    <t>T-2 Gr MMR-A</t>
  </si>
  <si>
    <t>121000391, 121000000</t>
  </si>
  <si>
    <t>Bharti Airtel</t>
  </si>
  <si>
    <t>FOC for 1 year</t>
  </si>
  <si>
    <t>Tata communication</t>
  </si>
  <si>
    <t>721003291, 721003775</t>
  </si>
  <si>
    <t>1st Rack FOC</t>
  </si>
  <si>
    <t>Gr MMR-B</t>
  </si>
  <si>
    <t>RELIANCE COMMUNICATIONS LTD.</t>
  </si>
  <si>
    <t>PO till 31-Mar-2017</t>
  </si>
  <si>
    <t>RELIANCE JIO INFOCOMM LIMITED</t>
  </si>
  <si>
    <t>HOME CREDIT INDIA FINANCE PVT.LTD</t>
  </si>
  <si>
    <t>NU Vista (Emami Cement Ltd)</t>
  </si>
  <si>
    <t>U space</t>
  </si>
  <si>
    <t>Greenply Industries Ltd</t>
  </si>
  <si>
    <t>121000268, 121000174</t>
  </si>
  <si>
    <t>One97 Communication (Paytm)</t>
  </si>
  <si>
    <t>Monthly Ars</t>
  </si>
  <si>
    <t>721003052, 721003964, 721004223</t>
  </si>
  <si>
    <t>Order for 40 &amp; and one additional seating</t>
  </si>
  <si>
    <t>PAYTM PAYMENTS BANK LTD</t>
  </si>
  <si>
    <t>Ownership Change</t>
  </si>
  <si>
    <t>SPH for FOC</t>
  </si>
  <si>
    <t>LUX INDUSTRIES LTD</t>
  </si>
  <si>
    <t>ECOM EXPRESS PVT LTD</t>
  </si>
  <si>
    <t>THE ORIENTAL INSURANCE CO LTD</t>
  </si>
  <si>
    <t>NETSKOPE INC</t>
  </si>
  <si>
    <t>AP MAHESH CO-OP URBAN BANK LIMITED</t>
  </si>
  <si>
    <t>CHINA TELECOM INDIA PVT LTD</t>
  </si>
  <si>
    <t>The Vishweshwar Sahakari Bank Ltd</t>
  </si>
  <si>
    <t>Polestar Consulting</t>
  </si>
  <si>
    <t>STATE BANK OF INDIA- NETWORK DEPARTMENT</t>
  </si>
  <si>
    <t>Racks for BSNL</t>
  </si>
  <si>
    <t>TIMESOFMONEY PVT.LTD. (UNIMONEY)</t>
  </si>
  <si>
    <t>721005069, 731003658, 711107213</t>
  </si>
  <si>
    <t>managed servceis &amp; Bandwidth</t>
  </si>
  <si>
    <t>NAVI Technologies (Earlier DHFL)</t>
  </si>
  <si>
    <t>managed servceis</t>
  </si>
  <si>
    <t>Microscan Infocommtech Pvt Ltd.</t>
  </si>
  <si>
    <t>Monthly Adv</t>
  </si>
  <si>
    <t>EIT SERVICES INDIA PVT (IPPB)</t>
  </si>
  <si>
    <t>-</t>
  </si>
  <si>
    <t>721006515 &amp; 721006516</t>
  </si>
  <si>
    <t>New India Assurance Co. Ltd.</t>
  </si>
  <si>
    <t>TATA SIA AIRLINES LTD</t>
  </si>
  <si>
    <t>IFCI Ltd</t>
  </si>
  <si>
    <t>721006056, 731004420</t>
  </si>
  <si>
    <t>RPH for FOC</t>
  </si>
  <si>
    <t>INFRASOFT TECHNOLOGIES LIMITIED</t>
  </si>
  <si>
    <t>Managed services</t>
  </si>
  <si>
    <t>ADP Private Limited</t>
  </si>
  <si>
    <t>721005373 &amp; 721005414</t>
  </si>
  <si>
    <t>THE TATA POWER COMPANY LIMITED</t>
  </si>
  <si>
    <t>721006087 &amp; 721006631</t>
  </si>
  <si>
    <t xml:space="preserve">L6 POD </t>
  </si>
  <si>
    <t>ZENLAYER INC</t>
  </si>
  <si>
    <t>SBI-General Insurance Company Ltd</t>
  </si>
  <si>
    <t>No of Swats</t>
  </si>
  <si>
    <t>HARMAN INTERNATIONAL INDIA PVT LTD</t>
  </si>
  <si>
    <t>721006066, 721006000</t>
  </si>
  <si>
    <t xml:space="preserve">L1/POD </t>
  </si>
  <si>
    <t>FINVASIA</t>
  </si>
  <si>
    <t>No of Racks</t>
  </si>
  <si>
    <t>MANNAPURAM</t>
  </si>
  <si>
    <t>DECIX</t>
  </si>
  <si>
    <t>Telstra</t>
  </si>
  <si>
    <t>MORE RETAIL LTD</t>
  </si>
  <si>
    <t>EXTREM</t>
  </si>
  <si>
    <t>PHONON</t>
  </si>
  <si>
    <t>NETFLIX</t>
  </si>
  <si>
    <t>E2S</t>
  </si>
  <si>
    <t>RKSV</t>
  </si>
  <si>
    <t>Ishan</t>
  </si>
  <si>
    <t>PSB(PUNJAB &amp; SIND BANK)</t>
  </si>
  <si>
    <t>T1L1 TC Room</t>
  </si>
  <si>
    <t xml:space="preserve">PIONEER ELABS LIMITED </t>
  </si>
  <si>
    <t>NATIONAL STOCK EXCHANGE OF INDIA LIMITED</t>
  </si>
  <si>
    <t>RUPEESEED TECHNOLOGY</t>
  </si>
  <si>
    <t xml:space="preserve">L6/POD </t>
  </si>
  <si>
    <t>UPS Capacity (IDC Output of UPS) L1</t>
  </si>
  <si>
    <t>UPS Capacity (IDC Output of UPS) L2</t>
  </si>
  <si>
    <t>UPS Capacity (IDC Output of UPS) L6</t>
  </si>
  <si>
    <t>UPS Capacity (IDC Output of UPS) L7</t>
  </si>
  <si>
    <t>Space at L2 Server Hall in Sq. Ft</t>
  </si>
  <si>
    <t>Space at L7 Server Hall in Sq. Ft</t>
  </si>
  <si>
    <t>Shared Racks in L2-POD-Nos</t>
  </si>
  <si>
    <t>Shared Racks in L3-POD-Nos</t>
  </si>
  <si>
    <t>Shared Racks in L4-POD-Nos</t>
  </si>
  <si>
    <t>Shared Racks in L5-POD-Nos</t>
  </si>
  <si>
    <t>Shared Racks in L7-POD-Nos</t>
  </si>
  <si>
    <t>T2 L1</t>
  </si>
  <si>
    <t>Bom 01</t>
  </si>
  <si>
    <t>T2 L2</t>
  </si>
  <si>
    <t>T2 L3</t>
  </si>
  <si>
    <t>SBI</t>
  </si>
  <si>
    <t>L3 HDFC</t>
  </si>
  <si>
    <t>T2 L4</t>
  </si>
  <si>
    <t>Bom 52</t>
  </si>
  <si>
    <t>T2 L5</t>
  </si>
  <si>
    <t>T2 L6</t>
  </si>
  <si>
    <t xml:space="preserve">T2 L7 </t>
  </si>
  <si>
    <t>ADYEN</t>
  </si>
  <si>
    <t>FaceBook</t>
  </si>
  <si>
    <t>L7 HDFC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</si>
</sst>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_ * #,##0_ ;_ * \-#,##0_ ;_ * &quot;-&quot;_ ;_ @_ "/>
    <numFmt numFmtId="165" formatCode="_ * #,##0.00_ ;_ * \-#,##0.00_ ;_ * &quot;-&quot;??_ ;_ @_ "/>
    <numFmt numFmtId="166" formatCode="_(&quot;$&quot;* #,##0_);_(&quot;$&quot;* \(#,##0\);_(&quot;$&quot;* &quot;-&quot;_);_(@_)"/>
    <numFmt numFmtId="167" formatCode="_(&quot;$&quot;* #,##0.00_);_(&quot;$&quot;* \(#,##0.00\);_(&quot;$&quot;* &quot;-&quot;??_);_(@_)"/>
    <numFmt numFmtId="168" formatCode="_(* #,##0.00_);_(* \(#,##0.00\);_(* \-??_);_(@_)"/>
    <numFmt numFmtId="169" formatCode="0.00_);[Red]\(0.00\)"/>
    <numFmt numFmtId="170" formatCode="_(* #,##0_);_(* \(#,##0\);_(* \-??_);_(@_)"/>
    <numFmt numFmtId="171" formatCode="_ * #,##0.00_ ;_ * \-#,##0.00_ ;_ * \-??_ ;_ @_ "/>
    <numFmt numFmtId="172" formatCode="_ [$₹-4009]\ * #,##0.00_ ;_ [$₹-4009]\ * \-#,##0.00_ ;_ [$₹-4009]\ * \-??_ ;_ @_ "/>
    <numFmt numFmtId="173" formatCode="0_);[Red]\(0\)"/>
    <numFmt numFmtId="174" formatCode="_ [$₹-4009]\ * #,##0_ ;_ [$₹-4009]\ * \-#,##0_ ;_ [$₹-4009]\ * \-??_ ;_ @_ "/>
    <numFmt numFmtId="175" formatCode="[$-409]0.00"/>
    <numFmt numFmtId="176" formatCode="mm/yy"/>
    <numFmt numFmtId="177" formatCode="[$-409]0"/>
    <numFmt numFmtId="178" formatCode="[$₹-4009]\ #,##0\ ;[$₹-4009]&quot; -&quot;#,##0\ ;[$₹-4009]&quot; -&quot;#\ ;@\ "/>
    <numFmt numFmtId="179" formatCode="#,##0.00\ ;&quot; (&quot;#,##0.00\);&quot; -&quot;#\ ;@\ "/>
    <numFmt numFmtId="180" formatCode="[$₹-4009]\ #,##0.00\ ;[$₹-4009]&quot; -&quot;#,##0.00\ ;[$₹-4009]&quot; -&quot;#\ ;@\ "/>
    <numFmt numFmtId="181" formatCode="#,##0\ ;&quot; (&quot;#,##0\);&quot; -&quot;#\ ;@\ "/>
    <numFmt numFmtId="182" formatCode="[$-409]General"/>
    <numFmt numFmtId="183" formatCode="[$-409]mmm\-yy"/>
    <numFmt numFmtId="184" formatCode="_ * #,##0_ ;_ * \-#,##0_ ;_ * \-??_ ;_ @_ "/>
    <numFmt numFmtId="185" formatCode="_(* #,##0_);_(* \(#,##0\);_(* &quot;-&quot;??_);_(@_)"/>
    <numFmt numFmtId="186" formatCode="0.0"/>
  </numFmts>
  <fonts count="82">
    <font>
      <sz val="10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color rgb="FFFFFFFF"/>
      <name val="Calibri"/>
      <family val="2"/>
      <charset val="1"/>
    </font>
    <font>
      <sz val="10"/>
      <color rgb="FF800080"/>
      <name val="Calibri"/>
      <family val="2"/>
      <charset val="1"/>
    </font>
    <font>
      <b/>
      <sz val="10"/>
      <color rgb="FFFF9900"/>
      <name val="Calibri"/>
      <family val="2"/>
      <charset val="1"/>
    </font>
    <font>
      <b/>
      <sz val="10"/>
      <color rgb="FFFFFFFF"/>
      <name val="Calibri"/>
      <family val="2"/>
      <charset val="1"/>
    </font>
    <font>
      <i/>
      <sz val="10"/>
      <color rgb="FF808080"/>
      <name val="Calibri"/>
      <family val="2"/>
      <charset val="1"/>
    </font>
    <font>
      <sz val="10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u/>
      <sz val="11"/>
      <color rgb="FF0000FF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color rgb="FF333399"/>
      <name val="Calibri"/>
      <family val="2"/>
      <charset val="1"/>
    </font>
    <font>
      <sz val="10"/>
      <color rgb="FFFF9900"/>
      <name val="Calibri"/>
      <family val="2"/>
      <charset val="1"/>
    </font>
    <font>
      <sz val="10"/>
      <color rgb="FF993300"/>
      <name val="Calibri"/>
      <family val="2"/>
      <charset val="1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/>
      <sz val="10"/>
      <color rgb="FF333333"/>
      <name val="Calibri"/>
      <family val="2"/>
      <charset val="1"/>
    </font>
    <font>
      <b/>
      <sz val="18"/>
      <color rgb="FF003366"/>
      <name val="Cambria"/>
      <family val="2"/>
      <charset val="1"/>
    </font>
    <font>
      <b/>
      <sz val="10"/>
      <color rgb="FF000000"/>
      <name val="Calibri"/>
      <family val="2"/>
      <charset val="1"/>
    </font>
    <font>
      <sz val="10"/>
      <color rgb="FFFF0000"/>
      <name val="Calibri"/>
      <family val="2"/>
      <charset val="1"/>
    </font>
    <font>
      <sz val="8"/>
      <color rgb="FF000000"/>
      <name val="Trebuchet MS"/>
      <family val="2"/>
      <charset val="1"/>
    </font>
    <font>
      <b/>
      <sz val="8"/>
      <color rgb="FF000000"/>
      <name val="Trebuchet MS"/>
      <family val="2"/>
      <charset val="1"/>
    </font>
    <font>
      <sz val="8"/>
      <name val="Calibri"/>
      <family val="2"/>
      <charset val="1"/>
    </font>
    <font>
      <sz val="8"/>
      <name val="Trebuchet MS"/>
      <family val="2"/>
      <charset val="1"/>
    </font>
    <font>
      <b/>
      <sz val="8"/>
      <name val="Trebuchet MS"/>
      <family val="2"/>
      <charset val="1"/>
    </font>
    <font>
      <b/>
      <sz val="8"/>
      <color theme="1" tint="4.9897762993255407E-2"/>
      <name val="Trebuchet MS"/>
      <family val="2"/>
      <charset val="1"/>
    </font>
    <font>
      <sz val="10"/>
      <name val="Calibri"/>
      <family val="2"/>
      <charset val="1"/>
    </font>
    <font>
      <sz val="11"/>
      <color theme="1"/>
      <name val="Arial"/>
      <family val="2"/>
      <charset val="1"/>
    </font>
    <font>
      <sz val="8"/>
      <color theme="1"/>
      <name val="Trebuchet MS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sz val="9"/>
      <color rgb="FF000000"/>
      <name val="Calibri"/>
      <family val="2"/>
    </font>
    <font>
      <sz val="11"/>
      <color rgb="FF000000"/>
      <name val="Calibri"/>
      <family val="2"/>
      <scheme val="minor"/>
    </font>
    <font>
      <sz val="8"/>
      <color rgb="FF000000"/>
      <name val="Trebuchet MS"/>
      <family val="2"/>
    </font>
    <font>
      <b/>
      <sz val="8"/>
      <color theme="1" tint="4.9989318521683403E-2"/>
      <name val="Trebuchet MS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sz val="11"/>
      <color theme="0"/>
      <name val="Calibri"/>
      <family val="2"/>
    </font>
    <font>
      <u/>
      <sz val="11"/>
      <color rgb="FF800080"/>
      <name val="Calibri"/>
      <family val="2"/>
    </font>
    <font>
      <b/>
      <sz val="11"/>
      <color theme="0"/>
      <name val="Calibri"/>
      <family val="2"/>
    </font>
    <font>
      <b/>
      <sz val="13"/>
      <color theme="3"/>
      <name val="Calibri"/>
      <family val="2"/>
    </font>
    <font>
      <sz val="11"/>
      <color rgb="FFFF0000"/>
      <name val="Calibri"/>
      <family val="2"/>
    </font>
    <font>
      <b/>
      <sz val="18"/>
      <color theme="3"/>
      <name val="Cambria"/>
      <family val="1"/>
    </font>
    <font>
      <i/>
      <sz val="11"/>
      <color rgb="FF7F7F7F"/>
      <name val="Calibri"/>
      <family val="2"/>
    </font>
    <font>
      <b/>
      <sz val="15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006100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1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0"/>
      <color indexed="10"/>
      <name val="Arial"/>
      <family val="2"/>
    </font>
    <font>
      <u/>
      <sz val="10"/>
      <color indexed="36"/>
      <name val="Arial"/>
      <family val="2"/>
    </font>
    <font>
      <sz val="11"/>
      <color indexed="17"/>
      <name val="Calibri"/>
      <family val="2"/>
    </font>
    <font>
      <u/>
      <sz val="10"/>
      <color indexed="12"/>
      <name val="Arial"/>
      <family val="2"/>
    </font>
    <font>
      <b/>
      <i/>
      <u val="double"/>
      <sz val="10"/>
      <color indexed="60"/>
      <name val="Arial"/>
      <family val="2"/>
    </font>
    <font>
      <sz val="11"/>
      <color indexed="20"/>
      <name val="Calibri"/>
      <family val="2"/>
    </font>
    <font>
      <b/>
      <sz val="24"/>
      <color indexed="10"/>
      <name val="Symbol"/>
      <family val="1"/>
      <charset val="2"/>
    </font>
    <font>
      <b/>
      <sz val="18"/>
      <color indexed="62"/>
      <name val="Cambria"/>
      <family val="1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45"/>
      <name val="Calibri"/>
      <family val="2"/>
    </font>
    <font>
      <b/>
      <sz val="11"/>
      <color indexed="9"/>
      <name val="Calibri"/>
      <family val="2"/>
    </font>
  </fonts>
  <fills count="125">
    <fill>
      <patternFill patternType="none"/>
    </fill>
    <fill>
      <patternFill patternType="gray125"/>
    </fill>
    <fill>
      <patternFill patternType="solid">
        <fgColor rgb="FFCCCCFF"/>
        <bgColor rgb="FFCCC1DA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DBEEF4"/>
      </patternFill>
    </fill>
    <fill>
      <patternFill patternType="solid">
        <fgColor rgb="FFFFCC99"/>
        <bgColor rgb="FFFAC090"/>
      </patternFill>
    </fill>
    <fill>
      <patternFill patternType="solid">
        <fgColor rgb="FF99CCFF"/>
        <bgColor rgb="FF93CDDD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C000"/>
      </patternFill>
    </fill>
    <fill>
      <patternFill patternType="solid">
        <fgColor rgb="FF0066CC"/>
        <bgColor rgb="FF0070C0"/>
      </patternFill>
    </fill>
    <fill>
      <patternFill patternType="solid">
        <fgColor rgb="FF800080"/>
        <bgColor rgb="FF800000"/>
      </patternFill>
    </fill>
    <fill>
      <patternFill patternType="solid">
        <fgColor rgb="FF33CCCC"/>
        <bgColor rgb="FF558ED5"/>
      </patternFill>
    </fill>
    <fill>
      <patternFill patternType="solid">
        <fgColor rgb="FFFF9900"/>
        <bgColor rgb="FFFFC0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77933C"/>
      </patternFill>
    </fill>
    <fill>
      <patternFill patternType="solid">
        <fgColor rgb="FFFF6600"/>
        <bgColor rgb="FFE46C0A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DEADA"/>
      </patternFill>
    </fill>
    <fill>
      <patternFill patternType="solid">
        <fgColor theme="0"/>
        <bgColor rgb="FFFFFFCC"/>
      </patternFill>
    </fill>
    <fill>
      <patternFill patternType="solid">
        <fgColor theme="2"/>
        <bgColor rgb="FFFDEADA"/>
      </patternFill>
    </fill>
    <fill>
      <patternFill patternType="solid">
        <fgColor theme="0" tint="-0.14999847407452621"/>
        <bgColor rgb="FFD7E4BD"/>
      </patternFill>
    </fill>
    <fill>
      <patternFill patternType="solid">
        <fgColor rgb="FF92D050"/>
        <bgColor rgb="FFC3D69B"/>
      </patternFill>
    </fill>
    <fill>
      <patternFill patternType="solid">
        <fgColor theme="6" tint="0.59987182226020086"/>
        <bgColor rgb="FFD9D9D9"/>
      </patternFill>
    </fill>
    <fill>
      <patternFill patternType="solid">
        <fgColor rgb="FFFFFF00"/>
        <bgColor rgb="FFFFCC00"/>
      </patternFill>
    </fill>
    <fill>
      <patternFill patternType="solid">
        <fgColor theme="8" tint="0.79989013336588644"/>
        <bgColor rgb="FFDCE6F2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9" tint="0.39988402966399123"/>
        <bgColor rgb="FFFFCC99"/>
      </patternFill>
    </fill>
    <fill>
      <patternFill patternType="solid">
        <fgColor theme="6" tint="0.39988402966399123"/>
        <bgColor rgb="FFD7E4BD"/>
      </patternFill>
    </fill>
    <fill>
      <patternFill patternType="solid">
        <fgColor theme="4" tint="0.79989013336588644"/>
        <bgColor rgb="FFDBEEF4"/>
      </patternFill>
    </fill>
    <fill>
      <patternFill patternType="solid">
        <fgColor theme="8" tint="0.39988402966399123"/>
        <bgColor rgb="FF99CCFF"/>
      </patternFill>
    </fill>
    <fill>
      <patternFill patternType="solid">
        <fgColor theme="7" tint="0.59987182226020086"/>
        <bgColor rgb="FFC0C0C0"/>
      </patternFill>
    </fill>
    <fill>
      <patternFill patternType="solid">
        <fgColor theme="6" tint="-0.249977111117893"/>
        <bgColor rgb="FF669900"/>
      </patternFill>
    </fill>
    <fill>
      <patternFill patternType="solid">
        <fgColor theme="3" tint="0.39988402966399123"/>
        <bgColor rgb="FF808080"/>
      </patternFill>
    </fill>
    <fill>
      <patternFill patternType="solid">
        <fgColor rgb="FF0070C0"/>
        <bgColor rgb="FF0066CC"/>
      </patternFill>
    </fill>
    <fill>
      <patternFill patternType="solid">
        <fgColor theme="9" tint="0.79989013336588644"/>
        <bgColor rgb="FFEEECE1"/>
      </patternFill>
    </fill>
    <fill>
      <patternFill patternType="solid">
        <fgColor rgb="FF669900"/>
        <bgColor rgb="FF77933C"/>
      </patternFill>
    </fill>
    <fill>
      <patternFill patternType="solid">
        <fgColor rgb="FFFFC000"/>
        <bgColor rgb="FFFFCC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rgb="FF0066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3" tint="0.39997558519241921"/>
        <bgColor rgb="FF0066FF"/>
      </patternFill>
    </fill>
    <fill>
      <patternFill patternType="solid">
        <fgColor rgb="FFFF0000"/>
        <bgColor rgb="FFFF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92D050"/>
        <bgColor rgb="FF0066FF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</fills>
  <borders count="5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/>
      <bottom style="medium">
        <color theme="4" tint="0.39991454817346722"/>
      </bottom>
      <diagonal/>
    </border>
    <border>
      <left/>
      <right/>
      <top/>
      <bottom style="medium">
        <color theme="4" tint="0.399884029663991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indexed="10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double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ck">
        <color indexed="10"/>
      </right>
      <top style="thick">
        <color indexed="10"/>
      </top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382">
    <xf numFmtId="0" fontId="0" fillId="0" borderId="0"/>
    <xf numFmtId="168" fontId="34" fillId="0" borderId="0" applyBorder="0" applyProtection="0"/>
    <xf numFmtId="9" fontId="34" fillId="0" borderId="0" applyBorder="0" applyProtection="0"/>
    <xf numFmtId="0" fontId="34" fillId="2" borderId="0" applyBorder="0" applyProtection="0"/>
    <xf numFmtId="0" fontId="34" fillId="2" borderId="0" applyBorder="0" applyProtection="0"/>
    <xf numFmtId="0" fontId="34" fillId="2" borderId="0" applyBorder="0" applyProtection="0"/>
    <xf numFmtId="0" fontId="34" fillId="2" borderId="0" applyBorder="0" applyProtection="0"/>
    <xf numFmtId="0" fontId="34" fillId="3" borderId="0" applyBorder="0" applyProtection="0"/>
    <xf numFmtId="0" fontId="34" fillId="3" borderId="0" applyBorder="0" applyProtection="0"/>
    <xf numFmtId="0" fontId="34" fillId="3" borderId="0" applyBorder="0" applyProtection="0"/>
    <xf numFmtId="0" fontId="34" fillId="3" borderId="0" applyBorder="0" applyProtection="0"/>
    <xf numFmtId="0" fontId="34" fillId="4" borderId="0" applyBorder="0" applyProtection="0"/>
    <xf numFmtId="0" fontId="34" fillId="4" borderId="0" applyBorder="0" applyProtection="0"/>
    <xf numFmtId="0" fontId="34" fillId="4" borderId="0" applyBorder="0" applyProtection="0"/>
    <xf numFmtId="0" fontId="34" fillId="4" borderId="0" applyBorder="0" applyProtection="0"/>
    <xf numFmtId="0" fontId="34" fillId="5" borderId="0" applyBorder="0" applyProtection="0"/>
    <xf numFmtId="0" fontId="34" fillId="5" borderId="0" applyBorder="0" applyProtection="0"/>
    <xf numFmtId="0" fontId="34" fillId="5" borderId="0" applyBorder="0" applyProtection="0"/>
    <xf numFmtId="0" fontId="34" fillId="5" borderId="0" applyBorder="0" applyProtection="0"/>
    <xf numFmtId="0" fontId="34" fillId="6" borderId="0" applyBorder="0" applyProtection="0"/>
    <xf numFmtId="0" fontId="34" fillId="6" borderId="0" applyBorder="0" applyProtection="0"/>
    <xf numFmtId="0" fontId="34" fillId="6" borderId="0" applyBorder="0" applyProtection="0"/>
    <xf numFmtId="0" fontId="34" fillId="6" borderId="0" applyBorder="0" applyProtection="0"/>
    <xf numFmtId="0" fontId="34" fillId="7" borderId="0" applyBorder="0" applyProtection="0"/>
    <xf numFmtId="0" fontId="34" fillId="7" borderId="0" applyBorder="0" applyProtection="0"/>
    <xf numFmtId="0" fontId="34" fillId="7" borderId="0" applyBorder="0" applyProtection="0"/>
    <xf numFmtId="0" fontId="34" fillId="7" borderId="0" applyBorder="0" applyProtection="0"/>
    <xf numFmtId="0" fontId="34" fillId="8" borderId="0" applyBorder="0" applyProtection="0"/>
    <xf numFmtId="0" fontId="34" fillId="8" borderId="0" applyBorder="0" applyProtection="0"/>
    <xf numFmtId="0" fontId="34" fillId="8" borderId="0" applyBorder="0" applyProtection="0"/>
    <xf numFmtId="0" fontId="34" fillId="8" borderId="0" applyBorder="0" applyProtection="0"/>
    <xf numFmtId="0" fontId="34" fillId="9" borderId="0" applyBorder="0" applyProtection="0"/>
    <xf numFmtId="0" fontId="34" fillId="9" borderId="0" applyBorder="0" applyProtection="0"/>
    <xf numFmtId="0" fontId="34" fillId="9" borderId="0" applyBorder="0" applyProtection="0"/>
    <xf numFmtId="0" fontId="34" fillId="9" borderId="0" applyBorder="0" applyProtection="0"/>
    <xf numFmtId="0" fontId="34" fillId="10" borderId="0" applyBorder="0" applyProtection="0"/>
    <xf numFmtId="0" fontId="34" fillId="10" borderId="0" applyBorder="0" applyProtection="0"/>
    <xf numFmtId="0" fontId="34" fillId="10" borderId="0" applyBorder="0" applyProtection="0"/>
    <xf numFmtId="0" fontId="34" fillId="10" borderId="0" applyBorder="0" applyProtection="0"/>
    <xf numFmtId="0" fontId="34" fillId="5" borderId="0" applyBorder="0" applyProtection="0"/>
    <xf numFmtId="0" fontId="34" fillId="5" borderId="0" applyBorder="0" applyProtection="0"/>
    <xf numFmtId="0" fontId="34" fillId="5" borderId="0" applyBorder="0" applyProtection="0"/>
    <xf numFmtId="0" fontId="34" fillId="5" borderId="0" applyBorder="0" applyProtection="0"/>
    <xf numFmtId="0" fontId="34" fillId="8" borderId="0" applyBorder="0" applyProtection="0"/>
    <xf numFmtId="0" fontId="34" fillId="8" borderId="0" applyBorder="0" applyProtection="0"/>
    <xf numFmtId="0" fontId="34" fillId="8" borderId="0" applyBorder="0" applyProtection="0"/>
    <xf numFmtId="0" fontId="34" fillId="8" borderId="0" applyBorder="0" applyProtection="0"/>
    <xf numFmtId="0" fontId="34" fillId="11" borderId="0" applyBorder="0" applyProtection="0"/>
    <xf numFmtId="0" fontId="34" fillId="11" borderId="0" applyBorder="0" applyProtection="0"/>
    <xf numFmtId="0" fontId="34" fillId="11" borderId="0" applyBorder="0" applyProtection="0"/>
    <xf numFmtId="0" fontId="34" fillId="11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9" borderId="0" applyBorder="0" applyProtection="0"/>
    <xf numFmtId="0" fontId="2" fillId="9" borderId="0" applyBorder="0" applyProtection="0"/>
    <xf numFmtId="0" fontId="2" fillId="9" borderId="0" applyBorder="0" applyProtection="0"/>
    <xf numFmtId="0" fontId="2" fillId="9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5" borderId="0" applyBorder="0" applyProtection="0"/>
    <xf numFmtId="0" fontId="2" fillId="15" borderId="0" applyBorder="0" applyProtection="0"/>
    <xf numFmtId="0" fontId="2" fillId="15" borderId="0" applyBorder="0" applyProtection="0"/>
    <xf numFmtId="0" fontId="2" fillId="15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7" borderId="0" applyBorder="0" applyProtection="0"/>
    <xf numFmtId="0" fontId="2" fillId="17" borderId="0" applyBorder="0" applyProtection="0"/>
    <xf numFmtId="0" fontId="2" fillId="17" borderId="0" applyBorder="0" applyProtection="0"/>
    <xf numFmtId="0" fontId="2" fillId="17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9" borderId="0" applyBorder="0" applyProtection="0"/>
    <xf numFmtId="0" fontId="2" fillId="19" borderId="0" applyBorder="0" applyProtection="0"/>
    <xf numFmtId="0" fontId="2" fillId="19" borderId="0" applyBorder="0" applyProtection="0"/>
    <xf numFmtId="0" fontId="2" fillId="19" borderId="0" applyBorder="0" applyProtection="0"/>
    <xf numFmtId="0" fontId="3" fillId="3" borderId="0" applyBorder="0" applyProtection="0"/>
    <xf numFmtId="0" fontId="3" fillId="3" borderId="0" applyBorder="0" applyProtection="0"/>
    <xf numFmtId="0" fontId="3" fillId="3" borderId="0" applyBorder="0" applyProtection="0"/>
    <xf numFmtId="0" fontId="3" fillId="3" borderId="0" applyBorder="0" applyProtection="0"/>
    <xf numFmtId="0" fontId="4" fillId="20" borderId="1" applyProtection="0"/>
    <xf numFmtId="0" fontId="4" fillId="20" borderId="1" applyProtection="0"/>
    <xf numFmtId="0" fontId="4" fillId="20" borderId="1" applyProtection="0"/>
    <xf numFmtId="0" fontId="4" fillId="20" borderId="1" applyProtection="0"/>
    <xf numFmtId="0" fontId="4" fillId="20" borderId="1" applyProtection="0"/>
    <xf numFmtId="0" fontId="5" fillId="21" borderId="2" applyProtection="0"/>
    <xf numFmtId="0" fontId="5" fillId="21" borderId="2" applyProtection="0"/>
    <xf numFmtId="0" fontId="5" fillId="21" borderId="2" applyProtection="0"/>
    <xf numFmtId="0" fontId="5" fillId="21" borderId="2" applyProtection="0"/>
    <xf numFmtId="168" fontId="34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7" fillId="4" borderId="0" applyBorder="0" applyProtection="0"/>
    <xf numFmtId="0" fontId="7" fillId="4" borderId="0" applyBorder="0" applyProtection="0"/>
    <xf numFmtId="0" fontId="7" fillId="4" borderId="0" applyBorder="0" applyProtection="0"/>
    <xf numFmtId="0" fontId="7" fillId="4" borderId="0" applyBorder="0" applyProtection="0"/>
    <xf numFmtId="0" fontId="8" fillId="0" borderId="3" applyProtection="0"/>
    <xf numFmtId="0" fontId="8" fillId="0" borderId="3" applyProtection="0"/>
    <xf numFmtId="0" fontId="8" fillId="0" borderId="3" applyProtection="0"/>
    <xf numFmtId="0" fontId="8" fillId="0" borderId="3" applyProtection="0"/>
    <xf numFmtId="0" fontId="9" fillId="0" borderId="4" applyProtection="0"/>
    <xf numFmtId="0" fontId="9" fillId="0" borderId="4" applyProtection="0"/>
    <xf numFmtId="0" fontId="9" fillId="0" borderId="4" applyProtection="0"/>
    <xf numFmtId="0" fontId="9" fillId="0" borderId="4" applyProtection="0"/>
    <xf numFmtId="0" fontId="10" fillId="0" borderId="5" applyProtection="0"/>
    <xf numFmtId="0" fontId="10" fillId="0" borderId="5" applyProtection="0"/>
    <xf numFmtId="0" fontId="10" fillId="0" borderId="5" applyProtection="0"/>
    <xf numFmtId="0" fontId="10" fillId="0" borderId="5" applyProtection="0"/>
    <xf numFmtId="0" fontId="10" fillId="0" borderId="0" applyBorder="0" applyProtection="0"/>
    <xf numFmtId="0" fontId="10" fillId="0" borderId="0" applyBorder="0" applyProtection="0"/>
    <xf numFmtId="0" fontId="10" fillId="0" borderId="0" applyBorder="0" applyProtection="0"/>
    <xf numFmtId="0" fontId="10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2" fillId="0" borderId="0" applyBorder="0" applyProtection="0"/>
    <xf numFmtId="0" fontId="13" fillId="7" borderId="1" applyProtection="0"/>
    <xf numFmtId="0" fontId="13" fillId="7" borderId="1" applyProtection="0"/>
    <xf numFmtId="0" fontId="13" fillId="7" borderId="1" applyProtection="0"/>
    <xf numFmtId="0" fontId="13" fillId="7" borderId="1" applyProtection="0"/>
    <xf numFmtId="0" fontId="13" fillId="7" borderId="1" applyProtection="0"/>
    <xf numFmtId="0" fontId="14" fillId="0" borderId="6" applyProtection="0"/>
    <xf numFmtId="0" fontId="14" fillId="0" borderId="6" applyProtection="0"/>
    <xf numFmtId="0" fontId="14" fillId="0" borderId="6" applyProtection="0"/>
    <xf numFmtId="0" fontId="14" fillId="0" borderId="6" applyProtection="0"/>
    <xf numFmtId="0" fontId="15" fillId="22" borderId="0" applyBorder="0" applyProtection="0"/>
    <xf numFmtId="0" fontId="15" fillId="22" borderId="0" applyBorder="0" applyProtection="0"/>
    <xf numFmtId="0" fontId="15" fillId="22" borderId="0" applyBorder="0" applyProtection="0"/>
    <xf numFmtId="0" fontId="15" fillId="22" borderId="0" applyBorder="0" applyProtection="0"/>
    <xf numFmtId="0" fontId="34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7" fillId="0" borderId="0"/>
    <xf numFmtId="0" fontId="16" fillId="0" borderId="0"/>
    <xf numFmtId="0" fontId="16" fillId="0" borderId="0"/>
    <xf numFmtId="0" fontId="34" fillId="0" borderId="0"/>
    <xf numFmtId="0" fontId="16" fillId="0" borderId="0"/>
    <xf numFmtId="0" fontId="16" fillId="0" borderId="0"/>
    <xf numFmtId="0" fontId="34" fillId="23" borderId="7" applyProtection="0"/>
    <xf numFmtId="0" fontId="34" fillId="23" borderId="7" applyProtection="0"/>
    <xf numFmtId="0" fontId="34" fillId="23" borderId="7" applyProtection="0"/>
    <xf numFmtId="0" fontId="34" fillId="23" borderId="7" applyProtection="0"/>
    <xf numFmtId="0" fontId="34" fillId="23" borderId="7" applyProtection="0"/>
    <xf numFmtId="0" fontId="18" fillId="20" borderId="8" applyProtection="0"/>
    <xf numFmtId="0" fontId="18" fillId="20" borderId="8" applyProtection="0"/>
    <xf numFmtId="0" fontId="18" fillId="20" borderId="8" applyProtection="0"/>
    <xf numFmtId="0" fontId="18" fillId="20" borderId="8" applyProtection="0"/>
    <xf numFmtId="9" fontId="34" fillId="0" borderId="0" applyBorder="0" applyProtection="0"/>
    <xf numFmtId="0" fontId="34" fillId="0" borderId="0"/>
    <xf numFmtId="0" fontId="19" fillId="0" borderId="0" applyBorder="0" applyProtection="0"/>
    <xf numFmtId="0" fontId="19" fillId="0" borderId="0" applyBorder="0" applyProtection="0"/>
    <xf numFmtId="0" fontId="19" fillId="0" borderId="0" applyBorder="0" applyProtection="0"/>
    <xf numFmtId="0" fontId="19" fillId="0" borderId="0" applyBorder="0" applyProtection="0"/>
    <xf numFmtId="0" fontId="20" fillId="0" borderId="9" applyProtection="0"/>
    <xf numFmtId="0" fontId="20" fillId="0" borderId="9" applyProtection="0"/>
    <xf numFmtId="0" fontId="20" fillId="0" borderId="9" applyProtection="0"/>
    <xf numFmtId="0" fontId="20" fillId="0" borderId="9" applyProtection="0"/>
    <xf numFmtId="0" fontId="21" fillId="0" borderId="0" applyBorder="0" applyProtection="0"/>
    <xf numFmtId="0" fontId="21" fillId="0" borderId="0" applyBorder="0" applyProtection="0"/>
    <xf numFmtId="0" fontId="21" fillId="0" borderId="0" applyBorder="0" applyProtection="0"/>
    <xf numFmtId="0" fontId="21" fillId="0" borderId="0" applyBorder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79" fontId="29" fillId="0" borderId="0"/>
    <xf numFmtId="182" fontId="34" fillId="0" borderId="0"/>
    <xf numFmtId="0" fontId="42" fillId="0" borderId="0"/>
    <xf numFmtId="0" fontId="42" fillId="50" borderId="0" applyNumberFormat="0" applyBorder="0" applyAlignment="0" applyProtection="0"/>
    <xf numFmtId="165" fontId="42" fillId="0" borderId="0" applyFont="0" applyFill="0" applyBorder="0" applyAlignment="0" applyProtection="0">
      <alignment vertical="center"/>
    </xf>
    <xf numFmtId="164" fontId="42" fillId="0" borderId="0" applyFont="0" applyFill="0" applyBorder="0" applyAlignment="0" applyProtection="0">
      <alignment vertical="center"/>
    </xf>
    <xf numFmtId="166" fontId="42" fillId="0" borderId="0" applyFont="0" applyFill="0" applyBorder="0" applyAlignment="0" applyProtection="0">
      <alignment vertical="center"/>
    </xf>
    <xf numFmtId="167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center"/>
    </xf>
    <xf numFmtId="0" fontId="44" fillId="51" borderId="0" applyNumberFormat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6" fillId="52" borderId="31" applyNumberFormat="0" applyAlignment="0" applyProtection="0"/>
    <xf numFmtId="0" fontId="47" fillId="0" borderId="27" applyNumberFormat="0" applyFill="0" applyAlignment="0" applyProtection="0"/>
    <xf numFmtId="0" fontId="42" fillId="53" borderId="32" applyNumberFormat="0" applyFont="0" applyAlignment="0" applyProtection="0"/>
    <xf numFmtId="0" fontId="42" fillId="54" borderId="0" applyNumberFormat="0" applyBorder="0" applyAlignment="0" applyProtection="0"/>
    <xf numFmtId="0" fontId="42" fillId="55" borderId="0" applyNumberFormat="0" applyBorder="0" applyAlignment="0" applyProtection="0"/>
    <xf numFmtId="0" fontId="48" fillId="0" borderId="0" applyNumberFormat="0" applyFill="0" applyBorder="0" applyAlignment="0" applyProtection="0"/>
    <xf numFmtId="0" fontId="42" fillId="56" borderId="0" applyNumberFormat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26" applyNumberFormat="0" applyFill="0" applyAlignment="0" applyProtection="0"/>
    <xf numFmtId="0" fontId="52" fillId="0" borderId="34" applyNumberFormat="0" applyFill="0" applyAlignment="0" applyProtection="0"/>
    <xf numFmtId="0" fontId="42" fillId="57" borderId="0" applyNumberFormat="0" applyBorder="0" applyAlignment="0" applyProtection="0"/>
    <xf numFmtId="0" fontId="52" fillId="0" borderId="0" applyNumberFormat="0" applyFill="0" applyBorder="0" applyAlignment="0" applyProtection="0"/>
    <xf numFmtId="0" fontId="53" fillId="58" borderId="28" applyNumberFormat="0" applyAlignment="0" applyProtection="0"/>
    <xf numFmtId="0" fontId="52" fillId="0" borderId="35" applyNumberFormat="0" applyFill="0" applyAlignment="0" applyProtection="0"/>
    <xf numFmtId="0" fontId="42" fillId="59" borderId="0" applyNumberFormat="0" applyBorder="0" applyAlignment="0" applyProtection="0"/>
    <xf numFmtId="0" fontId="44" fillId="60" borderId="0" applyNumberFormat="0" applyBorder="0" applyAlignment="0" applyProtection="0"/>
    <xf numFmtId="0" fontId="54" fillId="61" borderId="0" applyNumberFormat="0" applyBorder="0" applyAlignment="0" applyProtection="0"/>
    <xf numFmtId="0" fontId="55" fillId="62" borderId="29" applyNumberFormat="0" applyAlignment="0" applyProtection="0"/>
    <xf numFmtId="0" fontId="42" fillId="63" borderId="0" applyNumberFormat="0" applyBorder="0" applyAlignment="0" applyProtection="0"/>
    <xf numFmtId="0" fontId="56" fillId="62" borderId="28" applyNumberFormat="0" applyAlignment="0" applyProtection="0"/>
    <xf numFmtId="0" fontId="42" fillId="64" borderId="0" applyNumberFormat="0" applyBorder="0" applyAlignment="0" applyProtection="0"/>
    <xf numFmtId="0" fontId="57" fillId="0" borderId="30" applyNumberFormat="0" applyFill="0" applyAlignment="0" applyProtection="0"/>
    <xf numFmtId="0" fontId="58" fillId="0" borderId="33" applyNumberFormat="0" applyFill="0" applyAlignment="0" applyProtection="0"/>
    <xf numFmtId="0" fontId="44" fillId="65" borderId="0" applyNumberFormat="0" applyBorder="0" applyAlignment="0" applyProtection="0"/>
    <xf numFmtId="0" fontId="59" fillId="66" borderId="0" applyNumberFormat="0" applyBorder="0" applyAlignment="0" applyProtection="0"/>
    <xf numFmtId="0" fontId="60" fillId="67" borderId="0" applyNumberFormat="0" applyBorder="0" applyAlignment="0" applyProtection="0"/>
    <xf numFmtId="0" fontId="44" fillId="68" borderId="0" applyNumberFormat="0" applyBorder="0" applyAlignment="0" applyProtection="0"/>
    <xf numFmtId="0" fontId="42" fillId="69" borderId="0" applyNumberFormat="0" applyBorder="0" applyAlignment="0" applyProtection="0"/>
    <xf numFmtId="0" fontId="44" fillId="70" borderId="0" applyNumberFormat="0" applyBorder="0" applyAlignment="0" applyProtection="0"/>
    <xf numFmtId="0" fontId="44" fillId="71" borderId="0" applyNumberFormat="0" applyBorder="0" applyAlignment="0" applyProtection="0"/>
    <xf numFmtId="0" fontId="42" fillId="72" borderId="0" applyNumberFormat="0" applyBorder="0" applyAlignment="0" applyProtection="0"/>
    <xf numFmtId="0" fontId="42" fillId="56" borderId="0" applyNumberFormat="0" applyBorder="0" applyAlignment="0" applyProtection="0"/>
    <xf numFmtId="0" fontId="42" fillId="73" borderId="0" applyNumberFormat="0" applyBorder="0" applyAlignment="0" applyProtection="0"/>
    <xf numFmtId="0" fontId="49" fillId="0" borderId="0" applyNumberFormat="0" applyFill="0" applyBorder="0" applyAlignment="0" applyProtection="0"/>
    <xf numFmtId="0" fontId="44" fillId="74" borderId="0" applyNumberFormat="0" applyBorder="0" applyAlignment="0" applyProtection="0"/>
    <xf numFmtId="0" fontId="44" fillId="75" borderId="0" applyNumberFormat="0" applyBorder="0" applyAlignment="0" applyProtection="0"/>
    <xf numFmtId="0" fontId="42" fillId="76" borderId="0" applyNumberFormat="0" applyBorder="0" applyAlignment="0" applyProtection="0"/>
    <xf numFmtId="0" fontId="42" fillId="77" borderId="0" applyNumberFormat="0" applyBorder="0" applyAlignment="0" applyProtection="0"/>
    <xf numFmtId="0" fontId="44" fillId="78" borderId="0" applyNumberFormat="0" applyBorder="0" applyAlignment="0" applyProtection="0"/>
    <xf numFmtId="0" fontId="42" fillId="79" borderId="0" applyNumberFormat="0" applyBorder="0" applyAlignment="0" applyProtection="0"/>
    <xf numFmtId="0" fontId="42" fillId="80" borderId="0" applyNumberFormat="0" applyBorder="0" applyAlignment="0" applyProtection="0"/>
    <xf numFmtId="0" fontId="42" fillId="81" borderId="0" applyNumberFormat="0" applyBorder="0" applyAlignment="0" applyProtection="0"/>
    <xf numFmtId="0" fontId="44" fillId="82" borderId="0" applyNumberFormat="0" applyBorder="0" applyAlignment="0" applyProtection="0"/>
    <xf numFmtId="0" fontId="42" fillId="83" borderId="0" applyNumberFormat="0" applyBorder="0" applyAlignment="0" applyProtection="0"/>
    <xf numFmtId="0" fontId="44" fillId="84" borderId="0" applyNumberFormat="0" applyBorder="0" applyAlignment="0" applyProtection="0"/>
    <xf numFmtId="0" fontId="44" fillId="78" borderId="0" applyNumberFormat="0" applyBorder="0" applyAlignment="0" applyProtection="0"/>
    <xf numFmtId="0" fontId="44" fillId="85" borderId="0" applyNumberFormat="0" applyBorder="0" applyAlignment="0" applyProtection="0"/>
    <xf numFmtId="0" fontId="42" fillId="86" borderId="0" applyNumberFormat="0" applyBorder="0" applyAlignment="0" applyProtection="0"/>
    <xf numFmtId="0" fontId="44" fillId="87" borderId="0" applyNumberFormat="0" applyBorder="0" applyAlignment="0" applyProtection="0"/>
    <xf numFmtId="0" fontId="42" fillId="88" borderId="0" applyNumberFormat="0" applyBorder="0" applyAlignment="0" applyProtection="0"/>
    <xf numFmtId="0" fontId="42" fillId="89" borderId="0" applyNumberFormat="0" applyBorder="0" applyAlignment="0" applyProtection="0"/>
    <xf numFmtId="0" fontId="42" fillId="90" borderId="0" applyNumberFormat="0" applyBorder="0" applyAlignment="0" applyProtection="0"/>
    <xf numFmtId="0" fontId="42" fillId="91" borderId="0" applyNumberFormat="0" applyBorder="0" applyAlignment="0" applyProtection="0"/>
    <xf numFmtId="0" fontId="42" fillId="92" borderId="0" applyNumberFormat="0" applyBorder="0" applyAlignment="0" applyProtection="0"/>
    <xf numFmtId="0" fontId="42" fillId="93" borderId="0" applyNumberFormat="0" applyBorder="0" applyAlignment="0" applyProtection="0"/>
    <xf numFmtId="0" fontId="42" fillId="50" borderId="0" applyNumberFormat="0" applyBorder="0" applyAlignment="0" applyProtection="0"/>
    <xf numFmtId="0" fontId="42" fillId="55" borderId="0" applyNumberFormat="0" applyBorder="0" applyAlignment="0" applyProtection="0"/>
    <xf numFmtId="0" fontId="42" fillId="81" borderId="0" applyNumberFormat="0" applyBorder="0" applyAlignment="0" applyProtection="0"/>
    <xf numFmtId="0" fontId="42" fillId="83" borderId="0" applyNumberFormat="0" applyBorder="0" applyAlignment="0" applyProtection="0"/>
    <xf numFmtId="0" fontId="42" fillId="86" borderId="0" applyNumberFormat="0" applyBorder="0" applyAlignment="0" applyProtection="0"/>
    <xf numFmtId="0" fontId="44" fillId="94" borderId="0" applyNumberFormat="0" applyBorder="0" applyAlignment="0" applyProtection="0"/>
    <xf numFmtId="0" fontId="44" fillId="95" borderId="0" applyNumberFormat="0" applyBorder="0" applyAlignment="0" applyProtection="0"/>
    <xf numFmtId="0" fontId="44" fillId="96" borderId="0" applyNumberFormat="0" applyBorder="0" applyAlignment="0" applyProtection="0"/>
    <xf numFmtId="0" fontId="44" fillId="97" borderId="0" applyNumberFormat="0" applyBorder="0" applyAlignment="0" applyProtection="0"/>
    <xf numFmtId="0" fontId="59" fillId="66" borderId="0" applyNumberFormat="0" applyBorder="0" applyAlignment="0" applyProtection="0"/>
    <xf numFmtId="0" fontId="44" fillId="98" borderId="0" applyNumberFormat="0" applyBorder="0" applyAlignment="0" applyProtection="0"/>
    <xf numFmtId="0" fontId="44" fillId="99" borderId="0" applyNumberFormat="0" applyBorder="0" applyAlignment="0" applyProtection="0"/>
    <xf numFmtId="0" fontId="44" fillId="100" borderId="0" applyNumberFormat="0" applyBorder="0" applyAlignment="0" applyProtection="0"/>
    <xf numFmtId="0" fontId="44" fillId="101" borderId="0" applyNumberFormat="0" applyBorder="0" applyAlignment="0" applyProtection="0"/>
    <xf numFmtId="0" fontId="44" fillId="102" borderId="0" applyNumberFormat="0" applyBorder="0" applyAlignment="0" applyProtection="0"/>
    <xf numFmtId="0" fontId="44" fillId="103" borderId="0" applyNumberFormat="0" applyBorder="0" applyAlignment="0" applyProtection="0"/>
    <xf numFmtId="0" fontId="44" fillId="104" borderId="0" applyNumberFormat="0" applyBorder="0" applyAlignment="0" applyProtection="0"/>
    <xf numFmtId="0" fontId="44" fillId="68" borderId="0" applyNumberFormat="0" applyBorder="0" applyAlignment="0" applyProtection="0"/>
    <xf numFmtId="0" fontId="44" fillId="71" borderId="0" applyNumberFormat="0" applyBorder="0" applyAlignment="0" applyProtection="0"/>
    <xf numFmtId="0" fontId="44" fillId="75" borderId="0" applyNumberFormat="0" applyBorder="0" applyAlignment="0" applyProtection="0"/>
    <xf numFmtId="0" fontId="44" fillId="82" borderId="0" applyNumberFormat="0" applyBorder="0" applyAlignment="0" applyProtection="0"/>
    <xf numFmtId="0" fontId="44" fillId="85" borderId="0" applyNumberFormat="0" applyBorder="0" applyAlignment="0" applyProtection="0"/>
    <xf numFmtId="0" fontId="56" fillId="62" borderId="28" applyNumberFormat="0" applyAlignment="0" applyProtection="0"/>
    <xf numFmtId="0" fontId="46" fillId="52" borderId="31" applyNumberFormat="0" applyAlignment="0" applyProtection="0"/>
    <xf numFmtId="0" fontId="50" fillId="0" borderId="0" applyNumberFormat="0" applyFill="0" applyBorder="0" applyAlignment="0" applyProtection="0"/>
    <xf numFmtId="0" fontId="54" fillId="61" borderId="0" applyNumberFormat="0" applyBorder="0" applyAlignment="0" applyProtection="0"/>
    <xf numFmtId="0" fontId="51" fillId="0" borderId="26" applyNumberFormat="0" applyFill="0" applyAlignment="0" applyProtection="0"/>
    <xf numFmtId="0" fontId="47" fillId="0" borderId="27" applyNumberFormat="0" applyFill="0" applyAlignment="0" applyProtection="0"/>
    <xf numFmtId="0" fontId="52" fillId="0" borderId="36" applyNumberFormat="0" applyFill="0" applyAlignment="0" applyProtection="0"/>
    <xf numFmtId="0" fontId="52" fillId="0" borderId="0" applyNumberFormat="0" applyFill="0" applyBorder="0" applyAlignment="0" applyProtection="0"/>
    <xf numFmtId="0" fontId="53" fillId="58" borderId="28" applyNumberFormat="0" applyAlignment="0" applyProtection="0"/>
    <xf numFmtId="0" fontId="57" fillId="0" borderId="30" applyNumberFormat="0" applyFill="0" applyAlignment="0" applyProtection="0"/>
    <xf numFmtId="0" fontId="60" fillId="67" borderId="0" applyNumberFormat="0" applyBorder="0" applyAlignment="0" applyProtection="0"/>
    <xf numFmtId="0" fontId="42" fillId="0" borderId="0"/>
    <xf numFmtId="0" fontId="42" fillId="53" borderId="32" applyNumberFormat="0" applyFont="0" applyAlignment="0" applyProtection="0"/>
    <xf numFmtId="0" fontId="55" fillId="62" borderId="29" applyNumberFormat="0" applyAlignment="0" applyProtection="0"/>
    <xf numFmtId="0" fontId="58" fillId="0" borderId="33" applyNumberFormat="0" applyFill="0" applyAlignment="0" applyProtection="0"/>
    <xf numFmtId="0" fontId="48" fillId="0" borderId="0" applyNumberFormat="0" applyFill="0" applyBorder="0" applyAlignment="0" applyProtection="0"/>
    <xf numFmtId="165" fontId="42" fillId="0" borderId="0" applyFont="0" applyFill="0" applyBorder="0" applyAlignment="0" applyProtection="0">
      <alignment vertical="center"/>
    </xf>
    <xf numFmtId="164" fontId="42" fillId="0" borderId="0" applyFont="0" applyFill="0" applyBorder="0" applyAlignment="0" applyProtection="0">
      <alignment vertical="center"/>
    </xf>
    <xf numFmtId="165" fontId="42" fillId="0" borderId="0" applyFont="0" applyFill="0" applyBorder="0" applyAlignment="0" applyProtection="0">
      <alignment vertical="center"/>
    </xf>
    <xf numFmtId="0" fontId="61" fillId="109" borderId="0" applyNumberFormat="0" applyBorder="0" applyAlignment="0" applyProtection="0"/>
    <xf numFmtId="0" fontId="31" fillId="0" borderId="0"/>
    <xf numFmtId="165" fontId="42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7" fontId="42" fillId="0" borderId="0" applyFont="0" applyFill="0" applyBorder="0" applyAlignment="0" applyProtection="0">
      <alignment vertical="center"/>
    </xf>
    <xf numFmtId="0" fontId="61" fillId="106" borderId="0" applyNumberFormat="0" applyBorder="0" applyAlignment="0" applyProtection="0"/>
    <xf numFmtId="0" fontId="31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31" fillId="120" borderId="0"/>
    <xf numFmtId="165" fontId="1" fillId="0" borderId="0" applyFont="0" applyFill="0" applyBorder="0" applyAlignment="0" applyProtection="0"/>
    <xf numFmtId="0" fontId="66" fillId="0" borderId="39" applyNumberFormat="0" applyFill="0" applyAlignment="0" applyProtection="0"/>
    <xf numFmtId="0" fontId="61" fillId="106" borderId="0" applyNumberFormat="0" applyBorder="0" applyAlignment="0" applyProtection="0"/>
    <xf numFmtId="0" fontId="76" fillId="0" borderId="44" applyNumberFormat="0" applyFill="0" applyAlignment="0" applyProtection="0"/>
    <xf numFmtId="0" fontId="31" fillId="120" borderId="0"/>
    <xf numFmtId="167" fontId="42" fillId="0" borderId="0" applyFont="0" applyFill="0" applyBorder="0" applyAlignment="0" applyProtection="0">
      <alignment vertical="center"/>
    </xf>
    <xf numFmtId="0" fontId="61" fillId="107" borderId="0" applyNumberFormat="0" applyBorder="0" applyAlignment="0" applyProtection="0"/>
    <xf numFmtId="0" fontId="61" fillId="110" borderId="0" applyNumberFormat="0" applyBorder="0" applyAlignment="0" applyProtection="0"/>
    <xf numFmtId="0" fontId="62" fillId="117" borderId="0" applyNumberFormat="0" applyBorder="0" applyAlignment="0" applyProtection="0"/>
    <xf numFmtId="0" fontId="62" fillId="109" borderId="0" applyNumberFormat="0" applyBorder="0" applyAlignment="0" applyProtection="0"/>
    <xf numFmtId="0" fontId="68" fillId="0" borderId="40" applyNumberFormat="0" applyFill="0" applyBorder="0" applyAlignment="0" applyProtection="0"/>
    <xf numFmtId="0" fontId="62" fillId="113" borderId="0" applyNumberFormat="0" applyBorder="0" applyAlignment="0" applyProtection="0"/>
    <xf numFmtId="0" fontId="62" fillId="106" borderId="0" applyNumberFormat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61" fillId="112" borderId="0" applyNumberFormat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1" fillId="105" borderId="0" applyNumberFormat="0" applyBorder="0" applyAlignment="0" applyProtection="0"/>
    <xf numFmtId="0" fontId="31" fillId="107" borderId="42" applyNumberFormat="0" applyFont="0" applyAlignment="0" applyProtection="0"/>
    <xf numFmtId="165" fontId="1" fillId="0" borderId="0" applyFont="0" applyFill="0" applyBorder="0" applyAlignment="0" applyProtection="0"/>
    <xf numFmtId="0" fontId="61" fillId="109" borderId="0" applyNumberFormat="0" applyBorder="0" applyAlignment="0" applyProtection="0"/>
    <xf numFmtId="0" fontId="74" fillId="0" borderId="43" applyNumberFormat="0" applyFont="0" applyFill="0" applyAlignment="0" applyProtection="0">
      <alignment horizontal="centerContinuous"/>
    </xf>
    <xf numFmtId="0" fontId="70" fillId="118" borderId="0" applyNumberFormat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0" fontId="62" fillId="110" borderId="0" applyNumberFormat="0" applyBorder="0" applyAlignment="0" applyProtection="0"/>
    <xf numFmtId="0" fontId="64" fillId="105" borderId="38" applyNumberFormat="0" applyAlignment="0" applyProtection="0"/>
    <xf numFmtId="0" fontId="62" fillId="115" borderId="0" applyNumberFormat="0" applyBorder="0" applyAlignment="0" applyProtection="0"/>
    <xf numFmtId="0" fontId="62" fillId="113" borderId="0" applyNumberFormat="0" applyBorder="0" applyAlignment="0" applyProtection="0"/>
    <xf numFmtId="0" fontId="78" fillId="0" borderId="0" applyNumberFormat="0" applyFill="0" applyBorder="0" applyAlignment="0" applyProtection="0"/>
    <xf numFmtId="0" fontId="31" fillId="0" borderId="48" applyNumberFormat="0" applyFont="0" applyFill="0" applyAlignment="0" applyProtection="0"/>
    <xf numFmtId="0" fontId="31" fillId="107" borderId="42" applyNumberFormat="0" applyFont="0" applyAlignment="0" applyProtection="0"/>
    <xf numFmtId="0" fontId="73" fillId="119" borderId="0" applyNumberFormat="0" applyBorder="0" applyAlignment="0" applyProtection="0"/>
    <xf numFmtId="0" fontId="81" fillId="121" borderId="50" applyNumberFormat="0" applyAlignment="0" applyProtection="0"/>
    <xf numFmtId="0" fontId="78" fillId="0" borderId="46" applyNumberFormat="0" applyFill="0" applyAlignment="0" applyProtection="0"/>
    <xf numFmtId="0" fontId="31" fillId="0" borderId="0"/>
    <xf numFmtId="0" fontId="61" fillId="111" borderId="0" applyNumberFormat="0" applyBorder="0" applyAlignment="0" applyProtection="0"/>
    <xf numFmtId="0" fontId="61" fillId="106" borderId="0" applyNumberFormat="0" applyBorder="0" applyAlignment="0" applyProtection="0"/>
    <xf numFmtId="0" fontId="31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31" fillId="0" borderId="0"/>
    <xf numFmtId="0" fontId="31" fillId="107" borderId="42" applyNumberFormat="0" applyFont="0" applyAlignment="0" applyProtection="0"/>
    <xf numFmtId="0" fontId="77" fillId="0" borderId="45" applyNumberFormat="0" applyFill="0" applyAlignment="0" applyProtection="0"/>
    <xf numFmtId="2" fontId="31" fillId="0" borderId="47" applyNumberFormat="0" applyFill="0" applyBorder="0" applyAlignment="0" applyProtection="0"/>
    <xf numFmtId="0" fontId="79" fillId="0" borderId="49" applyNumberFormat="0" applyFill="0" applyAlignment="0" applyProtection="0"/>
    <xf numFmtId="0" fontId="39" fillId="0" borderId="0" applyNumberFormat="0" applyBorder="0" applyAlignment="0" applyProtection="0"/>
    <xf numFmtId="0" fontId="31" fillId="0" borderId="0"/>
    <xf numFmtId="2" fontId="31" fillId="0" borderId="47" applyNumberFormat="0" applyFill="0" applyBorder="0" applyAlignment="0" applyProtection="0"/>
    <xf numFmtId="0" fontId="62" fillId="113" borderId="0" applyNumberFormat="0" applyBorder="0" applyAlignment="0" applyProtection="0"/>
    <xf numFmtId="0" fontId="65" fillId="106" borderId="38" applyNumberFormat="0" applyAlignment="0" applyProtection="0"/>
    <xf numFmtId="0" fontId="62" fillId="116" borderId="0" applyNumberFormat="0" applyBorder="0" applyAlignment="0" applyProtection="0"/>
    <xf numFmtId="0" fontId="63" fillId="105" borderId="37" applyNumberFormat="0" applyAlignment="0" applyProtection="0"/>
    <xf numFmtId="0" fontId="61" fillId="108" borderId="0" applyNumberFormat="0" applyBorder="0" applyAlignment="0" applyProtection="0"/>
    <xf numFmtId="0" fontId="61" fillId="105" borderId="0" applyNumberFormat="0" applyBorder="0" applyAlignment="0" applyProtection="0"/>
    <xf numFmtId="165" fontId="1" fillId="0" borderId="0" applyFont="0" applyFill="0" applyBorder="0" applyAlignment="0" applyProtection="0"/>
    <xf numFmtId="0" fontId="80" fillId="0" borderId="0" applyNumberFormat="0" applyFill="0" applyBorder="0" applyAlignment="0" applyProtection="0"/>
    <xf numFmtId="0" fontId="62" fillId="114" borderId="0" applyNumberFormat="0" applyBorder="0" applyAlignment="0" applyProtection="0"/>
    <xf numFmtId="165" fontId="42" fillId="0" borderId="0" applyFont="0" applyFill="0" applyBorder="0" applyAlignment="0" applyProtection="0">
      <alignment vertical="center"/>
    </xf>
    <xf numFmtId="0" fontId="62" fillId="113" borderId="0" applyNumberFormat="0" applyBorder="0" applyAlignment="0" applyProtection="0"/>
    <xf numFmtId="0" fontId="62" fillId="111" borderId="0" applyNumberFormat="0" applyBorder="0" applyAlignment="0" applyProtection="0"/>
    <xf numFmtId="0" fontId="75" fillId="0" borderId="0" applyNumberFormat="0" applyFill="0" applyBorder="0" applyAlignment="0" applyProtection="0"/>
    <xf numFmtId="0" fontId="72" fillId="0" borderId="41" applyNumberFormat="0" applyFill="0" applyBorder="0" applyAlignment="0" applyProtection="0"/>
    <xf numFmtId="0" fontId="31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0" fontId="42" fillId="0" borderId="0"/>
  </cellStyleXfs>
  <cellXfs count="347">
    <xf numFmtId="0" fontId="0" fillId="0" borderId="0" xfId="0"/>
    <xf numFmtId="0" fontId="22" fillId="24" borderId="0" xfId="194" applyFont="1" applyFill="1" applyAlignment="1">
      <alignment vertical="center"/>
    </xf>
    <xf numFmtId="0" fontId="22" fillId="24" borderId="0" xfId="194" applyFont="1" applyFill="1" applyAlignment="1">
      <alignment horizontal="center" vertical="center"/>
    </xf>
    <xf numFmtId="169" fontId="22" fillId="24" borderId="0" xfId="194" applyNumberFormat="1" applyFont="1" applyFill="1" applyAlignment="1">
      <alignment vertical="center"/>
    </xf>
    <xf numFmtId="2" fontId="22" fillId="24" borderId="0" xfId="194" applyNumberFormat="1" applyFont="1" applyFill="1" applyAlignment="1">
      <alignment vertical="center"/>
    </xf>
    <xf numFmtId="2" fontId="22" fillId="24" borderId="0" xfId="194" applyNumberFormat="1" applyFont="1" applyFill="1" applyAlignment="1">
      <alignment horizontal="center" vertical="center"/>
    </xf>
    <xf numFmtId="170" fontId="22" fillId="24" borderId="0" xfId="1" applyNumberFormat="1" applyFont="1" applyFill="1" applyBorder="1" applyAlignment="1" applyProtection="1">
      <alignment vertical="center"/>
    </xf>
    <xf numFmtId="0" fontId="22" fillId="24" borderId="0" xfId="194" applyFont="1" applyFill="1" applyAlignment="1">
      <alignment horizontal="left" vertical="center"/>
    </xf>
    <xf numFmtId="0" fontId="23" fillId="24" borderId="10" xfId="195" applyFont="1" applyFill="1" applyBorder="1" applyAlignment="1">
      <alignment horizontal="center" vertical="center"/>
    </xf>
    <xf numFmtId="2" fontId="23" fillId="24" borderId="10" xfId="195" applyNumberFormat="1" applyFont="1" applyFill="1" applyBorder="1" applyAlignment="1">
      <alignment horizontal="center" vertical="center" wrapText="1"/>
    </xf>
    <xf numFmtId="169" fontId="22" fillId="24" borderId="0" xfId="194" applyNumberFormat="1" applyFont="1" applyFill="1" applyAlignment="1">
      <alignment vertical="center" wrapText="1"/>
    </xf>
    <xf numFmtId="2" fontId="22" fillId="24" borderId="0" xfId="194" applyNumberFormat="1" applyFont="1" applyFill="1" applyAlignment="1">
      <alignment vertical="center" wrapText="1"/>
    </xf>
    <xf numFmtId="0" fontId="22" fillId="24" borderId="0" xfId="195" applyFont="1" applyFill="1" applyAlignment="1">
      <alignment vertical="center"/>
    </xf>
    <xf numFmtId="0" fontId="23" fillId="24" borderId="0" xfId="195" applyFont="1" applyFill="1" applyAlignment="1">
      <alignment vertical="center"/>
    </xf>
    <xf numFmtId="170" fontId="23" fillId="24" borderId="0" xfId="1" applyNumberFormat="1" applyFont="1" applyFill="1" applyBorder="1" applyAlignment="1" applyProtection="1">
      <alignment vertical="center"/>
    </xf>
    <xf numFmtId="0" fontId="22" fillId="24" borderId="10" xfId="196" applyFont="1" applyFill="1" applyBorder="1" applyAlignment="1">
      <alignment horizontal="left" vertical="center" wrapText="1"/>
    </xf>
    <xf numFmtId="0" fontId="22" fillId="24" borderId="10" xfId="196" applyFont="1" applyFill="1" applyBorder="1" applyAlignment="1">
      <alignment horizontal="center" vertical="center"/>
    </xf>
    <xf numFmtId="1" fontId="22" fillId="24" borderId="10" xfId="196" applyNumberFormat="1" applyFont="1" applyFill="1" applyBorder="1" applyAlignment="1">
      <alignment horizontal="center" vertical="center"/>
    </xf>
    <xf numFmtId="169" fontId="22" fillId="25" borderId="0" xfId="194" applyNumberFormat="1" applyFont="1" applyFill="1" applyAlignment="1">
      <alignment vertical="center"/>
    </xf>
    <xf numFmtId="9" fontId="22" fillId="26" borderId="0" xfId="2" applyFont="1" applyFill="1" applyBorder="1" applyAlignment="1" applyProtection="1">
      <alignment vertical="center"/>
    </xf>
    <xf numFmtId="9" fontId="22" fillId="26" borderId="0" xfId="195" applyNumberFormat="1" applyFont="1" applyFill="1" applyAlignment="1">
      <alignment vertical="center"/>
    </xf>
    <xf numFmtId="2" fontId="22" fillId="24" borderId="0" xfId="195" applyNumberFormat="1" applyFont="1" applyFill="1" applyAlignment="1">
      <alignment vertical="center"/>
    </xf>
    <xf numFmtId="0" fontId="22" fillId="24" borderId="10" xfId="196" applyFont="1" applyFill="1" applyBorder="1" applyAlignment="1">
      <alignment horizontal="left" vertical="center"/>
    </xf>
    <xf numFmtId="169" fontId="22" fillId="27" borderId="0" xfId="194" applyNumberFormat="1" applyFont="1" applyFill="1" applyAlignment="1">
      <alignment vertical="center"/>
    </xf>
    <xf numFmtId="169" fontId="22" fillId="27" borderId="0" xfId="194" applyNumberFormat="1" applyFont="1" applyFill="1" applyAlignment="1">
      <alignment horizontal="right" vertical="center"/>
    </xf>
    <xf numFmtId="1" fontId="22" fillId="24" borderId="0" xfId="195" applyNumberFormat="1" applyFont="1" applyFill="1" applyAlignment="1">
      <alignment vertical="center"/>
    </xf>
    <xf numFmtId="169" fontId="22" fillId="28" borderId="0" xfId="194" applyNumberFormat="1" applyFont="1" applyFill="1" applyAlignment="1">
      <alignment vertical="center"/>
    </xf>
    <xf numFmtId="169" fontId="22" fillId="29" borderId="0" xfId="194" applyNumberFormat="1" applyFont="1" applyFill="1" applyAlignment="1">
      <alignment vertical="center"/>
    </xf>
    <xf numFmtId="0" fontId="22" fillId="26" borderId="0" xfId="195" applyFont="1" applyFill="1" applyAlignment="1">
      <alignment vertical="center"/>
    </xf>
    <xf numFmtId="169" fontId="22" fillId="17" borderId="0" xfId="194" applyNumberFormat="1" applyFont="1" applyFill="1" applyAlignment="1">
      <alignment vertical="center"/>
    </xf>
    <xf numFmtId="1" fontId="22" fillId="24" borderId="13" xfId="196" applyNumberFormat="1" applyFont="1" applyFill="1" applyBorder="1" applyAlignment="1">
      <alignment horizontal="center" vertical="center"/>
    </xf>
    <xf numFmtId="0" fontId="24" fillId="24" borderId="0" xfId="181" applyFont="1" applyFill="1"/>
    <xf numFmtId="9" fontId="22" fillId="24" borderId="0" xfId="2" applyFont="1" applyFill="1" applyBorder="1" applyAlignment="1" applyProtection="1">
      <alignment vertical="center"/>
    </xf>
    <xf numFmtId="1" fontId="22" fillId="24" borderId="0" xfId="194" applyNumberFormat="1" applyFont="1" applyFill="1" applyAlignment="1">
      <alignment vertical="center"/>
    </xf>
    <xf numFmtId="1" fontId="22" fillId="24" borderId="11" xfId="196" applyNumberFormat="1" applyFont="1" applyFill="1" applyBorder="1" applyAlignment="1">
      <alignment horizontal="center" vertical="center"/>
    </xf>
    <xf numFmtId="0" fontId="22" fillId="24" borderId="12" xfId="196" applyFont="1" applyFill="1" applyBorder="1" applyAlignment="1">
      <alignment horizontal="center" vertical="center"/>
    </xf>
    <xf numFmtId="0" fontId="22" fillId="24" borderId="0" xfId="196" applyFont="1" applyFill="1" applyAlignment="1">
      <alignment horizontal="left" vertical="center"/>
    </xf>
    <xf numFmtId="0" fontId="22" fillId="24" borderId="0" xfId="196" applyFont="1" applyFill="1" applyAlignment="1">
      <alignment horizontal="center" vertical="center"/>
    </xf>
    <xf numFmtId="169" fontId="22" fillId="24" borderId="0" xfId="196" applyNumberFormat="1" applyFont="1" applyFill="1" applyAlignment="1">
      <alignment horizontal="left" vertical="center"/>
    </xf>
    <xf numFmtId="171" fontId="23" fillId="24" borderId="0" xfId="195" applyNumberFormat="1" applyFont="1" applyFill="1" applyAlignment="1">
      <alignment horizontal="center" vertical="center"/>
    </xf>
    <xf numFmtId="0" fontId="25" fillId="24" borderId="0" xfId="195" applyFont="1" applyFill="1" applyAlignment="1">
      <alignment vertical="center"/>
    </xf>
    <xf numFmtId="169" fontId="22" fillId="24" borderId="0" xfId="195" applyNumberFormat="1" applyFont="1" applyFill="1" applyAlignment="1">
      <alignment vertical="center"/>
    </xf>
    <xf numFmtId="2" fontId="22" fillId="24" borderId="0" xfId="195" applyNumberFormat="1" applyFont="1" applyFill="1" applyAlignment="1">
      <alignment horizontal="center" vertical="center"/>
    </xf>
    <xf numFmtId="169" fontId="22" fillId="24" borderId="0" xfId="197" applyNumberFormat="1" applyFont="1" applyFill="1" applyAlignment="1">
      <alignment vertical="center"/>
    </xf>
    <xf numFmtId="2" fontId="22" fillId="24" borderId="0" xfId="197" applyNumberFormat="1" applyFont="1" applyFill="1" applyAlignment="1">
      <alignment horizontal="center" vertical="center"/>
    </xf>
    <xf numFmtId="2" fontId="22" fillId="24" borderId="0" xfId="197" applyNumberFormat="1" applyFont="1" applyFill="1" applyAlignment="1">
      <alignment horizontal="left" vertical="center"/>
    </xf>
    <xf numFmtId="9" fontId="22" fillId="24" borderId="0" xfId="2" applyFont="1" applyFill="1" applyBorder="1" applyAlignment="1" applyProtection="1">
      <alignment horizontal="center" vertical="center"/>
    </xf>
    <xf numFmtId="2" fontId="22" fillId="29" borderId="0" xfId="197" applyNumberFormat="1" applyFont="1" applyFill="1" applyAlignment="1">
      <alignment horizontal="center" vertical="center"/>
    </xf>
    <xf numFmtId="172" fontId="22" fillId="29" borderId="10" xfId="196" applyNumberFormat="1" applyFont="1" applyFill="1" applyBorder="1" applyAlignment="1">
      <alignment horizontal="center" vertical="center"/>
    </xf>
    <xf numFmtId="170" fontId="22" fillId="24" borderId="0" xfId="1" applyNumberFormat="1" applyFont="1" applyFill="1" applyBorder="1" applyAlignment="1" applyProtection="1">
      <alignment horizontal="center" vertical="center"/>
    </xf>
    <xf numFmtId="170" fontId="22" fillId="29" borderId="0" xfId="1" applyNumberFormat="1" applyFont="1" applyFill="1" applyBorder="1" applyAlignment="1" applyProtection="1">
      <alignment horizontal="center" vertical="center"/>
    </xf>
    <xf numFmtId="0" fontId="23" fillId="24" borderId="0" xfId="195" applyFont="1" applyFill="1" applyAlignment="1">
      <alignment horizontal="center" vertical="center"/>
    </xf>
    <xf numFmtId="0" fontId="23" fillId="0" borderId="10" xfId="195" applyFont="1" applyBorder="1" applyAlignment="1">
      <alignment horizontal="center" vertical="center" wrapText="1"/>
    </xf>
    <xf numFmtId="2" fontId="26" fillId="24" borderId="10" xfId="195" applyNumberFormat="1" applyFont="1" applyFill="1" applyBorder="1" applyAlignment="1">
      <alignment horizontal="center" vertical="center" wrapText="1"/>
    </xf>
    <xf numFmtId="0" fontId="23" fillId="24" borderId="10" xfId="195" applyFont="1" applyFill="1" applyBorder="1" applyAlignment="1">
      <alignment horizontal="center" vertical="center" wrapText="1"/>
    </xf>
    <xf numFmtId="169" fontId="23" fillId="24" borderId="10" xfId="195" applyNumberFormat="1" applyFont="1" applyFill="1" applyBorder="1" applyAlignment="1">
      <alignment horizontal="center" vertical="center" wrapText="1"/>
    </xf>
    <xf numFmtId="0" fontId="23" fillId="36" borderId="10" xfId="195" applyFont="1" applyFill="1" applyBorder="1" applyAlignment="1">
      <alignment horizontal="center" vertical="center" wrapText="1"/>
    </xf>
    <xf numFmtId="0" fontId="23" fillId="0" borderId="10" xfId="198" applyFont="1" applyBorder="1" applyAlignment="1">
      <alignment horizontal="center" vertical="center" wrapText="1"/>
    </xf>
    <xf numFmtId="2" fontId="26" fillId="0" borderId="10" xfId="195" applyNumberFormat="1" applyFont="1" applyBorder="1" applyAlignment="1">
      <alignment horizontal="center" vertical="center" wrapText="1"/>
    </xf>
    <xf numFmtId="169" fontId="26" fillId="24" borderId="10" xfId="195" applyNumberFormat="1" applyFont="1" applyFill="1" applyBorder="1" applyAlignment="1">
      <alignment horizontal="center" vertical="center" wrapText="1"/>
    </xf>
    <xf numFmtId="0" fontId="23" fillId="24" borderId="10" xfId="194" applyFont="1" applyFill="1" applyBorder="1" applyAlignment="1">
      <alignment vertical="center"/>
    </xf>
    <xf numFmtId="0" fontId="23" fillId="0" borderId="10" xfId="194" applyFont="1" applyBorder="1" applyAlignment="1">
      <alignment vertical="center" wrapText="1"/>
    </xf>
    <xf numFmtId="0" fontId="23" fillId="24" borderId="10" xfId="194" applyFont="1" applyFill="1" applyBorder="1" applyAlignment="1">
      <alignment vertical="center" wrapText="1"/>
    </xf>
    <xf numFmtId="170" fontId="26" fillId="24" borderId="10" xfId="1" applyNumberFormat="1" applyFont="1" applyFill="1" applyBorder="1" applyAlignment="1" applyProtection="1">
      <alignment horizontal="center" vertical="center" wrapText="1"/>
    </xf>
    <xf numFmtId="170" fontId="26" fillId="0" borderId="10" xfId="1" applyNumberFormat="1" applyFont="1" applyBorder="1" applyAlignment="1" applyProtection="1">
      <alignment horizontal="center" vertical="center" wrapText="1"/>
    </xf>
    <xf numFmtId="0" fontId="23" fillId="36" borderId="10" xfId="194" applyFont="1" applyFill="1" applyBorder="1" applyAlignment="1">
      <alignment vertical="center" wrapText="1"/>
    </xf>
    <xf numFmtId="0" fontId="23" fillId="24" borderId="10" xfId="194" applyFont="1" applyFill="1" applyBorder="1" applyAlignment="1">
      <alignment horizontal="left" vertical="center" wrapText="1"/>
    </xf>
    <xf numFmtId="0" fontId="23" fillId="0" borderId="10" xfId="194" applyFont="1" applyBorder="1" applyAlignment="1">
      <alignment horizontal="left" vertical="center" wrapText="1"/>
    </xf>
    <xf numFmtId="0" fontId="22" fillId="24" borderId="10" xfId="194" applyFont="1" applyFill="1" applyBorder="1" applyAlignment="1">
      <alignment vertical="center" wrapText="1"/>
    </xf>
    <xf numFmtId="0" fontId="22" fillId="24" borderId="10" xfId="194" applyFont="1" applyFill="1" applyBorder="1" applyAlignment="1">
      <alignment vertical="center"/>
    </xf>
    <xf numFmtId="0" fontId="22" fillId="29" borderId="10" xfId="196" applyFont="1" applyFill="1" applyBorder="1" applyAlignment="1">
      <alignment horizontal="center" vertical="center" wrapText="1"/>
    </xf>
    <xf numFmtId="0" fontId="22" fillId="24" borderId="10" xfId="196" applyFont="1" applyFill="1" applyBorder="1" applyAlignment="1">
      <alignment horizontal="center" vertical="center" wrapText="1"/>
    </xf>
    <xf numFmtId="2" fontId="22" fillId="24" borderId="10" xfId="196" applyNumberFormat="1" applyFont="1" applyFill="1" applyBorder="1" applyAlignment="1">
      <alignment horizontal="center" vertical="center" wrapText="1"/>
    </xf>
    <xf numFmtId="174" fontId="22" fillId="24" borderId="10" xfId="196" applyNumberFormat="1" applyFont="1" applyFill="1" applyBorder="1" applyAlignment="1">
      <alignment horizontal="center" vertical="center"/>
    </xf>
    <xf numFmtId="2" fontId="22" fillId="24" borderId="10" xfId="195" applyNumberFormat="1" applyFont="1" applyFill="1" applyBorder="1" applyAlignment="1">
      <alignment horizontal="center" vertical="center"/>
    </xf>
    <xf numFmtId="175" fontId="22" fillId="37" borderId="10" xfId="198" applyNumberFormat="1" applyFont="1" applyFill="1" applyBorder="1" applyAlignment="1">
      <alignment horizontal="center" vertical="center"/>
    </xf>
    <xf numFmtId="169" fontId="22" fillId="24" borderId="10" xfId="196" applyNumberFormat="1" applyFont="1" applyFill="1" applyBorder="1" applyAlignment="1">
      <alignment horizontal="center" vertical="center"/>
    </xf>
    <xf numFmtId="2" fontId="22" fillId="24" borderId="10" xfId="196" applyNumberFormat="1" applyFont="1" applyFill="1" applyBorder="1" applyAlignment="1">
      <alignment horizontal="center" vertical="center"/>
    </xf>
    <xf numFmtId="2" fontId="25" fillId="24" borderId="10" xfId="196" applyNumberFormat="1" applyFont="1" applyFill="1" applyBorder="1" applyAlignment="1">
      <alignment horizontal="center" vertical="center"/>
    </xf>
    <xf numFmtId="175" fontId="22" fillId="38" borderId="10" xfId="198" applyNumberFormat="1" applyFont="1" applyFill="1" applyBorder="1" applyAlignment="1">
      <alignment horizontal="center" vertical="center"/>
    </xf>
    <xf numFmtId="174" fontId="22" fillId="24" borderId="10" xfId="1" applyNumberFormat="1" applyFont="1" applyFill="1" applyBorder="1" applyAlignment="1" applyProtection="1">
      <alignment horizontal="center" vertical="center"/>
    </xf>
    <xf numFmtId="2" fontId="22" fillId="24" borderId="10" xfId="197" applyNumberFormat="1" applyFont="1" applyFill="1" applyBorder="1" applyAlignment="1">
      <alignment horizontal="center" vertical="center"/>
    </xf>
    <xf numFmtId="172" fontId="22" fillId="24" borderId="10" xfId="196" applyNumberFormat="1" applyFont="1" applyFill="1" applyBorder="1" applyAlignment="1">
      <alignment horizontal="center" vertical="center"/>
    </xf>
    <xf numFmtId="174" fontId="22" fillId="24" borderId="10" xfId="1" applyNumberFormat="1" applyFont="1" applyFill="1" applyBorder="1" applyAlignment="1" applyProtection="1">
      <alignment vertical="center"/>
    </xf>
    <xf numFmtId="174" fontId="22" fillId="24" borderId="10" xfId="194" applyNumberFormat="1" applyFont="1" applyFill="1" applyBorder="1" applyAlignment="1">
      <alignment vertical="center"/>
    </xf>
    <xf numFmtId="174" fontId="23" fillId="24" borderId="10" xfId="1" applyNumberFormat="1" applyFont="1" applyFill="1" applyBorder="1" applyAlignment="1" applyProtection="1">
      <alignment vertical="center"/>
    </xf>
    <xf numFmtId="174" fontId="23" fillId="36" borderId="10" xfId="1" applyNumberFormat="1" applyFont="1" applyFill="1" applyBorder="1" applyAlignment="1" applyProtection="1">
      <alignment vertical="center"/>
    </xf>
    <xf numFmtId="0" fontId="22" fillId="24" borderId="10" xfId="194" applyFont="1" applyFill="1" applyBorder="1" applyAlignment="1">
      <alignment horizontal="left" vertical="center"/>
    </xf>
    <xf numFmtId="176" fontId="22" fillId="24" borderId="10" xfId="194" applyNumberFormat="1" applyFont="1" applyFill="1" applyBorder="1" applyAlignment="1">
      <alignment horizontal="left" vertical="center"/>
    </xf>
    <xf numFmtId="0" fontId="22" fillId="24" borderId="10" xfId="194" applyFont="1" applyFill="1" applyBorder="1" applyAlignment="1">
      <alignment horizontal="center" vertical="center"/>
    </xf>
    <xf numFmtId="174" fontId="0" fillId="0" borderId="10" xfId="0" applyNumberFormat="1" applyBorder="1"/>
    <xf numFmtId="170" fontId="22" fillId="24" borderId="10" xfId="1" applyNumberFormat="1" applyFont="1" applyFill="1" applyBorder="1" applyAlignment="1" applyProtection="1">
      <alignment vertical="center"/>
    </xf>
    <xf numFmtId="170" fontId="22" fillId="24" borderId="10" xfId="1" applyNumberFormat="1" applyFont="1" applyFill="1" applyBorder="1" applyAlignment="1" applyProtection="1">
      <alignment horizontal="center" vertical="center"/>
    </xf>
    <xf numFmtId="174" fontId="0" fillId="24" borderId="10" xfId="0" applyNumberFormat="1" applyFill="1" applyBorder="1"/>
    <xf numFmtId="177" fontId="22" fillId="24" borderId="10" xfId="196" applyNumberFormat="1" applyFont="1" applyFill="1" applyBorder="1" applyAlignment="1">
      <alignment horizontal="center" vertical="center"/>
    </xf>
    <xf numFmtId="174" fontId="25" fillId="24" borderId="10" xfId="1" applyNumberFormat="1" applyFont="1" applyFill="1" applyBorder="1" applyAlignment="1" applyProtection="1">
      <alignment vertical="center"/>
    </xf>
    <xf numFmtId="174" fontId="25" fillId="24" borderId="10" xfId="194" applyNumberFormat="1" applyFont="1" applyFill="1" applyBorder="1" applyAlignment="1">
      <alignment vertical="center"/>
    </xf>
    <xf numFmtId="174" fontId="26" fillId="24" borderId="10" xfId="1" applyNumberFormat="1" applyFont="1" applyFill="1" applyBorder="1" applyAlignment="1" applyProtection="1">
      <alignment vertical="center"/>
    </xf>
    <xf numFmtId="0" fontId="25" fillId="24" borderId="10" xfId="194" applyFont="1" applyFill="1" applyBorder="1" applyAlignment="1">
      <alignment vertical="center"/>
    </xf>
    <xf numFmtId="0" fontId="25" fillId="24" borderId="0" xfId="194" applyFont="1" applyFill="1" applyAlignment="1">
      <alignment vertical="center"/>
    </xf>
    <xf numFmtId="170" fontId="25" fillId="24" borderId="10" xfId="1" applyNumberFormat="1" applyFont="1" applyFill="1" applyBorder="1" applyAlignment="1" applyProtection="1">
      <alignment vertical="center"/>
    </xf>
    <xf numFmtId="0" fontId="22" fillId="40" borderId="10" xfId="194" applyFont="1" applyFill="1" applyBorder="1" applyAlignment="1">
      <alignment vertical="center"/>
    </xf>
    <xf numFmtId="174" fontId="23" fillId="40" borderId="10" xfId="1" applyNumberFormat="1" applyFont="1" applyFill="1" applyBorder="1" applyAlignment="1" applyProtection="1">
      <alignment vertical="center"/>
    </xf>
    <xf numFmtId="174" fontId="23" fillId="24" borderId="11" xfId="1" applyNumberFormat="1" applyFont="1" applyFill="1" applyBorder="1" applyAlignment="1" applyProtection="1">
      <alignment vertical="center"/>
    </xf>
    <xf numFmtId="174" fontId="22" fillId="24" borderId="11" xfId="1" applyNumberFormat="1" applyFont="1" applyFill="1" applyBorder="1" applyAlignment="1" applyProtection="1">
      <alignment vertical="center"/>
    </xf>
    <xf numFmtId="2" fontId="22" fillId="24" borderId="11" xfId="194" applyNumberFormat="1" applyFont="1" applyFill="1" applyBorder="1" applyAlignment="1">
      <alignment vertical="center"/>
    </xf>
    <xf numFmtId="0" fontId="22" fillId="24" borderId="11" xfId="194" applyFont="1" applyFill="1" applyBorder="1" applyAlignment="1">
      <alignment vertical="center"/>
    </xf>
    <xf numFmtId="174" fontId="22" fillId="24" borderId="11" xfId="194" applyNumberFormat="1" applyFont="1" applyFill="1" applyBorder="1" applyAlignment="1">
      <alignment vertical="center"/>
    </xf>
    <xf numFmtId="170" fontId="22" fillId="24" borderId="11" xfId="1" applyNumberFormat="1" applyFont="1" applyFill="1" applyBorder="1" applyAlignment="1" applyProtection="1">
      <alignment vertical="center"/>
    </xf>
    <xf numFmtId="2" fontId="22" fillId="24" borderId="10" xfId="194" applyNumberFormat="1" applyFont="1" applyFill="1" applyBorder="1" applyAlignment="1">
      <alignment vertical="center"/>
    </xf>
    <xf numFmtId="0" fontId="22" fillId="24" borderId="13" xfId="194" applyFont="1" applyFill="1" applyBorder="1" applyAlignment="1">
      <alignment vertical="center"/>
    </xf>
    <xf numFmtId="174" fontId="22" fillId="24" borderId="13" xfId="194" applyNumberFormat="1" applyFont="1" applyFill="1" applyBorder="1" applyAlignment="1">
      <alignment vertical="center"/>
    </xf>
    <xf numFmtId="170" fontId="22" fillId="24" borderId="13" xfId="1" applyNumberFormat="1" applyFont="1" applyFill="1" applyBorder="1" applyAlignment="1" applyProtection="1">
      <alignment vertical="center"/>
    </xf>
    <xf numFmtId="178" fontId="22" fillId="24" borderId="11" xfId="199" applyNumberFormat="1" applyFont="1" applyFill="1" applyBorder="1" applyAlignment="1">
      <alignment vertical="center"/>
    </xf>
    <xf numFmtId="175" fontId="22" fillId="24" borderId="11" xfId="200" applyNumberFormat="1" applyFont="1" applyFill="1" applyBorder="1" applyAlignment="1">
      <alignment vertical="center"/>
    </xf>
    <xf numFmtId="178" fontId="23" fillId="24" borderId="11" xfId="199" applyNumberFormat="1" applyFont="1" applyFill="1" applyBorder="1" applyAlignment="1">
      <alignment vertical="center"/>
    </xf>
    <xf numFmtId="182" fontId="22" fillId="24" borderId="11" xfId="200" applyFont="1" applyFill="1" applyBorder="1" applyAlignment="1">
      <alignment vertical="center"/>
    </xf>
    <xf numFmtId="178" fontId="22" fillId="24" borderId="11" xfId="200" applyNumberFormat="1" applyFont="1" applyFill="1" applyBorder="1" applyAlignment="1">
      <alignment vertical="center"/>
    </xf>
    <xf numFmtId="181" fontId="22" fillId="24" borderId="11" xfId="199" applyNumberFormat="1" applyFont="1" applyFill="1" applyBorder="1" applyAlignment="1">
      <alignment vertical="center"/>
    </xf>
    <xf numFmtId="182" fontId="22" fillId="24" borderId="0" xfId="200" applyFont="1" applyFill="1" applyAlignment="1">
      <alignment vertical="center"/>
    </xf>
    <xf numFmtId="170" fontId="22" fillId="24" borderId="14" xfId="1" applyNumberFormat="1" applyFont="1" applyFill="1" applyBorder="1" applyAlignment="1" applyProtection="1">
      <alignment vertical="center"/>
    </xf>
    <xf numFmtId="2" fontId="22" fillId="0" borderId="15" xfId="194" applyNumberFormat="1" applyFont="1" applyBorder="1" applyAlignment="1">
      <alignment vertical="center"/>
    </xf>
    <xf numFmtId="170" fontId="22" fillId="0" borderId="15" xfId="1" applyNumberFormat="1" applyFont="1" applyBorder="1" applyAlignment="1" applyProtection="1">
      <alignment vertical="center"/>
    </xf>
    <xf numFmtId="0" fontId="22" fillId="0" borderId="15" xfId="194" applyFont="1" applyBorder="1" applyAlignment="1">
      <alignment vertical="center"/>
    </xf>
    <xf numFmtId="2" fontId="22" fillId="0" borderId="10" xfId="194" applyNumberFormat="1" applyFont="1" applyBorder="1" applyAlignment="1">
      <alignment vertical="center"/>
    </xf>
    <xf numFmtId="0" fontId="22" fillId="0" borderId="10" xfId="194" applyFont="1" applyBorder="1" applyAlignment="1">
      <alignment vertical="center"/>
    </xf>
    <xf numFmtId="170" fontId="22" fillId="0" borderId="10" xfId="1" applyNumberFormat="1" applyFont="1" applyBorder="1" applyAlignment="1" applyProtection="1">
      <alignment vertical="center"/>
    </xf>
    <xf numFmtId="174" fontId="22" fillId="0" borderId="10" xfId="194" applyNumberFormat="1" applyFont="1" applyBorder="1" applyAlignment="1">
      <alignment vertical="center"/>
    </xf>
    <xf numFmtId="169" fontId="22" fillId="24" borderId="11" xfId="194" applyNumberFormat="1" applyFont="1" applyFill="1" applyBorder="1" applyAlignment="1">
      <alignment vertical="center"/>
    </xf>
    <xf numFmtId="171" fontId="22" fillId="24" borderId="10" xfId="194" applyNumberFormat="1" applyFont="1" applyFill="1" applyBorder="1" applyAlignment="1">
      <alignment vertical="center"/>
    </xf>
    <xf numFmtId="184" fontId="22" fillId="24" borderId="10" xfId="194" applyNumberFormat="1" applyFont="1" applyFill="1" applyBorder="1" applyAlignment="1">
      <alignment vertical="center"/>
    </xf>
    <xf numFmtId="169" fontId="22" fillId="24" borderId="10" xfId="194" applyNumberFormat="1" applyFont="1" applyFill="1" applyBorder="1" applyAlignment="1">
      <alignment vertical="center"/>
    </xf>
    <xf numFmtId="0" fontId="35" fillId="0" borderId="19" xfId="0" applyFont="1" applyBorder="1" applyAlignment="1">
      <alignment horizontal="center" vertical="center"/>
    </xf>
    <xf numFmtId="177" fontId="22" fillId="24" borderId="11" xfId="196" applyNumberFormat="1" applyFont="1" applyFill="1" applyBorder="1" applyAlignment="1">
      <alignment horizontal="center" vertical="center"/>
    </xf>
    <xf numFmtId="177" fontId="22" fillId="24" borderId="13" xfId="196" applyNumberFormat="1" applyFont="1" applyFill="1" applyBorder="1" applyAlignment="1">
      <alignment horizontal="center" vertical="center"/>
    </xf>
    <xf numFmtId="1" fontId="22" fillId="24" borderId="0" xfId="196" applyNumberFormat="1" applyFont="1" applyFill="1" applyAlignment="1">
      <alignment horizontal="center" vertical="center"/>
    </xf>
    <xf numFmtId="1" fontId="36" fillId="0" borderId="10" xfId="196" applyNumberFormat="1" applyFont="1" applyBorder="1" applyAlignment="1">
      <alignment horizontal="center" vertical="center"/>
    </xf>
    <xf numFmtId="170" fontId="22" fillId="24" borderId="17" xfId="1" applyNumberFormat="1" applyFont="1" applyFill="1" applyBorder="1" applyAlignment="1" applyProtection="1">
      <alignment vertical="center"/>
    </xf>
    <xf numFmtId="170" fontId="22" fillId="0" borderId="25" xfId="1" applyNumberFormat="1" applyFont="1" applyBorder="1" applyAlignment="1" applyProtection="1">
      <alignment vertical="center"/>
    </xf>
    <xf numFmtId="170" fontId="22" fillId="0" borderId="14" xfId="1" applyNumberFormat="1" applyFont="1" applyBorder="1" applyAlignment="1" applyProtection="1">
      <alignment vertical="center"/>
    </xf>
    <xf numFmtId="0" fontId="36" fillId="24" borderId="10" xfId="194" applyFont="1" applyFill="1" applyBorder="1" applyAlignment="1">
      <alignment vertical="center"/>
    </xf>
    <xf numFmtId="0" fontId="36" fillId="0" borderId="10" xfId="194" applyFont="1" applyBorder="1" applyAlignment="1">
      <alignment vertical="center"/>
    </xf>
    <xf numFmtId="0" fontId="36" fillId="0" borderId="19" xfId="0" applyFont="1" applyBorder="1" applyAlignment="1">
      <alignment horizontal="center" vertical="center"/>
    </xf>
    <xf numFmtId="173" fontId="36" fillId="24" borderId="10" xfId="196" applyNumberFormat="1" applyFont="1" applyFill="1" applyBorder="1" applyAlignment="1">
      <alignment horizontal="center" vertical="center"/>
    </xf>
    <xf numFmtId="0" fontId="36" fillId="24" borderId="10" xfId="196" applyFont="1" applyFill="1" applyBorder="1" applyAlignment="1">
      <alignment horizontal="center" vertical="center" wrapText="1"/>
    </xf>
    <xf numFmtId="174" fontId="22" fillId="0" borderId="10" xfId="1" applyNumberFormat="1" applyFont="1" applyBorder="1" applyAlignment="1" applyProtection="1">
      <alignment horizontal="center" vertical="center"/>
    </xf>
    <xf numFmtId="18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30" fillId="44" borderId="10" xfId="196" applyFont="1" applyFill="1" applyBorder="1" applyAlignment="1">
      <alignment horizontal="center" vertical="center" wrapText="1"/>
    </xf>
    <xf numFmtId="0" fontId="23" fillId="24" borderId="10" xfId="195" applyFont="1" applyFill="1" applyBorder="1" applyAlignment="1">
      <alignment vertical="center"/>
    </xf>
    <xf numFmtId="2" fontId="23" fillId="24" borderId="10" xfId="195" applyNumberFormat="1" applyFont="1" applyFill="1" applyBorder="1" applyAlignment="1">
      <alignment vertical="center" wrapText="1"/>
    </xf>
    <xf numFmtId="0" fontId="22" fillId="24" borderId="10" xfId="196" applyFont="1" applyFill="1" applyBorder="1" applyAlignment="1">
      <alignment vertical="center" wrapText="1"/>
    </xf>
    <xf numFmtId="0" fontId="22" fillId="24" borderId="10" xfId="196" applyFont="1" applyFill="1" applyBorder="1" applyAlignment="1">
      <alignment vertical="center"/>
    </xf>
    <xf numFmtId="1" fontId="22" fillId="24" borderId="10" xfId="196" applyNumberFormat="1" applyFont="1" applyFill="1" applyBorder="1" applyAlignment="1">
      <alignment vertical="center"/>
    </xf>
    <xf numFmtId="0" fontId="22" fillId="24" borderId="11" xfId="196" applyFont="1" applyFill="1" applyBorder="1" applyAlignment="1">
      <alignment vertical="center"/>
    </xf>
    <xf numFmtId="0" fontId="22" fillId="24" borderId="12" xfId="196" applyFont="1" applyFill="1" applyBorder="1" applyAlignment="1">
      <alignment vertical="center"/>
    </xf>
    <xf numFmtId="1" fontId="22" fillId="24" borderId="13" xfId="196" applyNumberFormat="1" applyFont="1" applyFill="1" applyBorder="1" applyAlignment="1">
      <alignment vertical="center"/>
    </xf>
    <xf numFmtId="0" fontId="22" fillId="24" borderId="13" xfId="196" applyFont="1" applyFill="1" applyBorder="1" applyAlignment="1">
      <alignment vertical="center"/>
    </xf>
    <xf numFmtId="1" fontId="22" fillId="24" borderId="11" xfId="196" applyNumberFormat="1" applyFont="1" applyFill="1" applyBorder="1" applyAlignment="1">
      <alignment vertical="center"/>
    </xf>
    <xf numFmtId="0" fontId="22" fillId="24" borderId="0" xfId="196" applyFont="1" applyFill="1" applyAlignment="1">
      <alignment vertical="center"/>
    </xf>
    <xf numFmtId="169" fontId="22" fillId="24" borderId="0" xfId="196" applyNumberFormat="1" applyFont="1" applyFill="1" applyAlignment="1">
      <alignment vertical="center"/>
    </xf>
    <xf numFmtId="171" fontId="23" fillId="24" borderId="0" xfId="195" applyNumberFormat="1" applyFont="1" applyFill="1" applyAlignment="1">
      <alignment vertical="center"/>
    </xf>
    <xf numFmtId="2" fontId="22" fillId="24" borderId="0" xfId="197" applyNumberFormat="1" applyFont="1" applyFill="1" applyAlignment="1">
      <alignment vertical="center"/>
    </xf>
    <xf numFmtId="2" fontId="22" fillId="29" borderId="0" xfId="197" applyNumberFormat="1" applyFont="1" applyFill="1" applyAlignment="1">
      <alignment vertical="center"/>
    </xf>
    <xf numFmtId="172" fontId="22" fillId="29" borderId="10" xfId="196" applyNumberFormat="1" applyFont="1" applyFill="1" applyBorder="1" applyAlignment="1">
      <alignment vertical="center"/>
    </xf>
    <xf numFmtId="170" fontId="22" fillId="29" borderId="0" xfId="1" applyNumberFormat="1" applyFont="1" applyFill="1" applyBorder="1" applyAlignment="1" applyProtection="1">
      <alignment vertical="center"/>
    </xf>
    <xf numFmtId="0" fontId="23" fillId="0" borderId="10" xfId="195" applyFont="1" applyBorder="1" applyAlignment="1">
      <alignment vertical="center" wrapText="1"/>
    </xf>
    <xf numFmtId="2" fontId="26" fillId="24" borderId="10" xfId="195" applyNumberFormat="1" applyFont="1" applyFill="1" applyBorder="1" applyAlignment="1">
      <alignment vertical="center" wrapText="1"/>
    </xf>
    <xf numFmtId="0" fontId="23" fillId="24" borderId="10" xfId="195" applyFont="1" applyFill="1" applyBorder="1" applyAlignment="1">
      <alignment vertical="center" wrapText="1"/>
    </xf>
    <xf numFmtId="0" fontId="23" fillId="0" borderId="10" xfId="195" applyFont="1" applyBorder="1" applyAlignment="1">
      <alignment vertical="center"/>
    </xf>
    <xf numFmtId="169" fontId="23" fillId="24" borderId="10" xfId="195" applyNumberFormat="1" applyFont="1" applyFill="1" applyBorder="1" applyAlignment="1">
      <alignment vertical="center" wrapText="1"/>
    </xf>
    <xf numFmtId="0" fontId="23" fillId="36" borderId="10" xfId="195" applyFont="1" applyFill="1" applyBorder="1" applyAlignment="1">
      <alignment vertical="center" wrapText="1"/>
    </xf>
    <xf numFmtId="0" fontId="23" fillId="0" borderId="10" xfId="198" applyFont="1" applyBorder="1" applyAlignment="1">
      <alignment vertical="center" wrapText="1"/>
    </xf>
    <xf numFmtId="2" fontId="26" fillId="0" borderId="10" xfId="195" applyNumberFormat="1" applyFont="1" applyBorder="1" applyAlignment="1">
      <alignment vertical="center" wrapText="1"/>
    </xf>
    <xf numFmtId="2" fontId="26" fillId="49" borderId="10" xfId="195" applyNumberFormat="1" applyFont="1" applyFill="1" applyBorder="1" applyAlignment="1">
      <alignment vertical="center" wrapText="1"/>
    </xf>
    <xf numFmtId="169" fontId="26" fillId="24" borderId="10" xfId="195" applyNumberFormat="1" applyFont="1" applyFill="1" applyBorder="1" applyAlignment="1">
      <alignment vertical="center" wrapText="1"/>
    </xf>
    <xf numFmtId="170" fontId="26" fillId="24" borderId="10" xfId="1" applyNumberFormat="1" applyFont="1" applyFill="1" applyBorder="1" applyAlignment="1" applyProtection="1">
      <alignment vertical="center" wrapText="1"/>
    </xf>
    <xf numFmtId="170" fontId="26" fillId="0" borderId="14" xfId="1" applyNumberFormat="1" applyFont="1" applyBorder="1" applyAlignment="1" applyProtection="1">
      <alignment vertical="center" wrapText="1"/>
    </xf>
    <xf numFmtId="0" fontId="22" fillId="29" borderId="10" xfId="196" applyFont="1" applyFill="1" applyBorder="1" applyAlignment="1">
      <alignment vertical="center" wrapText="1"/>
    </xf>
    <xf numFmtId="2" fontId="22" fillId="24" borderId="10" xfId="196" applyNumberFormat="1" applyFont="1" applyFill="1" applyBorder="1" applyAlignment="1">
      <alignment vertical="center" wrapText="1"/>
    </xf>
    <xf numFmtId="173" fontId="22" fillId="24" borderId="10" xfId="196" applyNumberFormat="1" applyFont="1" applyFill="1" applyBorder="1" applyAlignment="1">
      <alignment vertical="center"/>
    </xf>
    <xf numFmtId="174" fontId="22" fillId="24" borderId="10" xfId="196" applyNumberFormat="1" applyFont="1" applyFill="1" applyBorder="1" applyAlignment="1">
      <alignment vertical="center"/>
    </xf>
    <xf numFmtId="174" fontId="22" fillId="36" borderId="10" xfId="1" applyNumberFormat="1" applyFont="1" applyFill="1" applyBorder="1" applyAlignment="1" applyProtection="1">
      <alignment vertical="center"/>
    </xf>
    <xf numFmtId="2" fontId="22" fillId="24" borderId="10" xfId="195" applyNumberFormat="1" applyFont="1" applyFill="1" applyBorder="1" applyAlignment="1">
      <alignment vertical="center"/>
    </xf>
    <xf numFmtId="175" fontId="22" fillId="123" borderId="10" xfId="198" applyNumberFormat="1" applyFont="1" applyFill="1" applyBorder="1" applyAlignment="1">
      <alignment vertical="center"/>
    </xf>
    <xf numFmtId="169" fontId="22" fillId="24" borderId="10" xfId="196" applyNumberFormat="1" applyFont="1" applyFill="1" applyBorder="1" applyAlignment="1">
      <alignment vertical="center"/>
    </xf>
    <xf numFmtId="2" fontId="22" fillId="24" borderId="10" xfId="196" applyNumberFormat="1" applyFont="1" applyFill="1" applyBorder="1" applyAlignment="1">
      <alignment vertical="center"/>
    </xf>
    <xf numFmtId="2" fontId="25" fillId="24" borderId="10" xfId="196" applyNumberFormat="1" applyFont="1" applyFill="1" applyBorder="1" applyAlignment="1">
      <alignment vertical="center"/>
    </xf>
    <xf numFmtId="175" fontId="22" fillId="38" borderId="10" xfId="198" applyNumberFormat="1" applyFont="1" applyFill="1" applyBorder="1" applyAlignment="1">
      <alignment vertical="center"/>
    </xf>
    <xf numFmtId="2" fontId="22" fillId="24" borderId="10" xfId="197" applyNumberFormat="1" applyFont="1" applyFill="1" applyBorder="1" applyAlignment="1">
      <alignment vertical="center"/>
    </xf>
    <xf numFmtId="172" fontId="36" fillId="24" borderId="10" xfId="196" applyNumberFormat="1" applyFont="1" applyFill="1" applyBorder="1" applyAlignment="1">
      <alignment vertical="center"/>
    </xf>
    <xf numFmtId="176" fontId="22" fillId="24" borderId="10" xfId="194" applyNumberFormat="1" applyFont="1" applyFill="1" applyBorder="1" applyAlignment="1">
      <alignment vertical="center"/>
    </xf>
    <xf numFmtId="175" fontId="27" fillId="123" borderId="10" xfId="198" applyNumberFormat="1" applyFont="1" applyFill="1" applyBorder="1" applyAlignment="1">
      <alignment vertical="center"/>
    </xf>
    <xf numFmtId="2" fontId="36" fillId="24" borderId="10" xfId="196" applyNumberFormat="1" applyFont="1" applyFill="1" applyBorder="1" applyAlignment="1">
      <alignment vertical="center"/>
    </xf>
    <xf numFmtId="175" fontId="38" fillId="122" borderId="19" xfId="198" applyNumberFormat="1" applyFont="1" applyFill="1" applyBorder="1" applyAlignment="1">
      <alignment vertical="center" wrapText="1"/>
    </xf>
    <xf numFmtId="177" fontId="34" fillId="29" borderId="10" xfId="196" applyNumberFormat="1" applyFill="1" applyBorder="1" applyAlignment="1">
      <alignment vertical="center"/>
    </xf>
    <xf numFmtId="177" fontId="22" fillId="24" borderId="10" xfId="196" applyNumberFormat="1" applyFont="1" applyFill="1" applyBorder="1" applyAlignment="1">
      <alignment vertical="center"/>
    </xf>
    <xf numFmtId="3" fontId="36" fillId="0" borderId="10" xfId="0" applyNumberFormat="1" applyFont="1" applyBorder="1" applyAlignment="1">
      <alignment vertical="center"/>
    </xf>
    <xf numFmtId="170" fontId="22" fillId="24" borderId="14" xfId="1" applyNumberFormat="1" applyFont="1" applyFill="1" applyBorder="1" applyAlignment="1" applyProtection="1">
      <alignment vertical="center" wrapText="1"/>
    </xf>
    <xf numFmtId="170" fontId="36" fillId="24" borderId="10" xfId="1" applyNumberFormat="1" applyFont="1" applyFill="1" applyBorder="1" applyAlignment="1" applyProtection="1">
      <alignment vertical="center"/>
    </xf>
    <xf numFmtId="0" fontId="22" fillId="0" borderId="10" xfId="196" applyFont="1" applyBorder="1" applyAlignment="1">
      <alignment vertical="center" wrapText="1"/>
    </xf>
    <xf numFmtId="175" fontId="38" fillId="123" borderId="19" xfId="198" applyNumberFormat="1" applyFont="1" applyFill="1" applyBorder="1" applyAlignment="1">
      <alignment vertical="center" wrapText="1"/>
    </xf>
    <xf numFmtId="175" fontId="22" fillId="38" borderId="10" xfId="196" applyNumberFormat="1" applyFont="1" applyFill="1" applyBorder="1" applyAlignment="1">
      <alignment vertical="center"/>
    </xf>
    <xf numFmtId="0" fontId="25" fillId="29" borderId="10" xfId="196" applyFont="1" applyFill="1" applyBorder="1" applyAlignment="1">
      <alignment vertical="center" wrapText="1"/>
    </xf>
    <xf numFmtId="0" fontId="25" fillId="24" borderId="10" xfId="196" applyFont="1" applyFill="1" applyBorder="1" applyAlignment="1">
      <alignment vertical="center" wrapText="1"/>
    </xf>
    <xf numFmtId="2" fontId="25" fillId="24" borderId="10" xfId="196" applyNumberFormat="1" applyFont="1" applyFill="1" applyBorder="1" applyAlignment="1">
      <alignment vertical="center" wrapText="1"/>
    </xf>
    <xf numFmtId="0" fontId="25" fillId="24" borderId="10" xfId="196" applyFont="1" applyFill="1" applyBorder="1" applyAlignment="1">
      <alignment vertical="center"/>
    </xf>
    <xf numFmtId="173" fontId="25" fillId="24" borderId="10" xfId="196" applyNumberFormat="1" applyFont="1" applyFill="1" applyBorder="1" applyAlignment="1">
      <alignment vertical="center"/>
    </xf>
    <xf numFmtId="2" fontId="25" fillId="24" borderId="10" xfId="195" applyNumberFormat="1" applyFont="1" applyFill="1" applyBorder="1" applyAlignment="1">
      <alignment vertical="center"/>
    </xf>
    <xf numFmtId="175" fontId="22" fillId="123" borderId="10" xfId="196" applyNumberFormat="1" applyFont="1" applyFill="1" applyBorder="1" applyAlignment="1">
      <alignment vertical="center"/>
    </xf>
    <xf numFmtId="169" fontId="25" fillId="24" borderId="10" xfId="196" applyNumberFormat="1" applyFont="1" applyFill="1" applyBorder="1" applyAlignment="1">
      <alignment vertical="center"/>
    </xf>
    <xf numFmtId="2" fontId="25" fillId="24" borderId="10" xfId="197" applyNumberFormat="1" applyFont="1" applyFill="1" applyBorder="1" applyAlignment="1">
      <alignment vertical="center"/>
    </xf>
    <xf numFmtId="172" fontId="39" fillId="24" borderId="10" xfId="196" applyNumberFormat="1" applyFont="1" applyFill="1" applyBorder="1" applyAlignment="1">
      <alignment vertical="center"/>
    </xf>
    <xf numFmtId="2" fontId="0" fillId="0" borderId="0" xfId="0" applyNumberFormat="1" applyAlignment="1">
      <alignment vertical="center"/>
    </xf>
    <xf numFmtId="170" fontId="25" fillId="24" borderId="14" xfId="1" applyNumberFormat="1" applyFont="1" applyFill="1" applyBorder="1" applyAlignment="1" applyProtection="1">
      <alignment vertical="center"/>
    </xf>
    <xf numFmtId="174" fontId="25" fillId="24" borderId="10" xfId="196" applyNumberFormat="1" applyFont="1" applyFill="1" applyBorder="1" applyAlignment="1">
      <alignment vertical="center"/>
    </xf>
    <xf numFmtId="176" fontId="25" fillId="24" borderId="10" xfId="194" applyNumberFormat="1" applyFont="1" applyFill="1" applyBorder="1" applyAlignment="1">
      <alignment vertical="center"/>
    </xf>
    <xf numFmtId="174" fontId="28" fillId="24" borderId="10" xfId="0" applyNumberFormat="1" applyFont="1" applyFill="1" applyBorder="1"/>
    <xf numFmtId="2" fontId="0" fillId="0" borderId="10" xfId="0" applyNumberFormat="1" applyBorder="1" applyAlignment="1">
      <alignment vertical="center"/>
    </xf>
    <xf numFmtId="0" fontId="22" fillId="39" borderId="10" xfId="196" applyFont="1" applyFill="1" applyBorder="1" applyAlignment="1">
      <alignment vertical="center" wrapText="1"/>
    </xf>
    <xf numFmtId="175" fontId="22" fillId="24" borderId="10" xfId="196" applyNumberFormat="1" applyFont="1" applyFill="1" applyBorder="1" applyAlignment="1">
      <alignment vertical="center"/>
    </xf>
    <xf numFmtId="3" fontId="22" fillId="24" borderId="10" xfId="194" applyNumberFormat="1" applyFont="1" applyFill="1" applyBorder="1" applyAlignment="1">
      <alignment vertical="center"/>
    </xf>
    <xf numFmtId="16" fontId="22" fillId="24" borderId="10" xfId="194" applyNumberFormat="1" applyFont="1" applyFill="1" applyBorder="1" applyAlignment="1">
      <alignment vertical="center"/>
    </xf>
    <xf numFmtId="175" fontId="27" fillId="37" borderId="10" xfId="198" applyNumberFormat="1" applyFont="1" applyFill="1" applyBorder="1" applyAlignment="1">
      <alignment vertical="center"/>
    </xf>
    <xf numFmtId="1" fontId="36" fillId="24" borderId="10" xfId="1" applyNumberFormat="1" applyFont="1" applyFill="1" applyBorder="1" applyAlignment="1" applyProtection="1">
      <alignment vertical="center"/>
    </xf>
    <xf numFmtId="175" fontId="22" fillId="37" borderId="10" xfId="196" applyNumberFormat="1" applyFont="1" applyFill="1" applyBorder="1" applyAlignment="1">
      <alignment vertical="center"/>
    </xf>
    <xf numFmtId="169" fontId="22" fillId="24" borderId="10" xfId="196" applyNumberFormat="1" applyFont="1" applyFill="1" applyBorder="1" applyAlignment="1">
      <alignment vertical="center" indent="2"/>
    </xf>
    <xf numFmtId="2" fontId="36" fillId="0" borderId="10" xfId="0" applyNumberFormat="1" applyFont="1" applyBorder="1" applyAlignment="1">
      <alignment vertical="center"/>
    </xf>
    <xf numFmtId="2" fontId="36" fillId="24" borderId="10" xfId="1" applyNumberFormat="1" applyFont="1" applyFill="1" applyBorder="1" applyAlignment="1" applyProtection="1">
      <alignment vertical="center"/>
    </xf>
    <xf numFmtId="2" fontId="36" fillId="0" borderId="10" xfId="1" applyNumberFormat="1" applyFont="1" applyBorder="1" applyAlignment="1" applyProtection="1">
      <alignment vertical="center"/>
    </xf>
    <xf numFmtId="0" fontId="27" fillId="37" borderId="10" xfId="198" applyFont="1" applyFill="1" applyBorder="1" applyAlignment="1">
      <alignment vertical="center"/>
    </xf>
    <xf numFmtId="0" fontId="22" fillId="38" borderId="10" xfId="198" applyFont="1" applyFill="1" applyBorder="1" applyAlignment="1">
      <alignment vertical="center"/>
    </xf>
    <xf numFmtId="0" fontId="36" fillId="24" borderId="10" xfId="196" applyFont="1" applyFill="1" applyBorder="1" applyAlignment="1">
      <alignment vertical="center"/>
    </xf>
    <xf numFmtId="175" fontId="38" fillId="45" borderId="19" xfId="198" applyNumberFormat="1" applyFont="1" applyFill="1" applyBorder="1" applyAlignment="1">
      <alignment vertical="center" wrapText="1"/>
    </xf>
    <xf numFmtId="2" fontId="22" fillId="38" borderId="10" xfId="196" applyNumberFormat="1" applyFont="1" applyFill="1" applyBorder="1" applyAlignment="1">
      <alignment vertical="center"/>
    </xf>
    <xf numFmtId="0" fontId="22" fillId="37" borderId="10" xfId="196" applyFont="1" applyFill="1" applyBorder="1" applyAlignment="1">
      <alignment vertical="center"/>
    </xf>
    <xf numFmtId="0" fontId="22" fillId="38" borderId="10" xfId="196" applyFont="1" applyFill="1" applyBorder="1" applyAlignment="1">
      <alignment vertical="center"/>
    </xf>
    <xf numFmtId="1" fontId="36" fillId="0" borderId="10" xfId="0" applyNumberFormat="1" applyFont="1" applyBorder="1" applyAlignment="1">
      <alignment vertical="center"/>
    </xf>
    <xf numFmtId="0" fontId="27" fillId="37" borderId="10" xfId="196" applyFont="1" applyFill="1" applyBorder="1" applyAlignment="1">
      <alignment vertical="center"/>
    </xf>
    <xf numFmtId="174" fontId="22" fillId="24" borderId="10" xfId="1" applyNumberFormat="1" applyFont="1" applyFill="1" applyBorder="1" applyAlignment="1" applyProtection="1">
      <alignment vertical="center" wrapText="1"/>
    </xf>
    <xf numFmtId="0" fontId="41" fillId="0" borderId="0" xfId="0" applyFont="1" applyAlignment="1">
      <alignment vertical="center"/>
    </xf>
    <xf numFmtId="0" fontId="40" fillId="0" borderId="0" xfId="0" applyFont="1"/>
    <xf numFmtId="0" fontId="22" fillId="29" borderId="11" xfId="196" applyFont="1" applyFill="1" applyBorder="1" applyAlignment="1">
      <alignment vertical="center" wrapText="1"/>
    </xf>
    <xf numFmtId="0" fontId="22" fillId="24" borderId="11" xfId="196" applyFont="1" applyFill="1" applyBorder="1" applyAlignment="1">
      <alignment vertical="center" wrapText="1"/>
    </xf>
    <xf numFmtId="2" fontId="22" fillId="24" borderId="11" xfId="196" applyNumberFormat="1" applyFont="1" applyFill="1" applyBorder="1" applyAlignment="1">
      <alignment vertical="center" wrapText="1"/>
    </xf>
    <xf numFmtId="174" fontId="22" fillId="24" borderId="11" xfId="196" applyNumberFormat="1" applyFont="1" applyFill="1" applyBorder="1" applyAlignment="1">
      <alignment vertical="center"/>
    </xf>
    <xf numFmtId="2" fontId="22" fillId="24" borderId="11" xfId="195" applyNumberFormat="1" applyFont="1" applyFill="1" applyBorder="1" applyAlignment="1">
      <alignment vertical="center"/>
    </xf>
    <xf numFmtId="175" fontId="27" fillId="37" borderId="11" xfId="198" applyNumberFormat="1" applyFont="1" applyFill="1" applyBorder="1" applyAlignment="1">
      <alignment vertical="center"/>
    </xf>
    <xf numFmtId="169" fontId="22" fillId="24" borderId="11" xfId="196" applyNumberFormat="1" applyFont="1" applyFill="1" applyBorder="1" applyAlignment="1">
      <alignment vertical="center"/>
    </xf>
    <xf numFmtId="2" fontId="22" fillId="24" borderId="11" xfId="196" applyNumberFormat="1" applyFont="1" applyFill="1" applyBorder="1" applyAlignment="1">
      <alignment vertical="center"/>
    </xf>
    <xf numFmtId="2" fontId="22" fillId="24" borderId="11" xfId="197" applyNumberFormat="1" applyFont="1" applyFill="1" applyBorder="1" applyAlignment="1">
      <alignment vertical="center"/>
    </xf>
    <xf numFmtId="176" fontId="22" fillId="24" borderId="11" xfId="194" applyNumberFormat="1" applyFont="1" applyFill="1" applyBorder="1" applyAlignment="1">
      <alignment vertical="center"/>
    </xf>
    <xf numFmtId="174" fontId="0" fillId="24" borderId="11" xfId="0" applyNumberFormat="1" applyFill="1" applyBorder="1"/>
    <xf numFmtId="170" fontId="22" fillId="24" borderId="17" xfId="1" applyNumberFormat="1" applyFont="1" applyFill="1" applyBorder="1" applyAlignment="1" applyProtection="1">
      <alignment vertical="center" wrapText="1"/>
    </xf>
    <xf numFmtId="175" fontId="27" fillId="37" borderId="10" xfId="196" applyNumberFormat="1" applyFont="1" applyFill="1" applyBorder="1" applyAlignment="1">
      <alignment vertical="center"/>
    </xf>
    <xf numFmtId="175" fontId="22" fillId="41" borderId="10" xfId="198" applyNumberFormat="1" applyFont="1" applyFill="1" applyBorder="1" applyAlignment="1">
      <alignment vertical="center"/>
    </xf>
    <xf numFmtId="0" fontId="23" fillId="24" borderId="13" xfId="196" applyFont="1" applyFill="1" applyBorder="1" applyAlignment="1">
      <alignment vertical="center" wrapText="1"/>
    </xf>
    <xf numFmtId="2" fontId="22" fillId="24" borderId="13" xfId="195" applyNumberFormat="1" applyFont="1" applyFill="1" applyBorder="1" applyAlignment="1">
      <alignment vertical="center"/>
    </xf>
    <xf numFmtId="2" fontId="23" fillId="24" borderId="13" xfId="196" applyNumberFormat="1" applyFont="1" applyFill="1" applyBorder="1" applyAlignment="1">
      <alignment vertical="center"/>
    </xf>
    <xf numFmtId="175" fontId="23" fillId="24" borderId="13" xfId="196" applyNumberFormat="1" applyFont="1" applyFill="1" applyBorder="1" applyAlignment="1">
      <alignment vertical="center"/>
    </xf>
    <xf numFmtId="2" fontId="22" fillId="24" borderId="13" xfId="197" applyNumberFormat="1" applyFont="1" applyFill="1" applyBorder="1" applyAlignment="1">
      <alignment vertical="center"/>
    </xf>
    <xf numFmtId="0" fontId="22" fillId="24" borderId="24" xfId="196" applyFont="1" applyFill="1" applyBorder="1" applyAlignment="1">
      <alignment vertical="center"/>
    </xf>
    <xf numFmtId="1" fontId="23" fillId="24" borderId="13" xfId="196" applyNumberFormat="1" applyFont="1" applyFill="1" applyBorder="1" applyAlignment="1">
      <alignment vertical="center"/>
    </xf>
    <xf numFmtId="174" fontId="23" fillId="24" borderId="13" xfId="1" applyNumberFormat="1" applyFont="1" applyFill="1" applyBorder="1" applyAlignment="1" applyProtection="1">
      <alignment vertical="center"/>
    </xf>
    <xf numFmtId="174" fontId="0" fillId="0" borderId="13" xfId="0" applyNumberFormat="1" applyBorder="1"/>
    <xf numFmtId="175" fontId="22" fillId="24" borderId="10" xfId="196" applyNumberFormat="1" applyFont="1" applyFill="1" applyBorder="1" applyAlignment="1">
      <alignment vertical="center" wrapText="1"/>
    </xf>
    <xf numFmtId="178" fontId="22" fillId="24" borderId="11" xfId="196" applyNumberFormat="1" applyFont="1" applyFill="1" applyBorder="1" applyAlignment="1">
      <alignment vertical="center"/>
    </xf>
    <xf numFmtId="175" fontId="22" fillId="24" borderId="11" xfId="195" applyNumberFormat="1" applyFont="1" applyFill="1" applyBorder="1" applyAlignment="1">
      <alignment vertical="center"/>
    </xf>
    <xf numFmtId="175" fontId="22" fillId="24" borderId="11" xfId="196" applyNumberFormat="1" applyFont="1" applyFill="1" applyBorder="1" applyAlignment="1">
      <alignment vertical="center"/>
    </xf>
    <xf numFmtId="175" fontId="22" fillId="38" borderId="11" xfId="198" applyNumberFormat="1" applyFont="1" applyFill="1" applyBorder="1" applyAlignment="1">
      <alignment vertical="center"/>
    </xf>
    <xf numFmtId="175" fontId="22" fillId="24" borderId="11" xfId="197" applyNumberFormat="1" applyFont="1" applyFill="1" applyBorder="1" applyAlignment="1">
      <alignment vertical="center"/>
    </xf>
    <xf numFmtId="180" fontId="36" fillId="24" borderId="10" xfId="196" applyNumberFormat="1" applyFont="1" applyFill="1" applyBorder="1" applyAlignment="1">
      <alignment vertical="center"/>
    </xf>
    <xf numFmtId="175" fontId="36" fillId="24" borderId="10" xfId="196" applyNumberFormat="1" applyFont="1" applyFill="1" applyBorder="1" applyAlignment="1">
      <alignment vertical="center"/>
    </xf>
    <xf numFmtId="181" fontId="22" fillId="24" borderId="17" xfId="199" applyNumberFormat="1" applyFont="1" applyFill="1" applyBorder="1" applyAlignment="1">
      <alignment vertical="center"/>
    </xf>
    <xf numFmtId="183" fontId="22" fillId="24" borderId="11" xfId="200" applyNumberFormat="1" applyFont="1" applyFill="1" applyBorder="1" applyAlignment="1">
      <alignment vertical="center"/>
    </xf>
    <xf numFmtId="0" fontId="22" fillId="29" borderId="12" xfId="196" applyFont="1" applyFill="1" applyBorder="1" applyAlignment="1">
      <alignment vertical="center" wrapText="1"/>
    </xf>
    <xf numFmtId="0" fontId="30" fillId="24" borderId="10" xfId="0" applyFont="1" applyFill="1" applyBorder="1"/>
    <xf numFmtId="0" fontId="22" fillId="24" borderId="14" xfId="196" applyFont="1" applyFill="1" applyBorder="1" applyAlignment="1">
      <alignment vertical="center" wrapText="1"/>
    </xf>
    <xf numFmtId="175" fontId="22" fillId="24" borderId="10" xfId="195" applyNumberFormat="1" applyFont="1" applyFill="1" applyBorder="1" applyAlignment="1">
      <alignment vertical="center"/>
    </xf>
    <xf numFmtId="0" fontId="27" fillId="41" borderId="10" xfId="194" applyFont="1" applyFill="1" applyBorder="1" applyAlignment="1">
      <alignment vertical="center"/>
    </xf>
    <xf numFmtId="0" fontId="22" fillId="38" borderId="10" xfId="194" applyFont="1" applyFill="1" applyBorder="1"/>
    <xf numFmtId="2" fontId="22" fillId="42" borderId="10" xfId="194" applyNumberFormat="1" applyFont="1" applyFill="1" applyBorder="1" applyAlignment="1">
      <alignment vertical="center"/>
    </xf>
    <xf numFmtId="0" fontId="22" fillId="41" borderId="10" xfId="194" applyFont="1" applyFill="1" applyBorder="1" applyAlignment="1">
      <alignment vertical="center"/>
    </xf>
    <xf numFmtId="0" fontId="22" fillId="29" borderId="16" xfId="196" applyFont="1" applyFill="1" applyBorder="1" applyAlignment="1">
      <alignment vertical="center" wrapText="1"/>
    </xf>
    <xf numFmtId="0" fontId="30" fillId="24" borderId="11" xfId="0" applyFont="1" applyFill="1" applyBorder="1" applyAlignment="1">
      <alignment vertical="center"/>
    </xf>
    <xf numFmtId="0" fontId="22" fillId="24" borderId="17" xfId="196" applyFont="1" applyFill="1" applyBorder="1" applyAlignment="1">
      <alignment vertical="center" wrapText="1"/>
    </xf>
    <xf numFmtId="175" fontId="22" fillId="24" borderId="11" xfId="196" applyNumberFormat="1" applyFont="1" applyFill="1" applyBorder="1" applyAlignment="1">
      <alignment vertical="center" wrapText="1"/>
    </xf>
    <xf numFmtId="0" fontId="22" fillId="24" borderId="16" xfId="196" applyFont="1" applyFill="1" applyBorder="1" applyAlignment="1">
      <alignment vertical="center"/>
    </xf>
    <xf numFmtId="2" fontId="27" fillId="41" borderId="11" xfId="194" applyNumberFormat="1" applyFont="1" applyFill="1" applyBorder="1" applyAlignment="1">
      <alignment vertical="center"/>
    </xf>
    <xf numFmtId="0" fontId="22" fillId="38" borderId="11" xfId="194" applyFont="1" applyFill="1" applyBorder="1"/>
    <xf numFmtId="0" fontId="30" fillId="24" borderId="10" xfId="0" applyFont="1" applyFill="1" applyBorder="1" applyAlignment="1">
      <alignment vertical="center"/>
    </xf>
    <xf numFmtId="0" fontId="22" fillId="29" borderId="18" xfId="196" applyFont="1" applyFill="1" applyBorder="1" applyAlignment="1">
      <alignment vertical="center" wrapText="1"/>
    </xf>
    <xf numFmtId="0" fontId="30" fillId="0" borderId="15" xfId="0" applyFont="1" applyBorder="1" applyAlignment="1">
      <alignment vertical="center"/>
    </xf>
    <xf numFmtId="175" fontId="22" fillId="0" borderId="10" xfId="196" applyNumberFormat="1" applyFont="1" applyBorder="1" applyAlignment="1">
      <alignment vertical="center" wrapText="1"/>
    </xf>
    <xf numFmtId="0" fontId="22" fillId="0" borderId="15" xfId="196" applyFont="1" applyBorder="1" applyAlignment="1">
      <alignment vertical="center" wrapText="1"/>
    </xf>
    <xf numFmtId="0" fontId="22" fillId="0" borderId="15" xfId="196" applyFont="1" applyBorder="1" applyAlignment="1">
      <alignment vertical="center"/>
    </xf>
    <xf numFmtId="2" fontId="22" fillId="0" borderId="15" xfId="195" applyNumberFormat="1" applyFont="1" applyBorder="1" applyAlignment="1">
      <alignment vertical="center"/>
    </xf>
    <xf numFmtId="169" fontId="22" fillId="0" borderId="15" xfId="196" applyNumberFormat="1" applyFont="1" applyBorder="1" applyAlignment="1">
      <alignment vertical="center"/>
    </xf>
    <xf numFmtId="170" fontId="36" fillId="0" borderId="10" xfId="1" applyNumberFormat="1" applyFont="1" applyBorder="1" applyAlignment="1" applyProtection="1">
      <alignment vertical="center"/>
    </xf>
    <xf numFmtId="169" fontId="22" fillId="0" borderId="10" xfId="194" applyNumberFormat="1" applyFont="1" applyBorder="1" applyAlignment="1">
      <alignment vertical="center"/>
    </xf>
    <xf numFmtId="2" fontId="22" fillId="38" borderId="10" xfId="194" applyNumberFormat="1" applyFont="1" applyFill="1" applyBorder="1"/>
    <xf numFmtId="2" fontId="27" fillId="41" borderId="10" xfId="194" applyNumberFormat="1" applyFont="1" applyFill="1" applyBorder="1" applyAlignment="1">
      <alignment vertical="center"/>
    </xf>
    <xf numFmtId="175" fontId="22" fillId="0" borderId="11" xfId="196" applyNumberFormat="1" applyFont="1" applyBorder="1" applyAlignment="1">
      <alignment vertical="center" wrapText="1"/>
    </xf>
    <xf numFmtId="173" fontId="22" fillId="24" borderId="11" xfId="196" applyNumberFormat="1" applyFont="1" applyFill="1" applyBorder="1" applyAlignment="1">
      <alignment vertical="center"/>
    </xf>
    <xf numFmtId="2" fontId="22" fillId="0" borderId="11" xfId="194" applyNumberFormat="1" applyFont="1" applyBorder="1" applyAlignment="1">
      <alignment vertical="center"/>
    </xf>
    <xf numFmtId="2" fontId="22" fillId="38" borderId="11" xfId="194" applyNumberFormat="1" applyFont="1" applyFill="1" applyBorder="1"/>
    <xf numFmtId="0" fontId="37" fillId="0" borderId="10" xfId="194" applyFont="1" applyBorder="1" applyAlignment="1">
      <alignment vertical="center"/>
    </xf>
    <xf numFmtId="0" fontId="37" fillId="47" borderId="10" xfId="196" applyFont="1" applyFill="1" applyBorder="1" applyAlignment="1">
      <alignment vertical="center" wrapText="1"/>
    </xf>
    <xf numFmtId="0" fontId="37" fillId="44" borderId="10" xfId="196" applyFont="1" applyFill="1" applyBorder="1" applyAlignment="1">
      <alignment vertical="center"/>
    </xf>
    <xf numFmtId="0" fontId="37" fillId="44" borderId="10" xfId="194" applyFont="1" applyFill="1" applyBorder="1" applyAlignment="1">
      <alignment vertical="center"/>
    </xf>
    <xf numFmtId="169" fontId="37" fillId="44" borderId="10" xfId="194" applyNumberFormat="1" applyFont="1" applyFill="1" applyBorder="1" applyAlignment="1">
      <alignment vertical="center"/>
    </xf>
    <xf numFmtId="2" fontId="37" fillId="44" borderId="10" xfId="194" applyNumberFormat="1" applyFont="1" applyFill="1" applyBorder="1" applyAlignment="1">
      <alignment vertical="center"/>
    </xf>
    <xf numFmtId="2" fontId="37" fillId="0" borderId="10" xfId="194" applyNumberFormat="1" applyFont="1" applyBorder="1" applyAlignment="1">
      <alignment vertical="center"/>
    </xf>
    <xf numFmtId="175" fontId="38" fillId="45" borderId="10" xfId="198" applyNumberFormat="1" applyFont="1" applyFill="1" applyBorder="1" applyAlignment="1">
      <alignment vertical="center" wrapText="1"/>
    </xf>
    <xf numFmtId="175" fontId="37" fillId="48" borderId="10" xfId="196" applyNumberFormat="1" applyFont="1" applyFill="1" applyBorder="1" applyAlignment="1">
      <alignment vertical="center" wrapText="1"/>
    </xf>
    <xf numFmtId="0" fontId="22" fillId="123" borderId="10" xfId="194" applyFont="1" applyFill="1" applyBorder="1" applyAlignment="1">
      <alignment vertical="center"/>
    </xf>
    <xf numFmtId="0" fontId="37" fillId="43" borderId="10" xfId="196" applyFont="1" applyFill="1" applyBorder="1" applyAlignment="1">
      <alignment vertical="center" wrapText="1"/>
    </xf>
    <xf numFmtId="0" fontId="37" fillId="46" borderId="23" xfId="196" applyFont="1" applyFill="1" applyBorder="1" applyAlignment="1">
      <alignment vertical="center" wrapText="1"/>
    </xf>
    <xf numFmtId="165" fontId="37" fillId="44" borderId="10" xfId="194" applyNumberFormat="1" applyFont="1" applyFill="1" applyBorder="1" applyAlignment="1">
      <alignment vertical="center"/>
    </xf>
    <xf numFmtId="185" fontId="37" fillId="44" borderId="10" xfId="1" applyNumberFormat="1" applyFont="1" applyFill="1" applyBorder="1" applyAlignment="1">
      <alignment vertical="center"/>
    </xf>
    <xf numFmtId="173" fontId="23" fillId="24" borderId="10" xfId="196" applyNumberFormat="1" applyFont="1" applyFill="1" applyBorder="1" applyAlignment="1">
      <alignment vertical="center"/>
    </xf>
    <xf numFmtId="0" fontId="23" fillId="124" borderId="13" xfId="196" applyFont="1" applyFill="1" applyBorder="1" applyAlignment="1">
      <alignment vertical="center" wrapText="1"/>
    </xf>
    <xf numFmtId="0" fontId="26" fillId="31" borderId="10" xfId="195" applyFont="1" applyFill="1" applyBorder="1" applyAlignment="1">
      <alignment vertical="center"/>
    </xf>
    <xf numFmtId="0" fontId="22" fillId="24" borderId="0" xfId="194" applyFont="1" applyFill="1" applyAlignment="1">
      <alignment vertical="center"/>
    </xf>
    <xf numFmtId="0" fontId="0" fillId="24" borderId="0" xfId="0" applyFill="1"/>
    <xf numFmtId="0" fontId="26" fillId="31" borderId="10" xfId="195" applyFont="1" applyFill="1" applyBorder="1" applyAlignment="1">
      <alignment horizontal="center" vertical="center"/>
    </xf>
    <xf numFmtId="0" fontId="23" fillId="33" borderId="10" xfId="194" applyFont="1" applyFill="1" applyBorder="1" applyAlignment="1">
      <alignment vertical="center"/>
    </xf>
    <xf numFmtId="0" fontId="22" fillId="35" borderId="10" xfId="194" applyFont="1" applyFill="1" applyBorder="1" applyAlignment="1">
      <alignment vertical="center"/>
    </xf>
    <xf numFmtId="0" fontId="22" fillId="24" borderId="0" xfId="194" applyFont="1" applyFill="1" applyAlignment="1">
      <alignment vertical="center"/>
    </xf>
    <xf numFmtId="0" fontId="23" fillId="30" borderId="10" xfId="195" applyFont="1" applyFill="1" applyBorder="1" applyAlignment="1">
      <alignment vertical="center" wrapText="1"/>
    </xf>
    <xf numFmtId="0" fontId="26" fillId="31" borderId="10" xfId="195" applyFont="1" applyFill="1" applyBorder="1" applyAlignment="1">
      <alignment vertical="center"/>
    </xf>
    <xf numFmtId="2" fontId="23" fillId="32" borderId="10" xfId="195" applyNumberFormat="1" applyFont="1" applyFill="1" applyBorder="1" applyAlignment="1">
      <alignment vertical="center"/>
    </xf>
    <xf numFmtId="2" fontId="23" fillId="33" borderId="10" xfId="195" applyNumberFormat="1" applyFont="1" applyFill="1" applyBorder="1" applyAlignment="1">
      <alignment vertical="center"/>
    </xf>
    <xf numFmtId="2" fontId="23" fillId="34" borderId="10" xfId="195" applyNumberFormat="1" applyFont="1" applyFill="1" applyBorder="1" applyAlignment="1">
      <alignment vertical="center"/>
    </xf>
    <xf numFmtId="2" fontId="23" fillId="33" borderId="10" xfId="195" applyNumberFormat="1" applyFont="1" applyFill="1" applyBorder="1" applyAlignment="1">
      <alignment horizontal="center" vertical="center"/>
    </xf>
    <xf numFmtId="2" fontId="23" fillId="34" borderId="10" xfId="195" applyNumberFormat="1" applyFont="1" applyFill="1" applyBorder="1" applyAlignment="1">
      <alignment horizontal="center" vertical="center"/>
    </xf>
    <xf numFmtId="0" fontId="23" fillId="33" borderId="10" xfId="194" applyFont="1" applyFill="1" applyBorder="1" applyAlignment="1">
      <alignment horizontal="center" vertical="center"/>
    </xf>
    <xf numFmtId="0" fontId="22" fillId="35" borderId="10" xfId="194" applyFont="1" applyFill="1" applyBorder="1" applyAlignment="1">
      <alignment horizontal="center" vertical="center"/>
    </xf>
    <xf numFmtId="0" fontId="35" fillId="0" borderId="20" xfId="0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22" fillId="24" borderId="0" xfId="194" applyFont="1" applyFill="1" applyAlignment="1">
      <alignment horizontal="right" vertical="center"/>
    </xf>
    <xf numFmtId="0" fontId="0" fillId="24" borderId="0" xfId="0" applyFill="1" applyAlignment="1">
      <alignment horizontal="right"/>
    </xf>
    <xf numFmtId="0" fontId="23" fillId="30" borderId="10" xfId="195" applyFont="1" applyFill="1" applyBorder="1" applyAlignment="1">
      <alignment horizontal="center" vertical="center" wrapText="1"/>
    </xf>
    <xf numFmtId="0" fontId="26" fillId="31" borderId="10" xfId="195" applyFont="1" applyFill="1" applyBorder="1" applyAlignment="1">
      <alignment horizontal="center" vertical="center"/>
    </xf>
    <xf numFmtId="2" fontId="23" fillId="32" borderId="10" xfId="195" applyNumberFormat="1" applyFont="1" applyFill="1" applyBorder="1" applyAlignment="1">
      <alignment horizontal="center" vertical="center"/>
    </xf>
    <xf numFmtId="0" fontId="0" fillId="24" borderId="0" xfId="0" applyFill="1" applyAlignment="1"/>
  </cellXfs>
  <cellStyles count="382">
    <cellStyle name="20% - Accent1 1" xfId="3" xr:uid="{00000000-0005-0000-0000-000006000000}"/>
    <cellStyle name="20% - Accent1 2" xfId="4" xr:uid="{00000000-0005-0000-0000-000007000000}"/>
    <cellStyle name="20% - Accent1 2 2" xfId="214" xr:uid="{F735E431-5550-49E0-8ABF-5FC462748C01}"/>
    <cellStyle name="20% - Accent1 2 3" xfId="261" xr:uid="{0DF0E2F9-3057-46B9-85EB-492302C96EC0}"/>
    <cellStyle name="20% - Accent1 3" xfId="5" xr:uid="{00000000-0005-0000-0000-000008000000}"/>
    <cellStyle name="20% - Accent1 4" xfId="6" xr:uid="{00000000-0005-0000-0000-000009000000}"/>
    <cellStyle name="20% - Accent1 5" xfId="230" xr:uid="{0423ACCF-DAFC-4451-BF3D-6BE7BFFAA90D}"/>
    <cellStyle name="20% - Accent2 1" xfId="7" xr:uid="{00000000-0005-0000-0000-00000A000000}"/>
    <cellStyle name="20% - Accent2 2" xfId="8" xr:uid="{00000000-0005-0000-0000-00000B000000}"/>
    <cellStyle name="20% - Accent2 2 2" xfId="263" xr:uid="{2C5E4B46-441B-48B1-B39E-93DC8C3B17BB}"/>
    <cellStyle name="20% - Accent2 2 3" xfId="262" xr:uid="{63476DA0-D773-4F20-81D2-22F8555970F2}"/>
    <cellStyle name="20% - Accent2 3" xfId="9" xr:uid="{00000000-0005-0000-0000-00000C000000}"/>
    <cellStyle name="20% - Accent2 4" xfId="10" xr:uid="{00000000-0005-0000-0000-00000D000000}"/>
    <cellStyle name="20% - Accent2 5" xfId="242" xr:uid="{06B7088D-4B83-4F28-BA5C-AED31B244F00}"/>
    <cellStyle name="20% - Accent3 1" xfId="11" xr:uid="{00000000-0005-0000-0000-00000E000000}"/>
    <cellStyle name="20% - Accent3 2" xfId="12" xr:uid="{00000000-0005-0000-0000-00000F000000}"/>
    <cellStyle name="20% - Accent3 2 2" xfId="226" xr:uid="{00BC6F5E-38BA-4757-A825-191E94647378}"/>
    <cellStyle name="20% - Accent3 2 3" xfId="222" xr:uid="{5D099AE6-E3B9-433C-ACC7-F5D46A38169C}"/>
    <cellStyle name="20% - Accent3 3" xfId="13" xr:uid="{00000000-0005-0000-0000-000010000000}"/>
    <cellStyle name="20% - Accent3 4" xfId="14" xr:uid="{00000000-0005-0000-0000-000011000000}"/>
    <cellStyle name="20% - Accent3 5" xfId="248" xr:uid="{DCE04CE0-1F37-41D9-BDFA-F4D9A73E4402}"/>
    <cellStyle name="20% - Accent4 1" xfId="15" xr:uid="{00000000-0005-0000-0000-000012000000}"/>
    <cellStyle name="20% - Accent4 2" xfId="16" xr:uid="{00000000-0005-0000-0000-000013000000}"/>
    <cellStyle name="20% - Accent4 2 2" xfId="249" xr:uid="{D2A34FC0-AFCB-4194-81F2-6C1E59D16C40}"/>
    <cellStyle name="20% - Accent4 2 3" xfId="252" xr:uid="{982FFED8-3C0D-4627-81B3-C7FCE4F68D50}"/>
    <cellStyle name="20% - Accent4 3" xfId="17" xr:uid="{00000000-0005-0000-0000-000014000000}"/>
    <cellStyle name="20% - Accent4 4" xfId="18" xr:uid="{00000000-0005-0000-0000-000015000000}"/>
    <cellStyle name="20% - Accent4 5" xfId="251" xr:uid="{4B0DA3ED-8A7E-488C-BDDE-AD39EBADCE30}"/>
    <cellStyle name="20% - Accent5 1" xfId="19" xr:uid="{00000000-0005-0000-0000-000016000000}"/>
    <cellStyle name="20% - Accent5 2" xfId="20" xr:uid="{00000000-0005-0000-0000-000017000000}"/>
    <cellStyle name="20% - Accent5 2 2" xfId="232" xr:uid="{477C772D-D365-4880-A842-0A6F05C89CAE}"/>
    <cellStyle name="20% - Accent5 2 3" xfId="264" xr:uid="{85563B4C-E563-4812-B446-0E02A319FD03}"/>
    <cellStyle name="20% - Accent5 3" xfId="21" xr:uid="{00000000-0005-0000-0000-000018000000}"/>
    <cellStyle name="20% - Accent5 4" xfId="22" xr:uid="{00000000-0005-0000-0000-000019000000}"/>
    <cellStyle name="20% - Accent5 5" xfId="239" xr:uid="{5AC063F0-DF0A-4272-87C9-387A48874CDC}"/>
    <cellStyle name="20% - Accent6 1" xfId="23" xr:uid="{00000000-0005-0000-0000-00001A000000}"/>
    <cellStyle name="20% - Accent6 2" xfId="24" xr:uid="{00000000-0005-0000-0000-00001B000000}"/>
    <cellStyle name="20% - Accent6 2 2" xfId="266" xr:uid="{16DD93CE-8F5C-47CD-A7E3-9E62E3571F76}"/>
    <cellStyle name="20% - Accent6 2 3" xfId="265" xr:uid="{02C37FB0-3F62-4B24-B1FF-1FB742638292}"/>
    <cellStyle name="20% - Accent6 3" xfId="25" xr:uid="{00000000-0005-0000-0000-00001C000000}"/>
    <cellStyle name="20% - Accent6 4" xfId="26" xr:uid="{00000000-0005-0000-0000-00001D000000}"/>
    <cellStyle name="20% - Accent6 5" xfId="244" xr:uid="{5F826845-DF1A-4F25-8357-216D71852609}"/>
    <cellStyle name="20% - Akzent1" xfId="370" xr:uid="{2F431B55-5E33-4E10-B493-F42DDFF59608}"/>
    <cellStyle name="20% - Akzent2" xfId="319" xr:uid="{1FC0CBD4-64CA-448F-AB45-A391F1F7A15D}"/>
    <cellStyle name="20% - Akzent3" xfId="323" xr:uid="{E2FE2056-1EC4-4BE0-8667-FFA0A9E1C4AE}"/>
    <cellStyle name="20% - Akzent4" xfId="335" xr:uid="{5BAA63CF-C54D-43D9-AEF3-5397EBEF7547}"/>
    <cellStyle name="20% - Akzent5" xfId="369" xr:uid="{8EC2D915-B765-4331-9641-B07DD722ECD8}"/>
    <cellStyle name="20% - Akzent6" xfId="313" xr:uid="{C46D055F-7619-4C9B-B6A6-3D5DFBDC31B2}"/>
    <cellStyle name="40% - Accent1 1" xfId="27" xr:uid="{00000000-0005-0000-0000-00001E000000}"/>
    <cellStyle name="40% - Accent1 2" xfId="28" xr:uid="{00000000-0005-0000-0000-00001F000000}"/>
    <cellStyle name="40% - Accent1 2 2" xfId="267" xr:uid="{1917EC6C-9A70-4E3F-85FA-28DE080DC4BB}"/>
    <cellStyle name="40% - Accent1 3" xfId="29" xr:uid="{00000000-0005-0000-0000-000020000000}"/>
    <cellStyle name="40% - Accent1 4" xfId="30" xr:uid="{00000000-0005-0000-0000-000021000000}"/>
    <cellStyle name="40% - Accent1 5" xfId="202" xr:uid="{11AFBA35-FAF5-4E00-9A1A-F6AF3CA72D82}"/>
    <cellStyle name="40% - Accent2 1" xfId="31" xr:uid="{00000000-0005-0000-0000-000022000000}"/>
    <cellStyle name="40% - Accent2 2" xfId="32" xr:uid="{00000000-0005-0000-0000-000023000000}"/>
    <cellStyle name="40% - Accent2 2 2" xfId="243" xr:uid="{77779B72-B1FF-453D-9701-2EBCD073428F}"/>
    <cellStyle name="40% - Accent2 3" xfId="33" xr:uid="{00000000-0005-0000-0000-000024000000}"/>
    <cellStyle name="40% - Accent2 4" xfId="34" xr:uid="{00000000-0005-0000-0000-000025000000}"/>
    <cellStyle name="40% - Accent2 5" xfId="217" xr:uid="{43D5387D-B142-4888-B75B-3BFAFB793F3F}"/>
    <cellStyle name="40% - Accent3 1" xfId="35" xr:uid="{00000000-0005-0000-0000-000026000000}"/>
    <cellStyle name="40% - Accent3 2" xfId="36" xr:uid="{00000000-0005-0000-0000-000027000000}"/>
    <cellStyle name="40% - Accent3 2 2" xfId="268" xr:uid="{D3B9CA22-54C6-4AD6-92E6-F390DC5D5728}"/>
    <cellStyle name="40% - Accent3 3" xfId="37" xr:uid="{00000000-0005-0000-0000-000028000000}"/>
    <cellStyle name="40% - Accent3 4" xfId="38" xr:uid="{00000000-0005-0000-0000-000029000000}"/>
    <cellStyle name="40% - Accent3 5" xfId="215" xr:uid="{41C2DF84-9518-424E-8CB4-218FAC47CC72}"/>
    <cellStyle name="40% - Accent4 1" xfId="39" xr:uid="{00000000-0005-0000-0000-00002A000000}"/>
    <cellStyle name="40% - Accent4 2" xfId="40" xr:uid="{00000000-0005-0000-0000-00002B000000}"/>
    <cellStyle name="40% - Accent4 2 2" xfId="269" xr:uid="{427C92DB-BB9A-4B8C-AADF-51C5290E5288}"/>
    <cellStyle name="40% - Accent4 3" xfId="41" xr:uid="{00000000-0005-0000-0000-00002C000000}"/>
    <cellStyle name="40% - Accent4 4" xfId="42" xr:uid="{00000000-0005-0000-0000-00002D000000}"/>
    <cellStyle name="40% - Accent4 5" xfId="253" xr:uid="{4ED0F887-01D0-4B90-9764-233564093A9B}"/>
    <cellStyle name="40% - Accent5 1" xfId="43" xr:uid="{00000000-0005-0000-0000-00002E000000}"/>
    <cellStyle name="40% - Accent5 2" xfId="44" xr:uid="{00000000-0005-0000-0000-00002F000000}"/>
    <cellStyle name="40% - Accent5 2 2" xfId="270" xr:uid="{AC0ACE9E-EA30-4FF6-9BF8-D628B1F5BECF}"/>
    <cellStyle name="40% - Accent5 3" xfId="45" xr:uid="{00000000-0005-0000-0000-000030000000}"/>
    <cellStyle name="40% - Accent5 4" xfId="46" xr:uid="{00000000-0005-0000-0000-000031000000}"/>
    <cellStyle name="40% - Accent5 5" xfId="255" xr:uid="{FA766532-D711-4C41-98A9-14ED20B0C5B8}"/>
    <cellStyle name="40% - Accent6 1" xfId="47" xr:uid="{00000000-0005-0000-0000-000032000000}"/>
    <cellStyle name="40% - Accent6 2" xfId="48" xr:uid="{00000000-0005-0000-0000-000033000000}"/>
    <cellStyle name="40% - Accent6 2 2" xfId="271" xr:uid="{8821DAF8-C6A6-4CB3-BA9C-A362EC7C8F76}"/>
    <cellStyle name="40% - Accent6 3" xfId="49" xr:uid="{00000000-0005-0000-0000-000034000000}"/>
    <cellStyle name="40% - Accent6 4" xfId="50" xr:uid="{00000000-0005-0000-0000-000035000000}"/>
    <cellStyle name="40% - Accent6 5" xfId="259" xr:uid="{265AA6FA-D77C-4D28-A7B0-C288A7327D11}"/>
    <cellStyle name="40% - Akzent1" xfId="338" xr:uid="{FE88E40B-0ED8-4E90-9FE6-38B13B8B5EBC}"/>
    <cellStyle name="40% - Akzent2" xfId="324" xr:uid="{A8C485DF-D28D-475E-875C-32AEEC44B4B2}"/>
    <cellStyle name="40% - Akzent3" xfId="353" xr:uid="{A32E28B4-52EA-4A87-9080-0702F014729C}"/>
    <cellStyle name="40% - Akzent4" xfId="308" xr:uid="{C686632A-CE68-475B-82C8-A2118CF60710}"/>
    <cellStyle name="40% - Akzent5" xfId="331" xr:uid="{2C2FB630-4C59-43B6-8EC5-D8EA770B10A5}"/>
    <cellStyle name="40% - Akzent6" xfId="354" xr:uid="{BCAFF144-91DB-4BF0-99F1-EBFEAE578397}"/>
    <cellStyle name="60% - Accent1 1" xfId="51" xr:uid="{00000000-0005-0000-0000-000036000000}"/>
    <cellStyle name="60% - Accent1 2" xfId="52" xr:uid="{00000000-0005-0000-0000-000037000000}"/>
    <cellStyle name="60% - Accent1 2 2" xfId="273" xr:uid="{F406A67A-89E9-4216-B088-F35B7FDC14C5}"/>
    <cellStyle name="60% - Accent1 2 3" xfId="272" xr:uid="{64F43A3B-7159-49EB-86F7-0C3EFC8FAC6A}"/>
    <cellStyle name="60% - Accent1 3" xfId="53" xr:uid="{00000000-0005-0000-0000-000038000000}"/>
    <cellStyle name="60% - Accent1 4" xfId="54" xr:uid="{00000000-0005-0000-0000-000039000000}"/>
    <cellStyle name="60% - Accent1 5" xfId="240" xr:uid="{934B5B58-917A-4449-B2C7-BB3675E9BC06}"/>
    <cellStyle name="60% - Accent2 1" xfId="55" xr:uid="{00000000-0005-0000-0000-00003A000000}"/>
    <cellStyle name="60% - Accent2 2" xfId="56" xr:uid="{00000000-0005-0000-0000-00003B000000}"/>
    <cellStyle name="60% - Accent2 2 2" xfId="275" xr:uid="{2704DC50-EC2A-4707-9773-8DAAFE50C98B}"/>
    <cellStyle name="60% - Accent2 2 3" xfId="274" xr:uid="{7B1F2AEE-2085-43FE-9B13-B839439B6E94}"/>
    <cellStyle name="60% - Accent2 3" xfId="57" xr:uid="{00000000-0005-0000-0000-00003C000000}"/>
    <cellStyle name="60% - Accent2 4" xfId="58" xr:uid="{00000000-0005-0000-0000-00003D000000}"/>
    <cellStyle name="60% - Accent2 5" xfId="246" xr:uid="{670494E6-02EF-46AA-B387-692792949A19}"/>
    <cellStyle name="60% - Accent3 1" xfId="59" xr:uid="{00000000-0005-0000-0000-00003E000000}"/>
    <cellStyle name="60% - Accent3 2" xfId="60" xr:uid="{00000000-0005-0000-0000-00003F000000}"/>
    <cellStyle name="60% - Accent3 2 2" xfId="277" xr:uid="{9ED9E990-8AB2-4EFC-AAE4-891595DF7368}"/>
    <cellStyle name="60% - Accent3 2 3" xfId="235" xr:uid="{9C48337F-48A6-4BC8-8675-511F6A7C237E}"/>
    <cellStyle name="60% - Accent3 3" xfId="61" xr:uid="{00000000-0005-0000-0000-000040000000}"/>
    <cellStyle name="60% - Accent3 4" xfId="62" xr:uid="{00000000-0005-0000-0000-000041000000}"/>
    <cellStyle name="60% - Accent3 5" xfId="227" xr:uid="{AE5D1CBC-D5E5-4357-B363-12FB2ED20861}"/>
    <cellStyle name="60% - Accent4 1" xfId="63" xr:uid="{00000000-0005-0000-0000-000042000000}"/>
    <cellStyle name="60% - Accent4 2" xfId="64" xr:uid="{00000000-0005-0000-0000-000043000000}"/>
    <cellStyle name="60% - Accent4 2 2" xfId="279" xr:uid="{D124E40C-7C7C-4CF4-81E1-B0AD016749A5}"/>
    <cellStyle name="60% - Accent4 2 3" xfId="278" xr:uid="{486EA036-7E7B-4F78-977B-498B0AD63B77}"/>
    <cellStyle name="60% - Accent4 3" xfId="65" xr:uid="{00000000-0005-0000-0000-000044000000}"/>
    <cellStyle name="60% - Accent4 4" xfId="66" xr:uid="{00000000-0005-0000-0000-000045000000}"/>
    <cellStyle name="60% - Accent4 5" xfId="209" xr:uid="{7067CA48-6B6F-448D-AE87-54F0B926E10C}"/>
    <cellStyle name="60% - Accent5 1" xfId="67" xr:uid="{00000000-0005-0000-0000-000046000000}"/>
    <cellStyle name="60% - Accent5 2" xfId="68" xr:uid="{00000000-0005-0000-0000-000047000000}"/>
    <cellStyle name="60% - Accent5 2 2" xfId="281" xr:uid="{F5DE5DB1-E264-4F4A-91D4-C1AD8A33EB74}"/>
    <cellStyle name="60% - Accent5 2 3" xfId="280" xr:uid="{A610B23E-CFD8-4CCC-905C-6CEEA9FB8F99}"/>
    <cellStyle name="60% - Accent5 3" xfId="69" xr:uid="{00000000-0005-0000-0000-000048000000}"/>
    <cellStyle name="60% - Accent5 4" xfId="70" xr:uid="{00000000-0005-0000-0000-000049000000}"/>
    <cellStyle name="60% - Accent5 5" xfId="256" xr:uid="{C23D9A85-96D2-4981-BC0F-F03E28829471}"/>
    <cellStyle name="60% - Accent6 1" xfId="71" xr:uid="{00000000-0005-0000-0000-00004A000000}"/>
    <cellStyle name="60% - Accent6 2" xfId="72" xr:uid="{00000000-0005-0000-0000-00004B000000}"/>
    <cellStyle name="60% - Accent6 2 2" xfId="283" xr:uid="{137E8444-37CA-41B5-8CBE-1121C25F013E}"/>
    <cellStyle name="60% - Accent6 2 3" xfId="282" xr:uid="{C7DAE6A6-067F-4523-82A6-A2222876C36E}"/>
    <cellStyle name="60% - Accent6 3" xfId="73" xr:uid="{00000000-0005-0000-0000-00004C000000}"/>
    <cellStyle name="60% - Accent6 4" xfId="74" xr:uid="{00000000-0005-0000-0000-00004D000000}"/>
    <cellStyle name="60% - Accent6 5" xfId="260" xr:uid="{C85390F9-B654-47DC-A1DC-67AA661ACB22}"/>
    <cellStyle name="60% - Akzent1" xfId="375" xr:uid="{1443E2BB-91C7-49CF-B66F-DA759E6ACAA1}"/>
    <cellStyle name="60% - Akzent2" xfId="342" xr:uid="{6B66FCC3-4B27-42F5-903D-06F9D804CAA6}"/>
    <cellStyle name="60% - Akzent3" xfId="376" xr:uid="{2535FCF0-2B3E-4ABC-B604-9F6008CED3DA}"/>
    <cellStyle name="60% - Akzent4" xfId="326" xr:uid="{2BD80924-C799-4D0C-B919-76FE56C7930A}"/>
    <cellStyle name="60% - Akzent5" xfId="365" xr:uid="{464DD0E1-9693-4A92-8094-4E7981F1E0E5}"/>
    <cellStyle name="60% - Akzent6" xfId="329" xr:uid="{F4D3594A-974D-4703-A073-0493B6A2B99C}"/>
    <cellStyle name="Accent1 1" xfId="75" xr:uid="{00000000-0005-0000-0000-00004E000000}"/>
    <cellStyle name="Accent1 2" xfId="76" xr:uid="{00000000-0005-0000-0000-00004F000000}"/>
    <cellStyle name="Accent1 2 2" xfId="284" xr:uid="{0C48A9EA-F53E-4B07-A627-8B47EED66CE9}"/>
    <cellStyle name="Accent1 3" xfId="77" xr:uid="{00000000-0005-0000-0000-000050000000}"/>
    <cellStyle name="Accent1 4" xfId="78" xr:uid="{00000000-0005-0000-0000-000051000000}"/>
    <cellStyle name="Accent1 5" xfId="238" xr:uid="{31D5336D-DE87-4653-AF93-5B00E3CE6378}"/>
    <cellStyle name="Accent2 1" xfId="79" xr:uid="{00000000-0005-0000-0000-000052000000}"/>
    <cellStyle name="Accent2 2" xfId="80" xr:uid="{00000000-0005-0000-0000-000053000000}"/>
    <cellStyle name="Accent2 2 2" xfId="285" xr:uid="{A2CAC516-8B6F-47BA-A419-E7383F061795}"/>
    <cellStyle name="Accent2 3" xfId="81" xr:uid="{00000000-0005-0000-0000-000054000000}"/>
    <cellStyle name="Accent2 4" xfId="82" xr:uid="{00000000-0005-0000-0000-000055000000}"/>
    <cellStyle name="Accent2 5" xfId="241" xr:uid="{52F77D03-2912-4D55-BD57-00C8F9A19B9F}"/>
    <cellStyle name="Accent3 1" xfId="83" xr:uid="{00000000-0005-0000-0000-000056000000}"/>
    <cellStyle name="Accent3 2" xfId="84" xr:uid="{00000000-0005-0000-0000-000057000000}"/>
    <cellStyle name="Accent3 2 2" xfId="286" xr:uid="{21B71FA5-FAF2-4634-B07F-BB5802145D6C}"/>
    <cellStyle name="Accent3 3" xfId="85" xr:uid="{00000000-0005-0000-0000-000058000000}"/>
    <cellStyle name="Accent3 4" xfId="86" xr:uid="{00000000-0005-0000-0000-000059000000}"/>
    <cellStyle name="Accent3 5" xfId="247" xr:uid="{F94FF297-239B-4B16-B08E-DF546EF4E6EF}"/>
    <cellStyle name="Accent4 1" xfId="87" xr:uid="{00000000-0005-0000-0000-00005A000000}"/>
    <cellStyle name="Accent4 2" xfId="88" xr:uid="{00000000-0005-0000-0000-00005B000000}"/>
    <cellStyle name="Accent4 2 2" xfId="257" xr:uid="{6ED693F1-0597-4091-9261-7DE688077256}"/>
    <cellStyle name="Accent4 3" xfId="89" xr:uid="{00000000-0005-0000-0000-00005C000000}"/>
    <cellStyle name="Accent4 4" xfId="90" xr:uid="{00000000-0005-0000-0000-00005D000000}"/>
    <cellStyle name="Accent4 5" xfId="250" xr:uid="{BB2187E5-4168-4A48-A922-BEA0671116DC}"/>
    <cellStyle name="Accent5 1" xfId="91" xr:uid="{00000000-0005-0000-0000-00005E000000}"/>
    <cellStyle name="Accent5 2" xfId="92" xr:uid="{00000000-0005-0000-0000-00005F000000}"/>
    <cellStyle name="Accent5 2 2" xfId="287" xr:uid="{4D66F7F1-D49D-4E9E-992A-31F273255FDB}"/>
    <cellStyle name="Accent5 3" xfId="93" xr:uid="{00000000-0005-0000-0000-000060000000}"/>
    <cellStyle name="Accent5 4" xfId="94" xr:uid="{00000000-0005-0000-0000-000061000000}"/>
    <cellStyle name="Accent5 5" xfId="254" xr:uid="{C442DA58-983C-4D2D-AB31-272BD688E06E}"/>
    <cellStyle name="Accent6 1" xfId="95" xr:uid="{00000000-0005-0000-0000-000062000000}"/>
    <cellStyle name="Accent6 2" xfId="96" xr:uid="{00000000-0005-0000-0000-000063000000}"/>
    <cellStyle name="Accent6 2 2" xfId="288" xr:uid="{20CA2699-C1BB-4F62-BBAC-70C96A846CD9}"/>
    <cellStyle name="Accent6 3" xfId="97" xr:uid="{00000000-0005-0000-0000-000064000000}"/>
    <cellStyle name="Accent6 4" xfId="98" xr:uid="{00000000-0005-0000-0000-000065000000}"/>
    <cellStyle name="Accent6 5" xfId="258" xr:uid="{3AB7E642-66D3-44B8-940E-3C8164FDDA20}"/>
    <cellStyle name="Akzent1" xfId="328" xr:uid="{7B8BCEBF-1FC1-427D-9166-89CF5DB451F1}"/>
    <cellStyle name="Akzent2" xfId="373" xr:uid="{1A7AB49F-DD62-4D0A-8E6D-38C3173E8891}"/>
    <cellStyle name="Akzent3" xfId="344" xr:uid="{98707C92-3B94-458E-9D11-1698C2981345}"/>
    <cellStyle name="Akzent4" xfId="367" xr:uid="{4132E5A3-65B1-471C-B333-060AC86C926A}"/>
    <cellStyle name="Akzent5" xfId="345" xr:uid="{7EE3DA20-7DAD-47C1-BFFA-46B1BD89792D}"/>
    <cellStyle name="Akzent6" xfId="325" xr:uid="{24FF6083-0F1C-425D-B834-A12CF8A1D449}"/>
    <cellStyle name="Ausgabe" xfId="368" xr:uid="{4BB0B4AE-2E92-488A-9AEB-E381EC6A6E77}"/>
    <cellStyle name="Bad 1" xfId="99" xr:uid="{00000000-0005-0000-0000-000066000000}"/>
    <cellStyle name="Bad 2" xfId="100" xr:uid="{00000000-0005-0000-0000-000067000000}"/>
    <cellStyle name="Bad 2 2" xfId="276" xr:uid="{04E2701B-BE2C-45B4-84A4-4CB140E2CEB9}"/>
    <cellStyle name="Bad 3" xfId="101" xr:uid="{00000000-0005-0000-0000-000068000000}"/>
    <cellStyle name="Bad 4" xfId="102" xr:uid="{00000000-0005-0000-0000-000069000000}"/>
    <cellStyle name="Bad 5" xfId="236" xr:uid="{9884247E-32E7-4352-9332-ED002B333957}"/>
    <cellStyle name="Berechnung" xfId="343" xr:uid="{5CD22D12-ED5E-455E-89E2-68DCC16DBC1D}"/>
    <cellStyle name="Calculation 1" xfId="103" xr:uid="{00000000-0005-0000-0000-00006A000000}"/>
    <cellStyle name="Calculation 2" xfId="104" xr:uid="{00000000-0005-0000-0000-00006B000000}"/>
    <cellStyle name="Calculation 2 2" xfId="289" xr:uid="{D27F568E-7282-47E3-8C1B-2FF4CEFB6CE6}"/>
    <cellStyle name="Calculation 3" xfId="105" xr:uid="{00000000-0005-0000-0000-00006C000000}"/>
    <cellStyle name="Calculation 4" xfId="106" xr:uid="{00000000-0005-0000-0000-00006D000000}"/>
    <cellStyle name="Calculation 5" xfId="107" xr:uid="{00000000-0005-0000-0000-00006E000000}"/>
    <cellStyle name="Calculation 6" xfId="231" xr:uid="{84856F95-08E4-426A-94BD-F0DB6CB220E9}"/>
    <cellStyle name="Check Cell 1" xfId="108" xr:uid="{00000000-0005-0000-0000-00006F000000}"/>
    <cellStyle name="Check Cell 2" xfId="109" xr:uid="{00000000-0005-0000-0000-000070000000}"/>
    <cellStyle name="Check Cell 2 2" xfId="290" xr:uid="{12D0EDDF-35A7-435F-B006-E13230F6FFBB}"/>
    <cellStyle name="Check Cell 3" xfId="110" xr:uid="{00000000-0005-0000-0000-000071000000}"/>
    <cellStyle name="Check Cell 4" xfId="111" xr:uid="{00000000-0005-0000-0000-000072000000}"/>
    <cellStyle name="Check Cell 5" xfId="211" xr:uid="{0A0C7FDC-6A48-4D7E-B534-AED6114BC0BD}"/>
    <cellStyle name="Comma" xfId="1" builtinId="3"/>
    <cellStyle name="Comma [0] 2" xfId="306" xr:uid="{1F30B627-E158-451D-92BE-2A47D6B22C7E}"/>
    <cellStyle name="Comma [0] 3" xfId="204" xr:uid="{14A7ACDB-DAFC-46D9-BB54-92566F608112}"/>
    <cellStyle name="Comma 2" xfId="112" xr:uid="{00000000-0005-0000-0000-000073000000}"/>
    <cellStyle name="Comma 2 2" xfId="305" xr:uid="{38C9D2D6-A08E-4926-8C27-7A1635CD2244}"/>
    <cellStyle name="Comma 3" xfId="307" xr:uid="{836E089A-427F-4873-A6C6-76D1066A64FE}"/>
    <cellStyle name="Comma 3 2" xfId="337" xr:uid="{79C80805-9207-453F-8BB0-6EA2E0AEA6E1}"/>
    <cellStyle name="Comma 3 2 2" xfId="317" xr:uid="{1D0F206E-0A49-4138-B4C3-40237AADAD7E}"/>
    <cellStyle name="Comma 3 3" xfId="311" xr:uid="{C223A81E-C14F-417B-B799-5BEC495B20B0}"/>
    <cellStyle name="Comma 3 4" xfId="371" xr:uid="{2107E40B-F18C-4A07-83AC-B0157FABA1FC}"/>
    <cellStyle name="Comma 4" xfId="203" xr:uid="{11BE4A1D-7C51-4220-9989-B4BF615CF83E}"/>
    <cellStyle name="Comma 5" xfId="310" xr:uid="{7D3AFB0D-160C-40BA-BDB9-C384744920CD}"/>
    <cellStyle name="Comma 6" xfId="374" xr:uid="{19156486-1E27-440C-AA66-790A68A6B1C0}"/>
    <cellStyle name="Currency [0] 2" xfId="205" xr:uid="{03133614-D6D7-498C-A26B-7B18596274E2}"/>
    <cellStyle name="Currency 2" xfId="206" xr:uid="{B6C19C8A-CD17-4083-9D7A-1C8593C4E182}"/>
    <cellStyle name="Currency 3" xfId="312" xr:uid="{DDF1D18E-32DA-4C2E-90EF-48C6BCAEA6DB}"/>
    <cellStyle name="Currency 4" xfId="322" xr:uid="{49D70824-DFA5-4608-B648-2894EF313329}"/>
    <cellStyle name="Default" xfId="314" xr:uid="{831B3ED2-61F0-42E1-AC4E-F94F9E99AA6F}"/>
    <cellStyle name="Default 2" xfId="355" xr:uid="{AC3666D4-59C5-4007-A1FD-FFFC194C0BA5}"/>
    <cellStyle name="Eingabe" xfId="366" xr:uid="{9F7E3BF1-935E-43FC-8272-4D50B9A4A93D}"/>
    <cellStyle name="Ergebnis" xfId="318" xr:uid="{3C9A5928-B1A3-4935-B614-701CE43A345A}"/>
    <cellStyle name="Erklärender Text" xfId="333" xr:uid="{C7E6C4A6-704B-45F5-966E-8D74F799DC46}"/>
    <cellStyle name="Ersatzwert" xfId="327" xr:uid="{DF5B0CE7-DCF2-46BA-B0EC-5FD1472AB4C2}"/>
    <cellStyle name="Excel Built-in Comma 1" xfId="199" xr:uid="{00000000-0005-0000-0000-0000CA000000}"/>
    <cellStyle name="Excel Built-in Normal" xfId="194" xr:uid="{00000000-0005-0000-0000-0000C5000000}"/>
    <cellStyle name="Excel Built-in Normal 1" xfId="195" xr:uid="{00000000-0005-0000-0000-0000C6000000}"/>
    <cellStyle name="Excel Built-in Normal 1 1 1" xfId="196" xr:uid="{00000000-0005-0000-0000-0000C7000000}"/>
    <cellStyle name="Excel Built-in Normal 1 1 1 1 1" xfId="198" xr:uid="{00000000-0005-0000-0000-0000C9000000}"/>
    <cellStyle name="Excel Built-in Normal 2" xfId="197" xr:uid="{00000000-0005-0000-0000-0000C8000000}"/>
    <cellStyle name="Excel Built-in Normal 3" xfId="200" xr:uid="{00000000-0005-0000-0000-0000CB000000}"/>
    <cellStyle name="Explanatory Text 1" xfId="113" xr:uid="{00000000-0005-0000-0000-000074000000}"/>
    <cellStyle name="Explanatory Text 2" xfId="114" xr:uid="{00000000-0005-0000-0000-000075000000}"/>
    <cellStyle name="Explanatory Text 2 2" xfId="291" xr:uid="{FD98BA54-2E6A-4DC1-A6DD-9DD56213AA05}"/>
    <cellStyle name="Explanatory Text 3" xfId="115" xr:uid="{00000000-0005-0000-0000-000076000000}"/>
    <cellStyle name="Explanatory Text 4" xfId="116" xr:uid="{00000000-0005-0000-0000-000077000000}"/>
    <cellStyle name="Explanatory Text 5" xfId="219" xr:uid="{1FF63798-6D63-4504-A237-14AA81E061E3}"/>
    <cellStyle name="Followed Hyperlink" xfId="210" builtinId="9" customBuiltin="1"/>
    <cellStyle name="Followed Hyperlink 2" xfId="341" xr:uid="{87C14DF3-793F-4197-9496-5EA681A43D04}"/>
    <cellStyle name="Followed Hyperlink 3" xfId="380" xr:uid="{465C21FA-5EE9-496C-8B34-E13A783D9062}"/>
    <cellStyle name="Followed Hyperlink 3 2" xfId="332" xr:uid="{FD292773-550C-484E-AD59-41D22421D2CB}"/>
    <cellStyle name="Good 1" xfId="117" xr:uid="{00000000-0005-0000-0000-000078000000}"/>
    <cellStyle name="Good 2" xfId="118" xr:uid="{00000000-0005-0000-0000-000079000000}"/>
    <cellStyle name="Good 2 2" xfId="292" xr:uid="{C79ABB83-956B-49BC-9479-2EC36D742578}"/>
    <cellStyle name="Good 3" xfId="119" xr:uid="{00000000-0005-0000-0000-00007A000000}"/>
    <cellStyle name="Good 4" xfId="120" xr:uid="{00000000-0005-0000-0000-00007B000000}"/>
    <cellStyle name="Good 5" xfId="228" xr:uid="{C9A8BBEB-BD0A-4AFB-9032-5120A85E105E}"/>
    <cellStyle name="Gültig" xfId="379" xr:uid="{80FF6D46-A620-42BB-BC40-434B445F0263}"/>
    <cellStyle name="Gültig 2" xfId="334" xr:uid="{E2E3DF6D-CB8B-4F2B-84DB-4F33940B0C3E}"/>
    <cellStyle name="Gut" xfId="340" xr:uid="{7D3A1975-04EC-47D3-AA47-0D1C72DD36D3}"/>
    <cellStyle name="Heading 1 1" xfId="121" xr:uid="{00000000-0005-0000-0000-00007C000000}"/>
    <cellStyle name="Heading 1 2" xfId="122" xr:uid="{00000000-0005-0000-0000-00007D000000}"/>
    <cellStyle name="Heading 1 2 2" xfId="293" xr:uid="{CA19EE4E-E1D2-4AE1-9D1E-B751C2C72757}"/>
    <cellStyle name="Heading 1 3" xfId="123" xr:uid="{00000000-0005-0000-0000-00007E000000}"/>
    <cellStyle name="Heading 1 4" xfId="124" xr:uid="{00000000-0005-0000-0000-00007F000000}"/>
    <cellStyle name="Heading 1 5" xfId="220" xr:uid="{20F99A0C-9815-4AF6-A83E-F5A0079AD089}"/>
    <cellStyle name="Heading 2 1" xfId="125" xr:uid="{00000000-0005-0000-0000-000080000000}"/>
    <cellStyle name="Heading 2 2" xfId="126" xr:uid="{00000000-0005-0000-0000-000081000000}"/>
    <cellStyle name="Heading 2 2 2" xfId="294" xr:uid="{97DBC81B-72C7-4569-A251-2B13ABB6056A}"/>
    <cellStyle name="Heading 2 3" xfId="127" xr:uid="{00000000-0005-0000-0000-000082000000}"/>
    <cellStyle name="Heading 2 4" xfId="128" xr:uid="{00000000-0005-0000-0000-000083000000}"/>
    <cellStyle name="Heading 2 5" xfId="212" xr:uid="{07824B36-66F4-412E-B70D-8BE4007B2A6C}"/>
    <cellStyle name="Heading 3 1" xfId="129" xr:uid="{00000000-0005-0000-0000-000084000000}"/>
    <cellStyle name="Heading 3 2" xfId="130" xr:uid="{00000000-0005-0000-0000-000085000000}"/>
    <cellStyle name="Heading 3 2 2" xfId="295" xr:uid="{4D9E7FC6-9040-476F-96CC-4815344C5174}"/>
    <cellStyle name="Heading 3 2 3" xfId="225" xr:uid="{4419DA6E-0909-4669-B095-85AF05339382}"/>
    <cellStyle name="Heading 3 3" xfId="131" xr:uid="{00000000-0005-0000-0000-000086000000}"/>
    <cellStyle name="Heading 3 4" xfId="132" xr:uid="{00000000-0005-0000-0000-000087000000}"/>
    <cellStyle name="Heading 3 5" xfId="221" xr:uid="{15983705-7DAB-478B-99B8-ACEC5C2A3B2A}"/>
    <cellStyle name="Heading 4 1" xfId="133" xr:uid="{00000000-0005-0000-0000-000088000000}"/>
    <cellStyle name="Heading 4 2" xfId="134" xr:uid="{00000000-0005-0000-0000-000089000000}"/>
    <cellStyle name="Heading 4 2 2" xfId="296" xr:uid="{A14D4650-911F-41FB-86E4-CD0AAA9E5795}"/>
    <cellStyle name="Heading 4 3" xfId="135" xr:uid="{00000000-0005-0000-0000-00008A000000}"/>
    <cellStyle name="Heading 4 4" xfId="136" xr:uid="{00000000-0005-0000-0000-00008B000000}"/>
    <cellStyle name="Heading 4 5" xfId="223" xr:uid="{BDFFB815-0628-405F-BAAE-29F53F0B0198}"/>
    <cellStyle name="Hyperlink" xfId="208" builtinId="8" customBuiltin="1"/>
    <cellStyle name="Hyperlink 2" xfId="137" xr:uid="{00000000-0005-0000-0000-00008C000000}"/>
    <cellStyle name="Hyperlink 2 2" xfId="315" xr:uid="{91E01DA3-54FB-4317-A6E1-B5ADB1D3B34C}"/>
    <cellStyle name="Hyperlink 3" xfId="138" xr:uid="{00000000-0005-0000-0000-00008D000000}"/>
    <cellStyle name="Hyperlink 3 2" xfId="139" xr:uid="{00000000-0005-0000-0000-00008E000000}"/>
    <cellStyle name="Hyperlink 3 2 2" xfId="330" xr:uid="{CF8193B5-3654-4F87-8888-9685184A0C45}"/>
    <cellStyle name="Hyperlink 3 3" xfId="356" xr:uid="{F2D66592-B93B-4CF4-9C98-54E8DA228DF6}"/>
    <cellStyle name="Hyperlink 4" xfId="140" xr:uid="{00000000-0005-0000-0000-00008F000000}"/>
    <cellStyle name="Input 1" xfId="141" xr:uid="{00000000-0005-0000-0000-000090000000}"/>
    <cellStyle name="Input 2" xfId="142" xr:uid="{00000000-0005-0000-0000-000091000000}"/>
    <cellStyle name="Input 2 2" xfId="297" xr:uid="{40528DCF-5D74-48A9-8D67-7CCBFF50E641}"/>
    <cellStyle name="Input 3" xfId="143" xr:uid="{00000000-0005-0000-0000-000092000000}"/>
    <cellStyle name="Input 4" xfId="144" xr:uid="{00000000-0005-0000-0000-000093000000}"/>
    <cellStyle name="Input 5" xfId="145" xr:uid="{00000000-0005-0000-0000-000094000000}"/>
    <cellStyle name="Input 6" xfId="224" xr:uid="{3C96B3D0-2E22-4837-BC2E-83E8688642D3}"/>
    <cellStyle name="Invalid" xfId="362" xr:uid="{FBA23340-7F0B-4246-8127-93C092DCD41F}"/>
    <cellStyle name="Korrigiert" xfId="378" xr:uid="{324E2FAB-4F1F-47EE-9165-C272B1E6FB35}"/>
    <cellStyle name="Linked Cell 1" xfId="146" xr:uid="{00000000-0005-0000-0000-000095000000}"/>
    <cellStyle name="Linked Cell 2" xfId="147" xr:uid="{00000000-0005-0000-0000-000096000000}"/>
    <cellStyle name="Linked Cell 2 2" xfId="298" xr:uid="{8A689242-E85E-4D7B-A8B9-62554F9D7C75}"/>
    <cellStyle name="Linked Cell 3" xfId="148" xr:uid="{00000000-0005-0000-0000-000097000000}"/>
    <cellStyle name="Linked Cell 4" xfId="149" xr:uid="{00000000-0005-0000-0000-000098000000}"/>
    <cellStyle name="Linked Cell 5" xfId="233" xr:uid="{FF04BBD8-3595-49F4-9C97-DBDD45E0F2ED}"/>
    <cellStyle name="Neutral 1" xfId="150" xr:uid="{00000000-0005-0000-0000-000099000000}"/>
    <cellStyle name="Neutral 2" xfId="151" xr:uid="{00000000-0005-0000-0000-00009A000000}"/>
    <cellStyle name="Neutral 2 2" xfId="299" xr:uid="{4254854B-1264-4797-A9B1-C6235B80E1FE}"/>
    <cellStyle name="Neutral 3" xfId="152" xr:uid="{00000000-0005-0000-0000-00009B000000}"/>
    <cellStyle name="Neutral 4" xfId="153" xr:uid="{00000000-0005-0000-0000-00009C000000}"/>
    <cellStyle name="Neutral 5" xfId="237" xr:uid="{EFABA7AC-3324-4459-B835-95EEBDDACBE8}"/>
    <cellStyle name="Normal" xfId="0" builtinId="0"/>
    <cellStyle name="Normal 10" xfId="154" xr:uid="{00000000-0005-0000-0000-00009D000000}"/>
    <cellStyle name="Normal 11" xfId="155" xr:uid="{00000000-0005-0000-0000-00009E000000}"/>
    <cellStyle name="Normal 11 2" xfId="156" xr:uid="{00000000-0005-0000-0000-00009F000000}"/>
    <cellStyle name="Normal 14" xfId="157" xr:uid="{00000000-0005-0000-0000-0000A0000000}"/>
    <cellStyle name="Normal 14 2" xfId="158" xr:uid="{00000000-0005-0000-0000-0000A1000000}"/>
    <cellStyle name="Normal 2" xfId="159" xr:uid="{00000000-0005-0000-0000-0000A2000000}"/>
    <cellStyle name="Normal 2 1" xfId="160" xr:uid="{00000000-0005-0000-0000-0000A3000000}"/>
    <cellStyle name="Normal 2 2" xfId="161" xr:uid="{00000000-0005-0000-0000-0000A4000000}"/>
    <cellStyle name="Normal 2 2 2" xfId="309" xr:uid="{622FF84F-4911-4F7E-929B-E498591952C6}"/>
    <cellStyle name="Normal 2 2 3" xfId="363" xr:uid="{E3AFDA9A-28BA-490A-A6F9-C9A06E4F3A1E}"/>
    <cellStyle name="Normal 2 3" xfId="162" xr:uid="{00000000-0005-0000-0000-0000A5000000}"/>
    <cellStyle name="Normal 2 4" xfId="163" xr:uid="{00000000-0005-0000-0000-0000A6000000}"/>
    <cellStyle name="Normal 2 5" xfId="164" xr:uid="{00000000-0005-0000-0000-0000A7000000}"/>
    <cellStyle name="Normal 2 6" xfId="300" xr:uid="{C5C0119C-B42D-4CB8-AF07-D22F6EE166CB}"/>
    <cellStyle name="Normal 2 7" xfId="357" xr:uid="{DB789ACB-ECB1-4494-9C35-EB872C934C6F}"/>
    <cellStyle name="Normal 3" xfId="165" xr:uid="{00000000-0005-0000-0000-0000A8000000}"/>
    <cellStyle name="Normal 3 2" xfId="381" xr:uid="{48729D1B-B4D7-429A-9F23-D94551A7E285}"/>
    <cellStyle name="Normal 4" xfId="166" xr:uid="{00000000-0005-0000-0000-0000A9000000}"/>
    <cellStyle name="Normal 4 2" xfId="167" xr:uid="{00000000-0005-0000-0000-0000AA000000}"/>
    <cellStyle name="Normal 5" xfId="168" xr:uid="{00000000-0005-0000-0000-0000AB000000}"/>
    <cellStyle name="Normal 6" xfId="201" xr:uid="{81E134E0-C16D-47CF-A94F-AC45D5D4286C}"/>
    <cellStyle name="Normal 7" xfId="352" xr:uid="{AC3210E1-9C70-4CB8-A2A8-C33E0D98ACCD}"/>
    <cellStyle name="Normal 8" xfId="169" xr:uid="{00000000-0005-0000-0000-0000AC000000}"/>
    <cellStyle name="Normal 8 2" xfId="170" xr:uid="{00000000-0005-0000-0000-0000AD000000}"/>
    <cellStyle name="Note 1" xfId="171" xr:uid="{00000000-0005-0000-0000-0000AE000000}"/>
    <cellStyle name="Note 2" xfId="172" xr:uid="{00000000-0005-0000-0000-0000AF000000}"/>
    <cellStyle name="Note 2 2" xfId="301" xr:uid="{32723181-6713-4F47-9DC2-B07386FECEBD}"/>
    <cellStyle name="Note 3" xfId="173" xr:uid="{00000000-0005-0000-0000-0000B0000000}"/>
    <cellStyle name="Note 4" xfId="174" xr:uid="{00000000-0005-0000-0000-0000B1000000}"/>
    <cellStyle name="Note 5" xfId="175" xr:uid="{00000000-0005-0000-0000-0000B2000000}"/>
    <cellStyle name="Note 6" xfId="213" xr:uid="{C79E28C7-1511-4E8F-B57E-A4C4015E3656}"/>
    <cellStyle name="Notiz" xfId="336" xr:uid="{3A8DDE9A-9537-4CC3-976B-94355A7D2E4B}"/>
    <cellStyle name="Notiz 2" xfId="348" xr:uid="{027D01BB-A19E-4F80-B7AC-D4066D4DA493}"/>
    <cellStyle name="Notiz 2 2" xfId="358" xr:uid="{9AAF8CED-AF5D-4B84-A4AF-909FA3E18D64}"/>
    <cellStyle name="Output 1" xfId="176" xr:uid="{00000000-0005-0000-0000-0000B3000000}"/>
    <cellStyle name="Output 2" xfId="177" xr:uid="{00000000-0005-0000-0000-0000B4000000}"/>
    <cellStyle name="Output 2 2" xfId="302" xr:uid="{EE2DD9CB-E25C-4FE9-8156-B9F59CA7434B}"/>
    <cellStyle name="Output 3" xfId="178" xr:uid="{00000000-0005-0000-0000-0000B5000000}"/>
    <cellStyle name="Output 4" xfId="179" xr:uid="{00000000-0005-0000-0000-0000B6000000}"/>
    <cellStyle name="Output 5" xfId="229" xr:uid="{8483A48F-C40F-4C8F-9CCE-0D6F53AE8A50}"/>
    <cellStyle name="Per cent" xfId="2" builtinId="5"/>
    <cellStyle name="Percent 2" xfId="180" xr:uid="{00000000-0005-0000-0000-0000B7000000}"/>
    <cellStyle name="Percent 3" xfId="207" xr:uid="{2D9281EB-2994-478C-8FD0-1A851E3EAAB9}"/>
    <cellStyle name="Schlecht" xfId="349" xr:uid="{9A86A9D7-0257-4870-84F8-CC8C8C5893B7}"/>
    <cellStyle name="sdf" xfId="321" xr:uid="{3B2F2AFB-F0FC-48A1-A490-70F641CACE82}"/>
    <cellStyle name="sdf 2" xfId="316" xr:uid="{19711365-E17F-4F69-80B6-D1BBA6052E1C}"/>
    <cellStyle name="TableStyleLight1" xfId="181" xr:uid="{00000000-0005-0000-0000-0000B8000000}"/>
    <cellStyle name="TEST" xfId="339" xr:uid="{735E82ED-1494-4672-A983-ABFB61E92D9D}"/>
    <cellStyle name="Title 1" xfId="182" xr:uid="{00000000-0005-0000-0000-0000B9000000}"/>
    <cellStyle name="Title 2" xfId="183" xr:uid="{00000000-0005-0000-0000-0000BA000000}"/>
    <cellStyle name="Title 2 2" xfId="245" xr:uid="{2425E656-42B1-44F9-B5DC-D13201426332}"/>
    <cellStyle name="Title 3" xfId="184" xr:uid="{00000000-0005-0000-0000-0000BB000000}"/>
    <cellStyle name="Title 4" xfId="185" xr:uid="{00000000-0005-0000-0000-0000BC000000}"/>
    <cellStyle name="Title 5" xfId="218" xr:uid="{AD8F026F-D528-470F-87E3-C70DE56E83E0}"/>
    <cellStyle name="Total 1" xfId="186" xr:uid="{00000000-0005-0000-0000-0000BD000000}"/>
    <cellStyle name="Total 2" xfId="187" xr:uid="{00000000-0005-0000-0000-0000BE000000}"/>
    <cellStyle name="Total 2 2" xfId="303" xr:uid="{E5061327-2F8D-4359-A390-D6B627F9D3B2}"/>
    <cellStyle name="Total 3" xfId="188" xr:uid="{00000000-0005-0000-0000-0000BF000000}"/>
    <cellStyle name="Total 4" xfId="189" xr:uid="{00000000-0005-0000-0000-0000C0000000}"/>
    <cellStyle name="Total 5" xfId="234" xr:uid="{07B885FB-A596-4525-B542-5D38CC278B54}"/>
    <cellStyle name="Überschrift" xfId="377" xr:uid="{4616D817-B36F-4488-A67E-12E2E94F7A32}"/>
    <cellStyle name="Überschrift 1" xfId="320" xr:uid="{EEAC0980-BF94-4D1B-B5DC-45DBDDF06714}"/>
    <cellStyle name="Überschrift 2" xfId="359" xr:uid="{6735BC0B-0F0C-47A5-A93E-39D216E24E37}"/>
    <cellStyle name="Überschrift 3" xfId="351" xr:uid="{8DC6CD73-FFC1-4A82-9B98-804187C136C6}"/>
    <cellStyle name="Überschrift 4" xfId="346" xr:uid="{8729DC78-F15A-4A4A-8AB9-393370986BE8}"/>
    <cellStyle name="Ungültig" xfId="360" xr:uid="{E5923968-81B9-4950-9D4F-BD97F40ABAC1}"/>
    <cellStyle name="Ungültig 2" xfId="364" xr:uid="{7FA06825-8A9A-43C8-9411-B48130924E07}"/>
    <cellStyle name="UserBit_1" xfId="347" xr:uid="{4FCFFB9D-B4FE-4C90-91C8-0998DA4E7EC3}"/>
    <cellStyle name="Verknüpfte Zelle" xfId="361" xr:uid="{0D6DF97B-AD86-41A2-AE6E-0B3ADF1A0FEC}"/>
    <cellStyle name="Warnender Text" xfId="372" xr:uid="{5C6CA423-D5D5-4095-99E8-F8A9D7CD6963}"/>
    <cellStyle name="Warning Text 1" xfId="190" xr:uid="{00000000-0005-0000-0000-0000C1000000}"/>
    <cellStyle name="Warning Text 2" xfId="191" xr:uid="{00000000-0005-0000-0000-0000C2000000}"/>
    <cellStyle name="Warning Text 2 2" xfId="304" xr:uid="{85023AF8-42B5-4A32-92BE-212F81E15057}"/>
    <cellStyle name="Warning Text 3" xfId="192" xr:uid="{00000000-0005-0000-0000-0000C3000000}"/>
    <cellStyle name="Warning Text 4" xfId="193" xr:uid="{00000000-0005-0000-0000-0000C4000000}"/>
    <cellStyle name="Warning Text 5" xfId="216" xr:uid="{130ADA1B-65C9-4179-9981-71BBDAE7A821}"/>
    <cellStyle name="Zelle überprüfen" xfId="350" xr:uid="{242AAFAF-6CF8-4451-B67A-213536BA2AEB}"/>
  </cellStyles>
  <dxfs count="93"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0.59987182226020086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CD5B5"/>
        </patternFill>
      </fill>
    </dxf>
    <dxf>
      <fill>
        <patternFill>
          <bgColor rgb="FFE46C0A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0.59987182226020086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theme="6" tint="0.39988402966399123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6" tint="0.39988402966399123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6" tint="0.39988402966399123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E46C0A"/>
        </patternFill>
      </fill>
    </dxf>
    <dxf>
      <fill>
        <patternFill>
          <bgColor rgb="FFFCD5B5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0.5998718222602008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AC090"/>
      <rgbColor rgb="FFD7E4BD"/>
      <rgbColor rgb="FF800000"/>
      <rgbColor rgb="FF008000"/>
      <rgbColor rgb="FF000080"/>
      <rgbColor rgb="FF669900"/>
      <rgbColor rgb="FF800080"/>
      <rgbColor rgb="FF0070C0"/>
      <rgbColor rgb="FFC0C0C0"/>
      <rgbColor rgb="FF808080"/>
      <rgbColor rgb="FF93CDDD"/>
      <rgbColor rgb="FFE46C0A"/>
      <rgbColor rgb="FFFFFFCC"/>
      <rgbColor rgb="FFCCFFFF"/>
      <rgbColor rgb="FFFDEADA"/>
      <rgbColor rgb="FFFF8080"/>
      <rgbColor rgb="FF0066CC"/>
      <rgbColor rgb="FFCCCCFF"/>
      <rgbColor rgb="FF000080"/>
      <rgbColor rgb="FFFCD5B5"/>
      <rgbColor rgb="FFFFC000"/>
      <rgbColor rgb="FFDCE6F2"/>
      <rgbColor rgb="FFEEECE1"/>
      <rgbColor rgb="FF800000"/>
      <rgbColor rgb="FF77933C"/>
      <rgbColor rgb="FF0000FF"/>
      <rgbColor rgb="FFC3D69B"/>
      <rgbColor rgb="FFDBEEF4"/>
      <rgbColor rgb="FFCCFFCC"/>
      <rgbColor rgb="FFFFFF99"/>
      <rgbColor rgb="FF99CCFF"/>
      <rgbColor rgb="FFFF99CC"/>
      <rgbColor rgb="FFCC99FF"/>
      <rgbColor rgb="FFFFCC99"/>
      <rgbColor rgb="FFBFBFBF"/>
      <rgbColor rgb="FF33CCCC"/>
      <rgbColor rgb="FF92D050"/>
      <rgbColor rgb="FFFFCC00"/>
      <rgbColor rgb="FFFF9900"/>
      <rgbColor rgb="FFFF6600"/>
      <rgbColor rgb="FF558ED5"/>
      <rgbColor rgb="FF969696"/>
      <rgbColor rgb="FF003366"/>
      <rgbColor rgb="FF339966"/>
      <rgbColor rgb="FF0D0D0D"/>
      <rgbColor rgb="FFD9D9D9"/>
      <rgbColor rgb="FF993300"/>
      <rgbColor rgb="FFCCC1DA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91"/>
  <sheetViews>
    <sheetView topLeftCell="A73" zoomScale="112" zoomScaleNormal="112" workbookViewId="0">
      <selection activeCell="A22" sqref="A22:XFD91"/>
    </sheetView>
  </sheetViews>
  <sheetFormatPr defaultColWidth="9.140625" defaultRowHeight="12" outlineLevelCol="3"/>
  <cols>
    <col min="1" max="1" width="39.28515625" style="1" customWidth="1"/>
    <col min="2" max="2" width="34.5703125" style="1" bestFit="1" customWidth="1"/>
    <col min="3" max="4" width="17.140625" style="1" customWidth="1"/>
    <col min="5" max="5" width="10.7109375" style="1" customWidth="1" outlineLevel="3"/>
    <col min="6" max="6" width="12.85546875" style="1" customWidth="1" outlineLevel="3"/>
    <col min="7" max="8" width="11" style="1" customWidth="1" outlineLevel="3"/>
    <col min="9" max="9" width="9.140625" style="1" customWidth="1" outlineLevel="3"/>
    <col min="10" max="10" width="10.7109375" style="3" customWidth="1" outlineLevel="3"/>
    <col min="11" max="11" width="10.7109375" style="4" customWidth="1" outlineLevel="3"/>
    <col min="12" max="12" width="13.85546875" style="4" customWidth="1" outlineLevel="3"/>
    <col min="13" max="13" width="13.42578125" style="4" customWidth="1"/>
    <col min="14" max="14" width="12" style="4" customWidth="1"/>
    <col min="15" max="15" width="11" style="4" customWidth="1"/>
    <col min="16" max="16" width="6.85546875" style="4" customWidth="1"/>
    <col min="17" max="17" width="10.140625" style="4" customWidth="1"/>
    <col min="18" max="18" width="7.7109375" style="1" customWidth="1"/>
    <col min="19" max="19" width="9" style="3" customWidth="1"/>
    <col min="20" max="20" width="8.5703125" style="1" customWidth="1"/>
    <col min="21" max="21" width="14.42578125" style="1" customWidth="1"/>
    <col min="22" max="22" width="12.140625" style="1" customWidth="1"/>
    <col min="23" max="23" width="9.42578125" style="1" customWidth="1"/>
    <col min="24" max="24" width="9" style="1" customWidth="1"/>
    <col min="25" max="25" width="14.5703125" style="1" customWidth="1"/>
    <col min="26" max="26" width="11.140625" style="1" customWidth="1"/>
    <col min="27" max="27" width="7.7109375" style="1" customWidth="1"/>
    <col min="28" max="28" width="13.42578125" style="1" customWidth="1"/>
    <col min="29" max="29" width="10.28515625" style="1" customWidth="1"/>
    <col min="30" max="30" width="20" style="6" customWidth="1"/>
    <col min="31" max="31" width="10.5703125" style="6" customWidth="1"/>
    <col min="32" max="32" width="9.28515625" style="6" customWidth="1"/>
    <col min="33" max="33" width="7.28515625" style="1" customWidth="1"/>
    <col min="34" max="34" width="7.140625" style="1" customWidth="1"/>
    <col min="35" max="35" width="7.7109375" style="1" customWidth="1"/>
    <col min="36" max="36" width="6.7109375" style="1" customWidth="1"/>
    <col min="37" max="37" width="9.28515625" style="1" customWidth="1"/>
    <col min="38" max="38" width="10.42578125" style="1" customWidth="1"/>
    <col min="39" max="39" width="15" style="1" customWidth="1"/>
    <col min="40" max="40" width="10.140625" style="1" customWidth="1"/>
    <col min="41" max="41" width="11.42578125" style="1" customWidth="1"/>
    <col min="42" max="42" width="10.140625" style="1" customWidth="1"/>
    <col min="43" max="43" width="11.140625" style="1" customWidth="1"/>
    <col min="44" max="44" width="11.85546875" style="1" customWidth="1"/>
    <col min="45" max="45" width="13.5703125" style="1" customWidth="1"/>
    <col min="46" max="46" width="10.5703125" style="1" customWidth="1"/>
    <col min="47" max="47" width="18.28515625" style="1" customWidth="1"/>
    <col min="48" max="48" width="8.7109375" style="1" customWidth="1"/>
    <col min="49" max="49" width="10.5703125" style="1" customWidth="1"/>
    <col min="50" max="50" width="9.5703125" style="1" customWidth="1"/>
    <col min="51" max="51" width="23" style="1" customWidth="1"/>
    <col min="52" max="52" width="6.5703125" style="1" customWidth="1"/>
    <col min="53" max="53" width="10.42578125" style="1" customWidth="1"/>
    <col min="54" max="54" width="9.5703125" style="1" customWidth="1"/>
    <col min="55" max="58" width="9.140625" style="1"/>
    <col min="59" max="61" width="12.5703125" style="1" customWidth="1"/>
    <col min="62" max="67" width="10.7109375" style="1" customWidth="1"/>
    <col min="68" max="68" width="9.85546875" style="1" customWidth="1"/>
    <col min="69" max="69" width="10.7109375" style="1" customWidth="1"/>
    <col min="70" max="71" width="9.140625" style="1"/>
    <col min="72" max="72" width="9.85546875" style="1" customWidth="1"/>
    <col min="73" max="73" width="10.7109375" style="1" customWidth="1"/>
    <col min="74" max="74" width="11.28515625" style="1" customWidth="1"/>
    <col min="75" max="16384" width="9.140625" style="1"/>
  </cols>
  <sheetData>
    <row r="1" spans="1:38" ht="48">
      <c r="A1" s="149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323"/>
      <c r="H1" s="3"/>
      <c r="I1" s="323"/>
      <c r="J1" s="10" t="s">
        <v>6</v>
      </c>
      <c r="K1" s="11" t="s">
        <v>7</v>
      </c>
      <c r="L1" s="11" t="s">
        <v>8</v>
      </c>
      <c r="M1" s="12"/>
      <c r="N1" s="12"/>
      <c r="O1" s="323"/>
      <c r="P1" s="12"/>
      <c r="Q1" s="323"/>
      <c r="R1" s="323"/>
      <c r="T1" s="13"/>
      <c r="U1" s="13"/>
      <c r="V1" s="13"/>
      <c r="W1" s="13"/>
      <c r="X1" s="13"/>
      <c r="Y1" s="13"/>
      <c r="Z1" s="13"/>
      <c r="AA1" s="13"/>
      <c r="AB1" s="13"/>
      <c r="AC1" s="13"/>
      <c r="AD1" s="14"/>
      <c r="AE1" s="14"/>
      <c r="AF1" s="14"/>
      <c r="AG1" s="13"/>
      <c r="AH1" s="13"/>
      <c r="AI1" s="13"/>
      <c r="AJ1" s="13"/>
      <c r="AK1" s="13"/>
      <c r="AL1" s="13"/>
    </row>
    <row r="2" spans="1:38">
      <c r="A2" s="151" t="s">
        <v>9</v>
      </c>
      <c r="B2" s="152">
        <v>45000</v>
      </c>
      <c r="C2" s="153">
        <v>15765</v>
      </c>
      <c r="D2" s="153">
        <f>(D3+D4+D5+D6)*1.7</f>
        <v>5488.0586366935477</v>
      </c>
      <c r="E2" s="153">
        <f t="shared" ref="E2:E18" si="0">SUM(C2:D2)</f>
        <v>21253.058636693546</v>
      </c>
      <c r="F2" s="153">
        <f t="shared" ref="F2:F18" si="1">B2-E2</f>
        <v>23746.941363306454</v>
      </c>
      <c r="G2" s="323"/>
      <c r="H2" s="328" t="s">
        <v>10</v>
      </c>
      <c r="I2" s="328"/>
      <c r="J2" s="18">
        <v>6000</v>
      </c>
      <c r="K2" s="19">
        <v>0</v>
      </c>
      <c r="L2" s="20">
        <v>0.05</v>
      </c>
      <c r="M2" s="21"/>
      <c r="N2" s="21"/>
      <c r="O2" s="323"/>
      <c r="P2" s="12"/>
      <c r="Q2" s="323"/>
      <c r="R2" s="323"/>
      <c r="T2" s="12"/>
      <c r="U2" s="12"/>
      <c r="V2" s="12"/>
      <c r="W2" s="12"/>
      <c r="X2" s="12"/>
      <c r="Y2" s="12"/>
      <c r="Z2" s="12"/>
      <c r="AA2" s="12"/>
      <c r="AB2" s="12"/>
      <c r="AC2" s="12"/>
      <c r="AG2" s="12"/>
      <c r="AH2" s="12"/>
      <c r="AI2" s="12"/>
      <c r="AJ2" s="12"/>
      <c r="AK2" s="12"/>
      <c r="AL2" s="12"/>
    </row>
    <row r="3" spans="1:38">
      <c r="A3" s="152" t="s">
        <v>11</v>
      </c>
      <c r="B3" s="152">
        <v>3020</v>
      </c>
      <c r="C3" s="152">
        <v>2656</v>
      </c>
      <c r="D3" s="153">
        <f>U75</f>
        <v>711.26978629032249</v>
      </c>
      <c r="E3" s="153">
        <f t="shared" si="0"/>
        <v>3367.2697862903224</v>
      </c>
      <c r="F3" s="153">
        <f t="shared" si="1"/>
        <v>-347.26978629032237</v>
      </c>
      <c r="G3" s="323"/>
      <c r="H3" s="3"/>
      <c r="I3" s="323"/>
      <c r="J3" s="3" t="s">
        <v>12</v>
      </c>
      <c r="K3" s="4" t="s">
        <v>13</v>
      </c>
      <c r="L3" s="12"/>
      <c r="M3" s="12"/>
      <c r="N3" s="12"/>
      <c r="O3" s="323"/>
      <c r="P3" s="12"/>
      <c r="Q3" s="323"/>
      <c r="R3" s="323"/>
      <c r="T3" s="12"/>
      <c r="U3" s="12"/>
      <c r="V3" s="12"/>
      <c r="W3" s="12"/>
      <c r="X3" s="12"/>
      <c r="Y3" s="12"/>
      <c r="Z3" s="12"/>
      <c r="AA3" s="12"/>
      <c r="AB3" s="12"/>
      <c r="AC3" s="12"/>
      <c r="AG3" s="12"/>
      <c r="AH3" s="12"/>
      <c r="AI3" s="12"/>
      <c r="AJ3" s="12"/>
      <c r="AK3" s="12"/>
      <c r="AL3" s="12"/>
    </row>
    <row r="4" spans="1:38">
      <c r="A4" s="152" t="s">
        <v>14</v>
      </c>
      <c r="B4" s="152">
        <v>2880</v>
      </c>
      <c r="C4" s="153">
        <v>1978</v>
      </c>
      <c r="D4" s="153">
        <f>B4-C4</f>
        <v>902</v>
      </c>
      <c r="E4" s="152">
        <f t="shared" si="0"/>
        <v>2880</v>
      </c>
      <c r="F4" s="152">
        <f t="shared" si="1"/>
        <v>0</v>
      </c>
      <c r="G4" s="323"/>
      <c r="H4" s="3"/>
      <c r="I4" s="323" t="s">
        <v>15</v>
      </c>
      <c r="J4" s="23">
        <f>+J2*1.5</f>
        <v>9000</v>
      </c>
      <c r="K4" s="23" t="s">
        <v>16</v>
      </c>
      <c r="L4" s="25"/>
      <c r="M4" s="12"/>
      <c r="N4" s="323"/>
      <c r="O4" s="3"/>
      <c r="P4" s="12"/>
      <c r="Q4" s="12"/>
      <c r="R4" s="12"/>
      <c r="S4" s="12"/>
      <c r="T4" s="12"/>
      <c r="U4" s="323"/>
      <c r="V4" s="323"/>
      <c r="W4" s="323"/>
      <c r="X4" s="323"/>
      <c r="Y4" s="12"/>
      <c r="Z4" s="12"/>
      <c r="AA4" s="12"/>
      <c r="AB4" s="12"/>
      <c r="AC4" s="12"/>
      <c r="AG4" s="12"/>
      <c r="AH4" s="12"/>
      <c r="AI4" s="12"/>
      <c r="AJ4" s="12"/>
      <c r="AK4" s="12"/>
      <c r="AL4" s="12"/>
    </row>
    <row r="5" spans="1:38" ht="13.9">
      <c r="A5" s="152" t="s">
        <v>17</v>
      </c>
      <c r="B5" s="152">
        <v>2880</v>
      </c>
      <c r="C5" s="153">
        <v>1957</v>
      </c>
      <c r="D5" s="153">
        <f>B5-C5</f>
        <v>923</v>
      </c>
      <c r="E5" s="152">
        <f t="shared" si="0"/>
        <v>2880</v>
      </c>
      <c r="F5" s="152">
        <f t="shared" si="1"/>
        <v>0</v>
      </c>
      <c r="G5" s="323"/>
      <c r="H5" s="3"/>
      <c r="I5" s="323" t="s">
        <v>16</v>
      </c>
      <c r="J5" s="26">
        <f>+J2*1.2</f>
        <v>7200</v>
      </c>
      <c r="K5" s="26">
        <f>+J4</f>
        <v>9000</v>
      </c>
      <c r="L5" s="25"/>
      <c r="M5" s="12"/>
      <c r="N5" s="323"/>
      <c r="O5" s="324"/>
      <c r="P5" s="324"/>
      <c r="Q5" s="346" t="s">
        <v>18</v>
      </c>
      <c r="R5" s="346"/>
      <c r="S5" s="12">
        <f>C3+C4+C5+C6</f>
        <v>8059</v>
      </c>
      <c r="T5" s="12"/>
      <c r="U5" s="323"/>
      <c r="V5" s="323"/>
      <c r="W5" s="323"/>
      <c r="X5" s="323"/>
      <c r="Y5" s="12"/>
      <c r="Z5" s="12"/>
      <c r="AA5" s="12"/>
      <c r="AB5" s="12"/>
      <c r="AC5" s="12"/>
      <c r="AG5" s="12"/>
      <c r="AH5" s="12"/>
      <c r="AI5" s="12"/>
      <c r="AJ5" s="12"/>
      <c r="AK5" s="12"/>
      <c r="AL5" s="12"/>
    </row>
    <row r="6" spans="1:38" ht="13.9">
      <c r="A6" s="152" t="s">
        <v>19</v>
      </c>
      <c r="B6" s="154">
        <v>2160</v>
      </c>
      <c r="C6" s="154">
        <v>1468</v>
      </c>
      <c r="D6" s="153">
        <f>B6-C6</f>
        <v>692</v>
      </c>
      <c r="E6" s="154">
        <f t="shared" si="0"/>
        <v>2160</v>
      </c>
      <c r="F6" s="154">
        <f t="shared" si="1"/>
        <v>0</v>
      </c>
      <c r="G6" s="323"/>
      <c r="H6" s="3"/>
      <c r="I6" s="323" t="s">
        <v>20</v>
      </c>
      <c r="J6" s="27">
        <f>+J2</f>
        <v>6000</v>
      </c>
      <c r="K6" s="27">
        <f>+J5</f>
        <v>7200</v>
      </c>
      <c r="L6" s="25"/>
      <c r="M6" s="12"/>
      <c r="N6" s="323"/>
      <c r="O6" s="346" t="s">
        <v>21</v>
      </c>
      <c r="P6" s="346"/>
      <c r="Q6" s="346"/>
      <c r="R6" s="346"/>
      <c r="S6" s="28">
        <v>4781</v>
      </c>
      <c r="T6" s="12"/>
      <c r="U6" s="323"/>
      <c r="V6" s="323"/>
      <c r="W6" s="323"/>
      <c r="X6" s="323"/>
      <c r="Y6" s="12"/>
      <c r="Z6" s="12"/>
      <c r="AA6" s="12"/>
      <c r="AB6" s="12"/>
      <c r="AC6" s="12"/>
      <c r="AG6" s="12"/>
      <c r="AH6" s="12"/>
      <c r="AI6" s="12"/>
      <c r="AJ6" s="12"/>
      <c r="AK6" s="12"/>
      <c r="AL6" s="12"/>
    </row>
    <row r="7" spans="1:38" ht="13.9">
      <c r="A7" s="155" t="s">
        <v>22</v>
      </c>
      <c r="B7" s="152">
        <f>B2-B3-B4-B5-B6</f>
        <v>34060</v>
      </c>
      <c r="C7" s="153">
        <f>C2-(SUM(C3:C6))</f>
        <v>7706</v>
      </c>
      <c r="D7" s="153">
        <v>0</v>
      </c>
      <c r="E7" s="153">
        <f t="shared" si="0"/>
        <v>7706</v>
      </c>
      <c r="F7" s="153">
        <f t="shared" si="1"/>
        <v>26354</v>
      </c>
      <c r="G7" s="323"/>
      <c r="H7" s="3"/>
      <c r="I7" s="323" t="s">
        <v>23</v>
      </c>
      <c r="J7" s="29">
        <v>0</v>
      </c>
      <c r="K7" s="29" t="e">
        <f>+#REF!</f>
        <v>#REF!</v>
      </c>
      <c r="L7" s="12"/>
      <c r="M7" s="12"/>
      <c r="N7" s="346" t="s">
        <v>24</v>
      </c>
      <c r="O7" s="346"/>
      <c r="P7" s="346"/>
      <c r="Q7" s="346"/>
      <c r="R7" s="346"/>
      <c r="S7" s="28">
        <v>4597</v>
      </c>
      <c r="T7" s="12"/>
      <c r="U7" s="323"/>
      <c r="V7" s="323"/>
      <c r="W7" s="323"/>
      <c r="X7" s="323"/>
      <c r="Y7" s="12"/>
      <c r="Z7" s="12"/>
      <c r="AA7" s="12"/>
      <c r="AB7" s="12"/>
      <c r="AC7" s="12"/>
      <c r="AG7" s="12"/>
      <c r="AH7" s="12"/>
      <c r="AI7" s="12"/>
      <c r="AJ7" s="12"/>
      <c r="AK7" s="12"/>
      <c r="AL7" s="12"/>
    </row>
    <row r="8" spans="1:38">
      <c r="A8" s="152" t="s">
        <v>25</v>
      </c>
      <c r="B8" s="156">
        <v>4108.26</v>
      </c>
      <c r="C8" s="156">
        <v>4108</v>
      </c>
      <c r="D8" s="157">
        <v>0</v>
      </c>
      <c r="E8" s="156">
        <f t="shared" si="0"/>
        <v>4108</v>
      </c>
      <c r="F8" s="156">
        <f t="shared" si="1"/>
        <v>0.26000000000021828</v>
      </c>
      <c r="G8" s="323"/>
      <c r="H8" s="3"/>
      <c r="I8" s="323"/>
      <c r="J8" s="323"/>
      <c r="K8" s="323"/>
      <c r="L8" s="12"/>
      <c r="M8" s="12"/>
      <c r="N8" s="323"/>
      <c r="O8" s="31"/>
      <c r="P8" s="31"/>
      <c r="Q8" s="31" t="s">
        <v>26</v>
      </c>
      <c r="R8" s="31"/>
      <c r="S8" s="32">
        <f>S6/S7</f>
        <v>1.0400261039808572</v>
      </c>
      <c r="T8" s="12"/>
      <c r="U8" s="323"/>
      <c r="V8" s="323"/>
      <c r="W8" s="323"/>
      <c r="X8" s="323"/>
      <c r="Y8" s="12"/>
      <c r="Z8" s="12"/>
      <c r="AA8" s="12"/>
      <c r="AB8" s="12"/>
      <c r="AC8" s="12"/>
      <c r="AG8" s="12"/>
      <c r="AH8" s="12"/>
      <c r="AI8" s="12"/>
      <c r="AJ8" s="12"/>
      <c r="AK8" s="12"/>
      <c r="AL8" s="12"/>
    </row>
    <row r="9" spans="1:38">
      <c r="A9" s="152" t="s">
        <v>27</v>
      </c>
      <c r="B9" s="153">
        <v>3791.52</v>
      </c>
      <c r="C9" s="153">
        <v>3791.52</v>
      </c>
      <c r="D9" s="152">
        <v>0</v>
      </c>
      <c r="E9" s="153">
        <f t="shared" si="0"/>
        <v>3791.52</v>
      </c>
      <c r="F9" s="153">
        <f t="shared" si="1"/>
        <v>0</v>
      </c>
      <c r="G9" s="323"/>
      <c r="H9" s="3"/>
      <c r="I9" s="323"/>
      <c r="L9" s="12"/>
      <c r="M9" s="12"/>
      <c r="N9" s="323"/>
      <c r="O9" s="323"/>
      <c r="P9" s="323"/>
      <c r="Q9" s="323"/>
      <c r="R9" s="323"/>
      <c r="S9" s="323"/>
      <c r="T9" s="12"/>
      <c r="U9" s="323"/>
      <c r="V9" s="323"/>
      <c r="W9" s="323"/>
      <c r="X9" s="323"/>
      <c r="Y9" s="12"/>
      <c r="Z9" s="12"/>
      <c r="AA9" s="12"/>
      <c r="AB9" s="12"/>
      <c r="AC9" s="12"/>
      <c r="AG9" s="12"/>
      <c r="AH9" s="12"/>
      <c r="AI9" s="12"/>
      <c r="AJ9" s="12"/>
      <c r="AK9" s="12"/>
      <c r="AL9" s="12"/>
    </row>
    <row r="10" spans="1:38">
      <c r="A10" s="152" t="s">
        <v>28</v>
      </c>
      <c r="B10" s="152">
        <v>7713</v>
      </c>
      <c r="C10" s="152">
        <v>7713</v>
      </c>
      <c r="D10" s="152">
        <v>0</v>
      </c>
      <c r="E10" s="153">
        <f t="shared" si="0"/>
        <v>7713</v>
      </c>
      <c r="F10" s="152">
        <f t="shared" si="1"/>
        <v>0</v>
      </c>
      <c r="G10" s="33"/>
      <c r="H10" s="3"/>
      <c r="I10" s="323"/>
      <c r="L10" s="12"/>
      <c r="M10" s="12"/>
      <c r="N10" s="323"/>
      <c r="O10" s="3"/>
      <c r="P10" s="12"/>
      <c r="Q10" s="12"/>
      <c r="R10" s="12"/>
      <c r="S10" s="12"/>
      <c r="T10" s="12"/>
      <c r="U10" s="323"/>
      <c r="V10" s="323"/>
      <c r="W10" s="323"/>
      <c r="X10" s="323"/>
      <c r="Y10" s="12"/>
      <c r="Z10" s="12"/>
      <c r="AA10" s="12"/>
      <c r="AB10" s="12"/>
      <c r="AC10" s="12"/>
      <c r="AG10" s="12"/>
      <c r="AH10" s="12"/>
      <c r="AI10" s="12"/>
      <c r="AJ10" s="12"/>
      <c r="AK10" s="12"/>
      <c r="AL10" s="12"/>
    </row>
    <row r="11" spans="1:38">
      <c r="A11" s="152" t="s">
        <v>29</v>
      </c>
      <c r="B11" s="152">
        <v>9400</v>
      </c>
      <c r="C11" s="152">
        <v>9400</v>
      </c>
      <c r="D11" s="152">
        <v>0</v>
      </c>
      <c r="E11" s="153">
        <f t="shared" si="0"/>
        <v>9400</v>
      </c>
      <c r="F11" s="152">
        <f t="shared" si="1"/>
        <v>0</v>
      </c>
      <c r="G11" s="323"/>
      <c r="H11" s="3"/>
      <c r="I11" s="323"/>
      <c r="K11" s="4" t="s">
        <v>30</v>
      </c>
      <c r="L11" s="12"/>
      <c r="M11" s="12"/>
      <c r="N11" s="12"/>
      <c r="O11" s="323"/>
      <c r="P11" s="12"/>
      <c r="Q11" s="323"/>
      <c r="R11" s="323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G11" s="12"/>
      <c r="AH11" s="12"/>
      <c r="AI11" s="12"/>
      <c r="AJ11" s="12"/>
      <c r="AK11" s="12"/>
      <c r="AL11" s="12"/>
    </row>
    <row r="12" spans="1:38">
      <c r="A12" s="152" t="s">
        <v>31</v>
      </c>
      <c r="B12" s="152">
        <v>10500</v>
      </c>
      <c r="C12" s="152">
        <v>10500</v>
      </c>
      <c r="D12" s="152">
        <v>0</v>
      </c>
      <c r="E12" s="153">
        <f t="shared" si="0"/>
        <v>10500</v>
      </c>
      <c r="F12" s="152">
        <f t="shared" si="1"/>
        <v>0</v>
      </c>
      <c r="G12" s="323"/>
      <c r="H12" s="3"/>
      <c r="I12" s="323"/>
      <c r="L12" s="12"/>
      <c r="M12" s="12"/>
      <c r="N12" s="12"/>
      <c r="O12" s="323"/>
      <c r="P12" s="12"/>
      <c r="Q12" s="323"/>
      <c r="R12" s="323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G12" s="12"/>
      <c r="AH12" s="12"/>
      <c r="AI12" s="12"/>
      <c r="AJ12" s="12"/>
      <c r="AK12" s="12"/>
      <c r="AL12" s="12"/>
    </row>
    <row r="13" spans="1:38">
      <c r="A13" s="152" t="s">
        <v>32</v>
      </c>
      <c r="B13" s="152">
        <v>10500</v>
      </c>
      <c r="C13" s="152">
        <v>10500</v>
      </c>
      <c r="D13" s="154">
        <v>0</v>
      </c>
      <c r="E13" s="158">
        <f t="shared" si="0"/>
        <v>10500</v>
      </c>
      <c r="F13" s="154">
        <f t="shared" si="1"/>
        <v>0</v>
      </c>
      <c r="G13" s="323"/>
      <c r="H13" s="3"/>
      <c r="I13" s="323"/>
      <c r="L13" s="12"/>
      <c r="M13" s="12"/>
      <c r="N13" s="12"/>
      <c r="O13" s="323"/>
      <c r="P13" s="12"/>
      <c r="Q13" s="323"/>
      <c r="R13" s="323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G13" s="12"/>
      <c r="AH13" s="12"/>
      <c r="AI13" s="12"/>
      <c r="AJ13" s="12"/>
      <c r="AK13" s="12"/>
      <c r="AL13" s="12"/>
    </row>
    <row r="14" spans="1:38">
      <c r="A14" s="152" t="s">
        <v>33</v>
      </c>
      <c r="B14" s="152">
        <v>7000</v>
      </c>
      <c r="C14" s="155">
        <v>7000</v>
      </c>
      <c r="D14" s="155">
        <v>0</v>
      </c>
      <c r="E14" s="153">
        <f t="shared" si="0"/>
        <v>7000</v>
      </c>
      <c r="F14" s="152">
        <f t="shared" si="1"/>
        <v>0</v>
      </c>
      <c r="G14" s="323"/>
      <c r="H14" s="3">
        <v>629</v>
      </c>
      <c r="I14" s="3">
        <f>H14-D3</f>
        <v>-82.269786290322486</v>
      </c>
      <c r="L14" s="12"/>
      <c r="M14" s="12"/>
      <c r="N14" s="12"/>
      <c r="O14" s="323"/>
      <c r="P14" s="12"/>
      <c r="Q14" s="323"/>
      <c r="R14" s="323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G14" s="12"/>
      <c r="AH14" s="12"/>
      <c r="AI14" s="12"/>
      <c r="AJ14" s="12"/>
      <c r="AK14" s="12"/>
      <c r="AL14" s="12"/>
    </row>
    <row r="15" spans="1:38">
      <c r="A15" s="152" t="s">
        <v>34</v>
      </c>
      <c r="B15" s="152">
        <v>52</v>
      </c>
      <c r="C15" s="152">
        <v>49</v>
      </c>
      <c r="D15" s="323">
        <v>1</v>
      </c>
      <c r="E15" s="153">
        <f t="shared" si="0"/>
        <v>50</v>
      </c>
      <c r="F15" s="152">
        <f t="shared" si="1"/>
        <v>2</v>
      </c>
      <c r="G15" s="323"/>
      <c r="H15" s="3">
        <v>-1577.1</v>
      </c>
      <c r="I15" s="323"/>
      <c r="L15" s="12"/>
      <c r="M15" s="12"/>
      <c r="N15" s="12"/>
      <c r="O15" s="323"/>
      <c r="P15" s="12"/>
      <c r="Q15" s="323"/>
      <c r="R15" s="323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G15" s="12"/>
      <c r="AH15" s="12"/>
      <c r="AI15" s="12"/>
      <c r="AJ15" s="12"/>
      <c r="AK15" s="12"/>
      <c r="AL15" s="12"/>
    </row>
    <row r="16" spans="1:38">
      <c r="A16" s="152" t="s">
        <v>35</v>
      </c>
      <c r="B16" s="152">
        <v>0</v>
      </c>
      <c r="C16" s="152">
        <v>0</v>
      </c>
      <c r="D16" s="152">
        <v>0</v>
      </c>
      <c r="E16" s="156">
        <f t="shared" si="0"/>
        <v>0</v>
      </c>
      <c r="F16" s="157">
        <f t="shared" si="1"/>
        <v>0</v>
      </c>
      <c r="G16" s="323"/>
      <c r="H16" s="3">
        <f>H15+H14</f>
        <v>-948.09999999999991</v>
      </c>
      <c r="I16" s="323"/>
      <c r="L16" s="12"/>
      <c r="M16" s="12"/>
      <c r="N16" s="12"/>
      <c r="O16" s="323"/>
      <c r="P16" s="12"/>
      <c r="Q16" s="323"/>
      <c r="R16" s="323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G16" s="12"/>
      <c r="AH16" s="12"/>
      <c r="AI16" s="12"/>
      <c r="AJ16" s="12"/>
      <c r="AK16" s="12"/>
      <c r="AL16" s="12"/>
    </row>
    <row r="17" spans="1:77">
      <c r="A17" s="152" t="s">
        <v>36</v>
      </c>
      <c r="B17" s="152">
        <v>23</v>
      </c>
      <c r="C17" s="152">
        <v>23</v>
      </c>
      <c r="D17" s="152">
        <v>0</v>
      </c>
      <c r="E17" s="153">
        <f t="shared" si="0"/>
        <v>23</v>
      </c>
      <c r="F17" s="152">
        <f t="shared" si="1"/>
        <v>0</v>
      </c>
      <c r="G17" s="323"/>
      <c r="H17" s="3"/>
      <c r="I17" s="323"/>
      <c r="L17" s="12"/>
      <c r="M17" s="12"/>
      <c r="N17" s="12"/>
      <c r="O17" s="323"/>
      <c r="P17" s="12"/>
      <c r="Q17" s="323"/>
      <c r="R17" s="323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G17" s="12"/>
      <c r="AH17" s="12"/>
      <c r="AI17" s="12"/>
      <c r="AJ17" s="12"/>
      <c r="AK17" s="12"/>
      <c r="AL17" s="12"/>
      <c r="AM17" s="323"/>
      <c r="AN17" s="323"/>
      <c r="AO17" s="323"/>
      <c r="AP17" s="323"/>
      <c r="AQ17" s="323"/>
      <c r="AR17" s="323"/>
      <c r="AS17" s="323"/>
      <c r="AT17" s="323"/>
      <c r="AU17" s="323"/>
      <c r="AV17" s="323"/>
      <c r="AW17" s="323"/>
      <c r="AX17" s="323"/>
      <c r="AY17" s="323"/>
      <c r="AZ17" s="323"/>
      <c r="BA17" s="323"/>
      <c r="BB17" s="323"/>
      <c r="BC17" s="323"/>
      <c r="BD17" s="323"/>
      <c r="BE17" s="323"/>
      <c r="BF17" s="323"/>
      <c r="BG17" s="323"/>
      <c r="BH17" s="323"/>
      <c r="BI17" s="323"/>
      <c r="BJ17" s="323"/>
      <c r="BK17" s="323"/>
      <c r="BL17" s="323"/>
      <c r="BM17" s="323"/>
      <c r="BN17" s="323"/>
      <c r="BO17" s="323"/>
      <c r="BP17" s="323"/>
      <c r="BQ17" s="323"/>
      <c r="BR17" s="323"/>
      <c r="BS17" s="323"/>
      <c r="BT17" s="323"/>
      <c r="BU17" s="323"/>
      <c r="BV17" s="323"/>
      <c r="BW17" s="323"/>
      <c r="BX17" s="323"/>
      <c r="BY17" s="323"/>
    </row>
    <row r="18" spans="1:77">
      <c r="A18" s="152" t="s">
        <v>37</v>
      </c>
      <c r="B18" s="152">
        <v>131</v>
      </c>
      <c r="C18" s="152">
        <v>131</v>
      </c>
      <c r="D18" s="152">
        <v>0</v>
      </c>
      <c r="E18" s="153">
        <f t="shared" si="0"/>
        <v>131</v>
      </c>
      <c r="F18" s="152">
        <f t="shared" si="1"/>
        <v>0</v>
      </c>
      <c r="G18" s="323"/>
      <c r="H18" s="3"/>
      <c r="I18" s="323"/>
      <c r="L18" s="12"/>
      <c r="M18" s="12"/>
      <c r="N18" s="12"/>
      <c r="O18" s="323"/>
      <c r="P18" s="12"/>
      <c r="Q18" s="323"/>
      <c r="R18" s="323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G18" s="12"/>
      <c r="AH18" s="12"/>
      <c r="AI18" s="12"/>
      <c r="AJ18" s="12"/>
      <c r="AK18" s="12"/>
      <c r="AL18" s="12"/>
      <c r="AM18" s="323"/>
      <c r="AN18" s="323"/>
      <c r="AO18" s="323"/>
      <c r="AP18" s="323"/>
      <c r="AQ18" s="323"/>
      <c r="AR18" s="323"/>
      <c r="AS18" s="323"/>
      <c r="AT18" s="323"/>
      <c r="AU18" s="323"/>
      <c r="AV18" s="323"/>
      <c r="AW18" s="323"/>
      <c r="AX18" s="323"/>
      <c r="AY18" s="323"/>
      <c r="AZ18" s="323"/>
      <c r="BA18" s="323"/>
      <c r="BB18" s="323"/>
      <c r="BC18" s="323"/>
      <c r="BD18" s="323"/>
      <c r="BE18" s="323"/>
      <c r="BF18" s="323"/>
      <c r="BG18" s="323"/>
      <c r="BH18" s="323"/>
      <c r="BI18" s="323"/>
      <c r="BJ18" s="323"/>
      <c r="BK18" s="323"/>
      <c r="BL18" s="323"/>
      <c r="BM18" s="323"/>
      <c r="BN18" s="323"/>
      <c r="BO18" s="323"/>
      <c r="BP18" s="323"/>
      <c r="BQ18" s="323"/>
      <c r="BR18" s="323"/>
      <c r="BS18" s="323"/>
      <c r="BT18" s="323"/>
      <c r="BU18" s="323"/>
      <c r="BV18" s="323"/>
      <c r="BW18" s="323"/>
      <c r="BX18" s="323"/>
      <c r="BY18" s="323"/>
    </row>
    <row r="19" spans="1:77">
      <c r="A19" s="159"/>
      <c r="B19" s="159"/>
      <c r="C19" s="159"/>
      <c r="D19" s="159"/>
      <c r="E19" s="159"/>
      <c r="F19" s="159"/>
      <c r="G19" s="159"/>
      <c r="H19" s="159"/>
      <c r="I19" s="159"/>
      <c r="J19" s="160"/>
      <c r="K19" s="159"/>
      <c r="L19" s="159"/>
      <c r="M19" s="159"/>
      <c r="N19" s="159"/>
      <c r="O19" s="159"/>
      <c r="P19" s="159"/>
      <c r="Q19" s="159"/>
      <c r="R19" s="159"/>
      <c r="S19" s="160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G19" s="12"/>
      <c r="AH19" s="12"/>
      <c r="AI19" s="12"/>
      <c r="AJ19" s="12"/>
      <c r="AK19" s="12"/>
      <c r="AL19" s="12"/>
      <c r="AM19" s="323"/>
      <c r="AN19" s="323"/>
      <c r="AO19" s="323"/>
      <c r="AP19" s="323"/>
      <c r="AQ19" s="323"/>
      <c r="AR19" s="323"/>
      <c r="AS19" s="323"/>
      <c r="AT19" s="323"/>
      <c r="AU19" s="323"/>
      <c r="AV19" s="323"/>
      <c r="AW19" s="323"/>
      <c r="AX19" s="323"/>
      <c r="AY19" s="323"/>
      <c r="AZ19" s="323"/>
      <c r="BA19" s="323"/>
      <c r="BB19" s="323"/>
      <c r="BC19" s="323"/>
      <c r="BD19" s="323"/>
      <c r="BE19" s="323"/>
      <c r="BF19" s="323"/>
      <c r="BG19" s="323"/>
      <c r="BH19" s="323"/>
      <c r="BI19" s="323"/>
      <c r="BJ19" s="323"/>
      <c r="BK19" s="323"/>
      <c r="BL19" s="323"/>
      <c r="BM19" s="323"/>
      <c r="BN19" s="323"/>
      <c r="BO19" s="323"/>
      <c r="BP19" s="323"/>
      <c r="BQ19" s="323"/>
      <c r="BR19" s="323"/>
      <c r="BS19" s="323"/>
      <c r="BT19" s="323"/>
      <c r="BU19" s="323"/>
      <c r="BV19" s="323"/>
      <c r="BW19" s="323"/>
      <c r="BX19" s="323"/>
      <c r="BY19" s="323"/>
    </row>
    <row r="20" spans="1:77">
      <c r="A20" s="13"/>
      <c r="B20" s="161"/>
      <c r="C20" s="13"/>
      <c r="D20" s="13"/>
      <c r="E20" s="40"/>
      <c r="F20" s="40"/>
      <c r="G20" s="40"/>
      <c r="H20" s="40"/>
      <c r="I20" s="12"/>
      <c r="J20" s="41"/>
      <c r="K20" s="21"/>
      <c r="L20" s="21"/>
      <c r="M20" s="21"/>
      <c r="N20" s="21"/>
      <c r="O20" s="21"/>
      <c r="P20" s="21"/>
      <c r="Q20" s="21"/>
      <c r="R20" s="12"/>
      <c r="S20" s="43" t="s">
        <v>38</v>
      </c>
      <c r="T20" s="162"/>
      <c r="U20" s="162">
        <v>0.5</v>
      </c>
      <c r="V20" s="162" t="s">
        <v>39</v>
      </c>
      <c r="W20" s="162"/>
      <c r="X20" s="32">
        <f>S8</f>
        <v>1.0400261039808572</v>
      </c>
      <c r="Y20" s="162"/>
      <c r="Z20" s="162" t="s">
        <v>40</v>
      </c>
      <c r="AA20" s="163">
        <v>1.78</v>
      </c>
      <c r="AB20" s="162" t="s">
        <v>41</v>
      </c>
      <c r="AC20" s="164">
        <v>7.9</v>
      </c>
      <c r="AD20" s="6">
        <f>+AA20*(AC20*(30.5*24-AF20)+AF20*20)</f>
        <v>10422.612000000001</v>
      </c>
      <c r="AE20" s="6" t="s">
        <v>42</v>
      </c>
      <c r="AF20" s="165">
        <v>6</v>
      </c>
      <c r="AG20" s="162"/>
      <c r="AH20" s="162"/>
      <c r="AI20" s="162"/>
      <c r="AJ20" s="162"/>
      <c r="AK20" s="162"/>
      <c r="AL20" s="162"/>
      <c r="AM20" s="323"/>
      <c r="AN20" s="323"/>
      <c r="AO20" s="323"/>
      <c r="AP20" s="323"/>
      <c r="AQ20" s="323"/>
      <c r="AR20" s="323"/>
      <c r="AS20" s="323"/>
      <c r="AT20" s="323"/>
      <c r="AU20" s="323"/>
      <c r="AV20" s="323"/>
      <c r="AW20" s="323"/>
      <c r="AX20" s="323"/>
      <c r="AY20" s="323"/>
      <c r="AZ20" s="323"/>
      <c r="BA20" s="323"/>
      <c r="BB20" s="323"/>
      <c r="BC20" s="323"/>
      <c r="BD20" s="323"/>
      <c r="BE20" s="323"/>
      <c r="BF20" s="323"/>
      <c r="BG20" s="323"/>
      <c r="BH20" s="323"/>
      <c r="BI20" s="323"/>
      <c r="BJ20" s="323"/>
      <c r="BK20" s="323"/>
      <c r="BL20" s="323"/>
      <c r="BM20" s="323"/>
      <c r="BN20" s="323"/>
      <c r="BO20" s="323"/>
      <c r="BP20" s="323"/>
      <c r="BQ20" s="323"/>
      <c r="BR20" s="323"/>
      <c r="BS20" s="323"/>
      <c r="BT20" s="323"/>
      <c r="BU20" s="323"/>
      <c r="BV20" s="323"/>
      <c r="BW20" s="323"/>
      <c r="BX20" s="323"/>
      <c r="BY20" s="323"/>
    </row>
    <row r="21" spans="1:77" ht="13.5" customHeight="1">
      <c r="A21" s="13"/>
      <c r="B21" s="13"/>
      <c r="C21" s="329" t="s">
        <v>43</v>
      </c>
      <c r="D21" s="329"/>
      <c r="E21" s="330" t="s">
        <v>44</v>
      </c>
      <c r="F21" s="330"/>
      <c r="G21" s="330"/>
      <c r="H21" s="330"/>
      <c r="I21" s="330"/>
      <c r="J21" s="330"/>
      <c r="K21" s="330"/>
      <c r="L21" s="330"/>
      <c r="M21" s="330"/>
      <c r="N21" s="322"/>
      <c r="O21" s="331" t="s">
        <v>45</v>
      </c>
      <c r="P21" s="331"/>
      <c r="Q21" s="331"/>
      <c r="R21" s="331"/>
      <c r="S21" s="331"/>
      <c r="T21" s="331"/>
      <c r="U21" s="331"/>
      <c r="V21" s="331"/>
      <c r="W21" s="331"/>
      <c r="X21" s="331"/>
      <c r="Y21" s="331"/>
      <c r="Z21" s="332" t="s">
        <v>46</v>
      </c>
      <c r="AA21" s="332"/>
      <c r="AB21" s="332"/>
      <c r="AC21" s="332"/>
      <c r="AD21" s="332"/>
      <c r="AE21" s="333" t="s">
        <v>47</v>
      </c>
      <c r="AF21" s="333"/>
      <c r="AG21" s="333"/>
      <c r="AH21" s="333"/>
      <c r="AI21" s="333"/>
      <c r="AJ21" s="333"/>
      <c r="AK21" s="333"/>
      <c r="AL21" s="333"/>
      <c r="AM21" s="326" t="s">
        <v>48</v>
      </c>
      <c r="AN21" s="326"/>
      <c r="AO21" s="326"/>
      <c r="AP21" s="326"/>
      <c r="AQ21" s="326"/>
      <c r="AR21" s="326"/>
      <c r="AS21" s="326"/>
      <c r="AT21" s="326"/>
      <c r="AU21" s="327" t="s">
        <v>49</v>
      </c>
      <c r="AV21" s="327"/>
      <c r="AW21" s="327"/>
      <c r="AX21" s="327"/>
      <c r="AY21" s="323"/>
      <c r="AZ21" s="323"/>
      <c r="BA21" s="323"/>
      <c r="BB21" s="323"/>
      <c r="BC21" s="323"/>
      <c r="BD21" s="323"/>
      <c r="BE21" s="323"/>
      <c r="BF21" s="323"/>
      <c r="BG21" s="323"/>
      <c r="BH21" s="323"/>
      <c r="BI21" s="323"/>
      <c r="BJ21" s="323"/>
      <c r="BK21" s="323"/>
      <c r="BL21" s="323"/>
      <c r="BM21" s="323"/>
      <c r="BN21" s="323"/>
      <c r="BO21" s="323"/>
      <c r="BP21" s="323"/>
      <c r="BQ21" s="323"/>
      <c r="BR21" s="323"/>
      <c r="BS21" s="323"/>
      <c r="BT21" s="323"/>
      <c r="BU21" s="323"/>
      <c r="BV21" s="323"/>
      <c r="BW21" s="323"/>
      <c r="BX21" s="323"/>
      <c r="BY21" s="323"/>
    </row>
    <row r="22" spans="1:77" ht="42.75" customHeight="1">
      <c r="A22" s="149" t="s">
        <v>50</v>
      </c>
      <c r="B22" s="149" t="s">
        <v>51</v>
      </c>
      <c r="C22" s="166" t="s">
        <v>52</v>
      </c>
      <c r="D22" s="166" t="s">
        <v>53</v>
      </c>
      <c r="E22" s="166" t="s">
        <v>54</v>
      </c>
      <c r="F22" s="166" t="s">
        <v>55</v>
      </c>
      <c r="G22" s="167" t="s">
        <v>56</v>
      </c>
      <c r="H22" s="168" t="s">
        <v>57</v>
      </c>
      <c r="I22" s="169" t="s">
        <v>58</v>
      </c>
      <c r="J22" s="170" t="s">
        <v>59</v>
      </c>
      <c r="K22" s="168" t="s">
        <v>60</v>
      </c>
      <c r="L22" s="166" t="s">
        <v>61</v>
      </c>
      <c r="M22" s="168" t="s">
        <v>62</v>
      </c>
      <c r="N22" s="171" t="s">
        <v>63</v>
      </c>
      <c r="O22" s="172" t="s">
        <v>64</v>
      </c>
      <c r="P22" s="167" t="s">
        <v>56</v>
      </c>
      <c r="Q22" s="173" t="s">
        <v>65</v>
      </c>
      <c r="R22" s="174" t="s">
        <v>66</v>
      </c>
      <c r="S22" s="175" t="s">
        <v>67</v>
      </c>
      <c r="T22" s="168" t="s">
        <v>68</v>
      </c>
      <c r="U22" s="167" t="s">
        <v>69</v>
      </c>
      <c r="V22" s="173" t="s">
        <v>70</v>
      </c>
      <c r="W22" s="167" t="s">
        <v>71</v>
      </c>
      <c r="X22" s="167" t="s">
        <v>72</v>
      </c>
      <c r="Y22" s="167" t="s">
        <v>73</v>
      </c>
      <c r="Z22" s="173" t="s">
        <v>74</v>
      </c>
      <c r="AA22" s="60" t="s">
        <v>75</v>
      </c>
      <c r="AB22" s="61" t="s">
        <v>76</v>
      </c>
      <c r="AC22" s="62" t="s">
        <v>77</v>
      </c>
      <c r="AD22" s="176" t="s">
        <v>78</v>
      </c>
      <c r="AE22" s="177" t="s">
        <v>64</v>
      </c>
      <c r="AF22" s="176" t="s">
        <v>56</v>
      </c>
      <c r="AG22" s="168" t="s">
        <v>57</v>
      </c>
      <c r="AH22" s="149" t="s">
        <v>58</v>
      </c>
      <c r="AI22" s="168" t="s">
        <v>79</v>
      </c>
      <c r="AJ22" s="168" t="s">
        <v>60</v>
      </c>
      <c r="AK22" s="168" t="s">
        <v>68</v>
      </c>
      <c r="AL22" s="168" t="s">
        <v>80</v>
      </c>
      <c r="AM22" s="62" t="s">
        <v>81</v>
      </c>
      <c r="AN22" s="62" t="s">
        <v>82</v>
      </c>
      <c r="AO22" s="61" t="s">
        <v>83</v>
      </c>
      <c r="AP22" s="62" t="s">
        <v>47</v>
      </c>
      <c r="AQ22" s="62" t="s">
        <v>84</v>
      </c>
      <c r="AR22" s="62" t="s">
        <v>85</v>
      </c>
      <c r="AS22" s="65" t="s">
        <v>63</v>
      </c>
      <c r="AT22" s="62" t="s">
        <v>86</v>
      </c>
      <c r="AU22" s="62" t="s">
        <v>87</v>
      </c>
      <c r="AV22" s="61" t="s">
        <v>88</v>
      </c>
      <c r="AW22" s="61" t="s">
        <v>89</v>
      </c>
      <c r="AX22" s="61" t="s">
        <v>90</v>
      </c>
      <c r="AY22" s="60" t="s">
        <v>91</v>
      </c>
      <c r="AZ22" s="323"/>
      <c r="BA22" s="68" t="s">
        <v>92</v>
      </c>
      <c r="BB22" s="68" t="s">
        <v>93</v>
      </c>
      <c r="BC22" s="68" t="s">
        <v>94</v>
      </c>
      <c r="BD22" s="68" t="s">
        <v>95</v>
      </c>
      <c r="BE22" s="68" t="s">
        <v>96</v>
      </c>
      <c r="BF22" s="68"/>
      <c r="BG22" s="68" t="s">
        <v>97</v>
      </c>
      <c r="BH22" s="68" t="s">
        <v>98</v>
      </c>
      <c r="BI22" s="68" t="s">
        <v>99</v>
      </c>
      <c r="BJ22" s="68" t="s">
        <v>100</v>
      </c>
      <c r="BK22" s="68" t="s">
        <v>101</v>
      </c>
      <c r="BL22" s="68" t="s">
        <v>102</v>
      </c>
      <c r="BM22" s="68" t="s">
        <v>103</v>
      </c>
      <c r="BN22" s="68" t="s">
        <v>104</v>
      </c>
      <c r="BO22" s="68" t="s">
        <v>105</v>
      </c>
      <c r="BP22" s="68" t="s">
        <v>106</v>
      </c>
      <c r="BQ22" s="68" t="s">
        <v>107</v>
      </c>
      <c r="BR22" s="69" t="s">
        <v>108</v>
      </c>
      <c r="BS22" s="69"/>
      <c r="BT22" s="68" t="s">
        <v>106</v>
      </c>
      <c r="BU22" s="68" t="s">
        <v>105</v>
      </c>
      <c r="BV22" s="68" t="s">
        <v>109</v>
      </c>
      <c r="BW22" s="68" t="s">
        <v>110</v>
      </c>
      <c r="BX22" s="68" t="s">
        <v>111</v>
      </c>
      <c r="BY22" s="68" t="s">
        <v>112</v>
      </c>
    </row>
    <row r="23" spans="1:77" ht="14.45">
      <c r="A23" s="178" t="s">
        <v>113</v>
      </c>
      <c r="B23" s="151" t="s">
        <v>114</v>
      </c>
      <c r="C23" s="151" t="s">
        <v>115</v>
      </c>
      <c r="D23" s="179" t="s">
        <v>116</v>
      </c>
      <c r="E23" s="151" t="s">
        <v>117</v>
      </c>
      <c r="F23" s="151" t="s">
        <v>118</v>
      </c>
      <c r="G23" s="152" t="str">
        <f t="shared" ref="G23:G54" si="2">IF(E23="Rack","No of Racks",(IF(E23="Space","Sq Ft","U Space")))</f>
        <v>No of Racks</v>
      </c>
      <c r="H23" s="151">
        <v>5</v>
      </c>
      <c r="I23" s="151">
        <v>5</v>
      </c>
      <c r="J23" s="180">
        <f>H23-I23</f>
        <v>0</v>
      </c>
      <c r="K23" s="151">
        <v>5</v>
      </c>
      <c r="L23" s="151"/>
      <c r="M23" s="181">
        <f>1395000/12/2</f>
        <v>58125</v>
      </c>
      <c r="N23" s="182">
        <f>M23*12</f>
        <v>697500</v>
      </c>
      <c r="O23" s="183" t="str">
        <f t="shared" ref="O23:O55" si="3">C23</f>
        <v>Subscribed</v>
      </c>
      <c r="P23" s="151" t="s">
        <v>108</v>
      </c>
      <c r="Q23" s="151">
        <v>11</v>
      </c>
      <c r="R23" s="184">
        <v>6.97</v>
      </c>
      <c r="S23" s="185">
        <f t="shared" ref="S23:S31" si="4">Q23-R23</f>
        <v>4.03</v>
      </c>
      <c r="T23" s="186"/>
      <c r="U23" s="186">
        <f t="shared" ref="U23:U64" si="5">IF(S23&lt;=0,0,(IF(O23="Rated",(S23+T23)*$U$20,(S23+T23))))</f>
        <v>4.03</v>
      </c>
      <c r="V23" s="187">
        <f t="shared" ref="V23:V66" si="6">IF(O23="Rated",Q23*$U$20,Q23)</f>
        <v>11</v>
      </c>
      <c r="W23" s="188">
        <v>4.84</v>
      </c>
      <c r="X23" s="186"/>
      <c r="Y23" s="83">
        <f>484100/5/12</f>
        <v>8068.333333333333</v>
      </c>
      <c r="Z23" s="189" t="str">
        <f t="shared" ref="Z23:Z32" si="7">D23</f>
        <v>Bundled</v>
      </c>
      <c r="AA23" s="186"/>
      <c r="AB23" s="186"/>
      <c r="AC23" s="190"/>
      <c r="AD23">
        <v>5015.180999999995</v>
      </c>
      <c r="AE23" s="120"/>
      <c r="AF23" s="152" t="str">
        <f t="shared" ref="AF23:AF44" si="8">IF(AE23="No of Seats","No of Seats",(IF(AE23="Space","Sq Ft","")))</f>
        <v/>
      </c>
      <c r="AG23" s="186"/>
      <c r="AH23" s="186"/>
      <c r="AI23" s="186"/>
      <c r="AJ23" s="186"/>
      <c r="AK23" s="186"/>
      <c r="AL23" s="181"/>
      <c r="AM23" s="83">
        <f t="shared" ref="AM23:AM34" si="9">M23*K23</f>
        <v>290625</v>
      </c>
      <c r="AN23" s="83">
        <f t="shared" ref="AN23:AN45" si="10">Y23*X23</f>
        <v>0</v>
      </c>
      <c r="AO23" s="83">
        <f t="shared" ref="AO23:AO45" si="11">AD23*AC23*AA23</f>
        <v>0</v>
      </c>
      <c r="AP23" s="83">
        <f t="shared" ref="AP23:AP45" si="12">AL23*AJ23</f>
        <v>0</v>
      </c>
      <c r="AQ23" s="84">
        <f>(50000+270000)/12</f>
        <v>26666.666666666668</v>
      </c>
      <c r="AR23" s="85">
        <f t="shared" ref="AR23:AR45" si="13">SUBTOTAL(9,AM23:AQ23)</f>
        <v>0</v>
      </c>
      <c r="AS23" s="86">
        <f t="shared" ref="AS23:AS45" si="14">AR23*12</f>
        <v>0</v>
      </c>
      <c r="AT23" s="85" t="s">
        <v>119</v>
      </c>
      <c r="AU23" s="69" t="s">
        <v>120</v>
      </c>
      <c r="AV23" s="191">
        <v>42339</v>
      </c>
      <c r="AW23" s="69">
        <v>4</v>
      </c>
      <c r="AX23" s="191">
        <v>43800</v>
      </c>
      <c r="AY23" s="69" t="s">
        <v>121</v>
      </c>
      <c r="AZ23" s="323"/>
      <c r="BA23" s="84">
        <f t="shared" ref="BA23:BA45" si="15">IF(E23="Rack",AR23/H23,0)+IF(E23="U Space",AR23*40/H23,0)+IF(E23="Space",AR23*30/H23,0)</f>
        <v>0</v>
      </c>
      <c r="BB23" s="84">
        <f t="shared" ref="BB23:BB45" si="16">+AR23/V23</f>
        <v>0</v>
      </c>
      <c r="BC23" s="84">
        <f t="shared" ref="BC23:BC45" si="17">+($AM23+$AN23+$AO23-BJ23)/$V23</f>
        <v>19876.188956271242</v>
      </c>
      <c r="BD23" s="84">
        <f t="shared" ref="BD23:BD45" si="18">+($AM23+$AN23+$AO23-BK23)/$V23</f>
        <v>19876.188956271242</v>
      </c>
      <c r="BE23" s="84">
        <f t="shared" ref="BE23:BE45" si="19">+($AM23+$AN23+IF(D23="Bundled",0,V23*0.85*AA23*AC23*30.5*24)-BL23)/$V23</f>
        <v>15997.842545454543</v>
      </c>
      <c r="BF23" s="84"/>
      <c r="BG23" s="90">
        <f t="shared" ref="BG23:BG45" si="20">+AM23+AN23+AO23</f>
        <v>290625</v>
      </c>
      <c r="BH23" s="90">
        <f t="shared" ref="BH23:BH45" si="21">+BG23-BI23</f>
        <v>175976.26799999998</v>
      </c>
      <c r="BI23" s="90">
        <f t="shared" ref="BI23:BI45" si="22">IF(D23="Bundled",MIN(V23*$AD$20*(1+$K$2),BG23),AO23)</f>
        <v>114648.73200000002</v>
      </c>
      <c r="BJ23" s="91">
        <f t="shared" ref="BJ23:BJ64" si="23">IF($AD23&gt;0,$AD23*$AA$20*$AC$20*(1+$AF$20*(20/$AC$20)/732),$AD$20*W23)</f>
        <v>71986.921481016325</v>
      </c>
      <c r="BK23" s="91">
        <f t="shared" ref="BK23:BK64" si="24">IF($AD23&gt;0,$AD23*$AA$20*$AC$20*(1+$AF$20*(20/$AC$20)/732),+$AD$20*(W23+U23))</f>
        <v>71986.921481016325</v>
      </c>
      <c r="BL23" s="91">
        <f t="shared" ref="BL23:BL45" si="25">IF(D23="Bundled",$AD$20*V23,$AD$20*V23*0.85)</f>
        <v>114648.73200000002</v>
      </c>
      <c r="BM23" s="91">
        <f t="shared" ref="BM23:BM45" si="26">+BC23*V23</f>
        <v>218638.07851898368</v>
      </c>
      <c r="BN23" s="91">
        <f t="shared" ref="BN23:BN45" si="27">+$J$2*V23</f>
        <v>66000</v>
      </c>
      <c r="BO23" s="91">
        <f t="shared" ref="BO23:BO45" si="28">+BH23-BN23</f>
        <v>109976.26799999998</v>
      </c>
      <c r="BP23" s="91">
        <f t="shared" ref="BP23:BP45" si="29">+BI23-BJ23</f>
        <v>42661.810518983693</v>
      </c>
      <c r="BQ23" s="91">
        <f t="shared" ref="BQ23:BQ45" si="30">+BO23+BP23</f>
        <v>152638.07851898368</v>
      </c>
      <c r="BR23" s="91">
        <f t="shared" ref="BR23:BR45" si="31">+V23</f>
        <v>11</v>
      </c>
      <c r="BS23" s="91">
        <f t="shared" ref="BS23:BS45" si="32">+BC23</f>
        <v>19876.188956271242</v>
      </c>
      <c r="BT23" s="91">
        <f t="shared" ref="BT23:BT45" si="33">IF(D23="Bundled",BL23-BJ23,AO23-BJ23)</f>
        <v>42661.810518983693</v>
      </c>
      <c r="BU23" s="91">
        <f t="shared" ref="BU23:BU45" si="34">IF(D23="Bundled",+(BE23-$J$2)*V23,(AM23+AN23)-V23*$J$2)</f>
        <v>109976.26799999998</v>
      </c>
      <c r="BV23" s="91">
        <f t="shared" ref="BV23:BV45" si="35">+BT23+BU23</f>
        <v>152638.07851898368</v>
      </c>
      <c r="BW23" s="91">
        <f t="shared" ref="BW23:BW45" si="36">+BT23/$BR23</f>
        <v>3878.3464108166995</v>
      </c>
      <c r="BX23" s="91">
        <f t="shared" ref="BX23:BX45" si="37">+BU23/$BR23</f>
        <v>9997.8425454545431</v>
      </c>
      <c r="BY23" s="91">
        <f t="shared" ref="BY23:BY45" si="38">+BV23/$BR23</f>
        <v>13876.188956271244</v>
      </c>
    </row>
    <row r="24" spans="1:77" ht="14.45">
      <c r="A24" s="178" t="s">
        <v>122</v>
      </c>
      <c r="B24" s="151" t="s">
        <v>123</v>
      </c>
      <c r="C24" s="151" t="s">
        <v>124</v>
      </c>
      <c r="D24" s="179" t="s">
        <v>116</v>
      </c>
      <c r="E24" s="151" t="s">
        <v>117</v>
      </c>
      <c r="F24" s="151" t="s">
        <v>118</v>
      </c>
      <c r="G24" s="152" t="str">
        <f t="shared" si="2"/>
        <v>No of Racks</v>
      </c>
      <c r="H24" s="151">
        <v>1</v>
      </c>
      <c r="I24" s="151">
        <v>1</v>
      </c>
      <c r="J24" s="180">
        <f>H24-I24</f>
        <v>0</v>
      </c>
      <c r="K24" s="151">
        <v>1</v>
      </c>
      <c r="L24" s="151"/>
      <c r="M24" s="181">
        <f>897750/12</f>
        <v>74812.5</v>
      </c>
      <c r="N24" s="182">
        <f t="shared" ref="N24:N45" si="39">M24*12</f>
        <v>897750</v>
      </c>
      <c r="O24" s="183" t="str">
        <f t="shared" si="3"/>
        <v>Rated</v>
      </c>
      <c r="P24" s="151" t="s">
        <v>125</v>
      </c>
      <c r="Q24" s="151">
        <v>7</v>
      </c>
      <c r="R24" s="192">
        <v>1.17</v>
      </c>
      <c r="S24" s="185">
        <f t="shared" si="4"/>
        <v>5.83</v>
      </c>
      <c r="T24" s="186"/>
      <c r="U24" s="186">
        <f t="shared" si="5"/>
        <v>2.915</v>
      </c>
      <c r="V24" s="186">
        <f t="shared" si="6"/>
        <v>3.5</v>
      </c>
      <c r="W24" s="188">
        <v>0.78</v>
      </c>
      <c r="X24" s="186"/>
      <c r="Y24" s="83"/>
      <c r="Z24" s="189" t="str">
        <f t="shared" si="7"/>
        <v>Bundled</v>
      </c>
      <c r="AA24" s="186"/>
      <c r="AB24" s="186"/>
      <c r="AC24" s="190"/>
      <c r="AD24" s="193"/>
      <c r="AE24" s="120"/>
      <c r="AF24" s="152" t="str">
        <f t="shared" si="8"/>
        <v/>
      </c>
      <c r="AG24" s="186"/>
      <c r="AH24" s="186"/>
      <c r="AI24" s="186"/>
      <c r="AJ24" s="186"/>
      <c r="AK24" s="186"/>
      <c r="AL24" s="181"/>
      <c r="AM24" s="83">
        <f t="shared" si="9"/>
        <v>74812.5</v>
      </c>
      <c r="AN24" s="83">
        <f t="shared" si="10"/>
        <v>0</v>
      </c>
      <c r="AO24" s="83">
        <f t="shared" si="11"/>
        <v>0</v>
      </c>
      <c r="AP24" s="83">
        <f t="shared" si="12"/>
        <v>0</v>
      </c>
      <c r="AQ24" s="323"/>
      <c r="AR24" s="85">
        <f t="shared" si="13"/>
        <v>0</v>
      </c>
      <c r="AS24" s="86">
        <f t="shared" si="14"/>
        <v>0</v>
      </c>
      <c r="AT24" s="85" t="s">
        <v>119</v>
      </c>
      <c r="AU24" s="69"/>
      <c r="AV24" s="191">
        <v>43040</v>
      </c>
      <c r="AW24" s="69">
        <v>1</v>
      </c>
      <c r="AX24" s="191">
        <v>43374</v>
      </c>
      <c r="AY24" s="69"/>
      <c r="AZ24" s="323"/>
      <c r="BA24" s="84">
        <f t="shared" si="15"/>
        <v>0</v>
      </c>
      <c r="BB24" s="84">
        <f t="shared" si="16"/>
        <v>0</v>
      </c>
      <c r="BC24" s="84">
        <f t="shared" si="17"/>
        <v>19052.246468571429</v>
      </c>
      <c r="BD24" s="84">
        <f t="shared" si="18"/>
        <v>10371.699617142856</v>
      </c>
      <c r="BE24" s="84">
        <f t="shared" si="19"/>
        <v>10952.387999999997</v>
      </c>
      <c r="BF24" s="84"/>
      <c r="BG24" s="93">
        <f t="shared" si="20"/>
        <v>74812.5</v>
      </c>
      <c r="BH24" s="93">
        <f t="shared" si="21"/>
        <v>38333.357999999993</v>
      </c>
      <c r="BI24" s="93">
        <f t="shared" si="22"/>
        <v>36479.142000000007</v>
      </c>
      <c r="BJ24" s="91">
        <f t="shared" si="23"/>
        <v>8129.6373600000006</v>
      </c>
      <c r="BK24" s="91">
        <f t="shared" si="24"/>
        <v>38511.551340000005</v>
      </c>
      <c r="BL24" s="91">
        <f t="shared" si="25"/>
        <v>36479.142000000007</v>
      </c>
      <c r="BM24" s="91">
        <f t="shared" si="26"/>
        <v>66682.862640000007</v>
      </c>
      <c r="BN24" s="91">
        <f t="shared" si="27"/>
        <v>21000</v>
      </c>
      <c r="BO24" s="91">
        <f t="shared" si="28"/>
        <v>17333.357999999993</v>
      </c>
      <c r="BP24" s="91">
        <f t="shared" si="29"/>
        <v>28349.504640000006</v>
      </c>
      <c r="BQ24" s="91">
        <f t="shared" si="30"/>
        <v>45682.862639999999</v>
      </c>
      <c r="BR24" s="91">
        <f t="shared" si="31"/>
        <v>3.5</v>
      </c>
      <c r="BS24" s="91">
        <f t="shared" si="32"/>
        <v>19052.246468571429</v>
      </c>
      <c r="BT24" s="91">
        <f t="shared" si="33"/>
        <v>28349.504640000006</v>
      </c>
      <c r="BU24" s="91">
        <f t="shared" si="34"/>
        <v>17333.357999999989</v>
      </c>
      <c r="BV24" s="91">
        <f t="shared" si="35"/>
        <v>45682.862639999992</v>
      </c>
      <c r="BW24" s="91">
        <f t="shared" si="36"/>
        <v>8099.8584685714304</v>
      </c>
      <c r="BX24" s="91">
        <f t="shared" si="37"/>
        <v>4952.3879999999972</v>
      </c>
      <c r="BY24" s="91">
        <f t="shared" si="38"/>
        <v>13052.246468571426</v>
      </c>
    </row>
    <row r="25" spans="1:77" ht="14.45">
      <c r="A25" s="178" t="s">
        <v>122</v>
      </c>
      <c r="B25" s="151" t="s">
        <v>126</v>
      </c>
      <c r="C25" s="151" t="s">
        <v>124</v>
      </c>
      <c r="D25" s="179" t="s">
        <v>116</v>
      </c>
      <c r="E25" s="151" t="s">
        <v>117</v>
      </c>
      <c r="F25" s="151" t="s">
        <v>118</v>
      </c>
      <c r="G25" s="152" t="str">
        <f t="shared" si="2"/>
        <v>No of Racks</v>
      </c>
      <c r="H25" s="151">
        <v>5</v>
      </c>
      <c r="I25" s="151">
        <v>5</v>
      </c>
      <c r="J25" s="180">
        <v>0</v>
      </c>
      <c r="K25" s="151">
        <v>5</v>
      </c>
      <c r="L25" s="151"/>
      <c r="M25" s="181">
        <f>2200001/12</f>
        <v>183333.41666666666</v>
      </c>
      <c r="N25" s="182">
        <f t="shared" si="39"/>
        <v>2200001</v>
      </c>
      <c r="O25" s="183" t="str">
        <f t="shared" si="3"/>
        <v>Rated</v>
      </c>
      <c r="P25" s="151" t="s">
        <v>125</v>
      </c>
      <c r="Q25" s="151">
        <v>35</v>
      </c>
      <c r="R25" s="192">
        <v>16.739999999999998</v>
      </c>
      <c r="S25" s="185">
        <f t="shared" si="4"/>
        <v>18.260000000000002</v>
      </c>
      <c r="T25" s="186"/>
      <c r="U25" s="186">
        <f t="shared" si="5"/>
        <v>9.1300000000000008</v>
      </c>
      <c r="V25" s="186">
        <f t="shared" si="6"/>
        <v>17.5</v>
      </c>
      <c r="W25" s="188">
        <v>12.79</v>
      </c>
      <c r="X25" s="186"/>
      <c r="Y25" s="83">
        <f>90000/12</f>
        <v>7500</v>
      </c>
      <c r="Z25" s="189" t="str">
        <f t="shared" si="7"/>
        <v>Bundled</v>
      </c>
      <c r="AA25" s="186"/>
      <c r="AB25" s="186"/>
      <c r="AC25" s="190"/>
      <c r="AD25" s="193"/>
      <c r="AE25" s="120"/>
      <c r="AF25" s="152" t="str">
        <f t="shared" si="8"/>
        <v/>
      </c>
      <c r="AG25" s="186"/>
      <c r="AH25" s="186"/>
      <c r="AI25" s="186"/>
      <c r="AJ25" s="186"/>
      <c r="AK25" s="186"/>
      <c r="AL25" s="181"/>
      <c r="AM25" s="83">
        <f t="shared" si="9"/>
        <v>916667.08333333326</v>
      </c>
      <c r="AN25" s="83">
        <f t="shared" si="10"/>
        <v>0</v>
      </c>
      <c r="AO25" s="83">
        <f t="shared" si="11"/>
        <v>0</v>
      </c>
      <c r="AP25" s="83">
        <f t="shared" si="12"/>
        <v>0</v>
      </c>
      <c r="AQ25" s="84">
        <f>(50000+65000+25000+100000+629996.99)/12</f>
        <v>72499.749166666661</v>
      </c>
      <c r="AR25" s="85">
        <f t="shared" si="13"/>
        <v>0</v>
      </c>
      <c r="AS25" s="86">
        <f t="shared" si="14"/>
        <v>0</v>
      </c>
      <c r="AT25" s="85" t="s">
        <v>119</v>
      </c>
      <c r="AU25" s="69" t="s">
        <v>127</v>
      </c>
      <c r="AV25" s="191">
        <v>43101</v>
      </c>
      <c r="AW25" s="69">
        <v>2</v>
      </c>
      <c r="AX25" s="191">
        <v>43830</v>
      </c>
      <c r="AY25" s="69"/>
      <c r="AZ25" s="323"/>
      <c r="BA25" s="84">
        <f t="shared" si="15"/>
        <v>0</v>
      </c>
      <c r="BB25" s="84">
        <f t="shared" si="16"/>
        <v>0</v>
      </c>
      <c r="BC25" s="84">
        <f t="shared" si="17"/>
        <v>44763.535763047614</v>
      </c>
      <c r="BD25" s="84">
        <f t="shared" si="18"/>
        <v>39325.910188190464</v>
      </c>
      <c r="BE25" s="84">
        <f t="shared" si="19"/>
        <v>41958.36419047619</v>
      </c>
      <c r="BF25" s="84"/>
      <c r="BG25" s="93">
        <f t="shared" si="20"/>
        <v>916667.08333333326</v>
      </c>
      <c r="BH25" s="93">
        <f t="shared" si="21"/>
        <v>734271.37333333329</v>
      </c>
      <c r="BI25" s="93">
        <f t="shared" si="22"/>
        <v>182395.71000000002</v>
      </c>
      <c r="BJ25" s="91">
        <f t="shared" si="23"/>
        <v>133305.20748000001</v>
      </c>
      <c r="BK25" s="91">
        <f t="shared" si="24"/>
        <v>228463.65504000004</v>
      </c>
      <c r="BL25" s="91">
        <f t="shared" si="25"/>
        <v>182395.71000000002</v>
      </c>
      <c r="BM25" s="91">
        <f t="shared" si="26"/>
        <v>783361.87585333327</v>
      </c>
      <c r="BN25" s="91">
        <f t="shared" si="27"/>
        <v>105000</v>
      </c>
      <c r="BO25" s="91">
        <f t="shared" si="28"/>
        <v>629271.37333333329</v>
      </c>
      <c r="BP25" s="91">
        <f t="shared" si="29"/>
        <v>49090.502520000009</v>
      </c>
      <c r="BQ25" s="91">
        <f t="shared" si="30"/>
        <v>678361.87585333327</v>
      </c>
      <c r="BR25" s="91">
        <f t="shared" si="31"/>
        <v>17.5</v>
      </c>
      <c r="BS25" s="91">
        <f t="shared" si="32"/>
        <v>44763.535763047614</v>
      </c>
      <c r="BT25" s="91">
        <f t="shared" si="33"/>
        <v>49090.502520000009</v>
      </c>
      <c r="BU25" s="91">
        <f t="shared" si="34"/>
        <v>629271.37333333329</v>
      </c>
      <c r="BV25" s="91">
        <f t="shared" si="35"/>
        <v>678361.87585333327</v>
      </c>
      <c r="BW25" s="91">
        <f t="shared" si="36"/>
        <v>2805.1715725714289</v>
      </c>
      <c r="BX25" s="91">
        <f t="shared" si="37"/>
        <v>35958.36419047619</v>
      </c>
      <c r="BY25" s="91">
        <f t="shared" si="38"/>
        <v>38763.535763047614</v>
      </c>
    </row>
    <row r="26" spans="1:77" ht="14.45">
      <c r="A26" s="178" t="s">
        <v>122</v>
      </c>
      <c r="B26" s="151" t="s">
        <v>128</v>
      </c>
      <c r="C26" s="151" t="s">
        <v>124</v>
      </c>
      <c r="D26" s="179" t="s">
        <v>116</v>
      </c>
      <c r="E26" s="151" t="s">
        <v>117</v>
      </c>
      <c r="F26" s="151" t="s">
        <v>118</v>
      </c>
      <c r="G26" s="152" t="str">
        <f t="shared" si="2"/>
        <v>No of Racks</v>
      </c>
      <c r="H26" s="151">
        <v>2</v>
      </c>
      <c r="I26" s="151">
        <v>0</v>
      </c>
      <c r="J26" s="180">
        <f t="shared" ref="J26:J46" si="40">H26-I26</f>
        <v>2</v>
      </c>
      <c r="K26" s="151">
        <v>2</v>
      </c>
      <c r="L26" s="151"/>
      <c r="M26" s="181">
        <f>(609500+545100)/12</f>
        <v>96216.666666666672</v>
      </c>
      <c r="N26" s="83">
        <f t="shared" si="39"/>
        <v>1154600</v>
      </c>
      <c r="O26" s="183" t="str">
        <f t="shared" si="3"/>
        <v>Rated</v>
      </c>
      <c r="P26" s="151" t="s">
        <v>125</v>
      </c>
      <c r="Q26" s="151">
        <v>12</v>
      </c>
      <c r="R26" s="194">
        <v>10.130000000000001</v>
      </c>
      <c r="S26" s="185">
        <f t="shared" si="4"/>
        <v>1.8699999999999992</v>
      </c>
      <c r="T26" s="186"/>
      <c r="U26" s="186">
        <f t="shared" si="5"/>
        <v>0.93499999999999961</v>
      </c>
      <c r="V26" s="186">
        <f t="shared" si="6"/>
        <v>6</v>
      </c>
      <c r="W26" s="188">
        <v>4.1399999999999997</v>
      </c>
      <c r="X26" s="186"/>
      <c r="Y26" s="83">
        <f>65000/12</f>
        <v>5416.666666666667</v>
      </c>
      <c r="Z26" s="189" t="str">
        <f t="shared" si="7"/>
        <v>Bundled</v>
      </c>
      <c r="AA26" s="186"/>
      <c r="AB26" s="186"/>
      <c r="AC26" s="190"/>
      <c r="AD26" s="193"/>
      <c r="AE26" s="120"/>
      <c r="AF26" s="152" t="str">
        <f t="shared" si="8"/>
        <v/>
      </c>
      <c r="AG26" s="186"/>
      <c r="AH26" s="186"/>
      <c r="AI26" s="186"/>
      <c r="AJ26" s="186"/>
      <c r="AK26" s="186"/>
      <c r="AL26" s="181"/>
      <c r="AM26" s="83">
        <f t="shared" si="9"/>
        <v>192433.33333333334</v>
      </c>
      <c r="AN26" s="83">
        <f t="shared" si="10"/>
        <v>0</v>
      </c>
      <c r="AO26" s="83">
        <f t="shared" si="11"/>
        <v>0</v>
      </c>
      <c r="AP26" s="83">
        <f t="shared" si="12"/>
        <v>0</v>
      </c>
      <c r="AQ26" s="84">
        <f>(10000+20000+80000)/12</f>
        <v>9166.6666666666661</v>
      </c>
      <c r="AR26" s="85">
        <f t="shared" si="13"/>
        <v>0</v>
      </c>
      <c r="AS26" s="85">
        <f t="shared" si="14"/>
        <v>0</v>
      </c>
      <c r="AT26" s="85" t="s">
        <v>119</v>
      </c>
      <c r="AU26" s="69">
        <v>121000205</v>
      </c>
      <c r="AV26" s="191">
        <v>43604</v>
      </c>
      <c r="AW26" s="69">
        <v>1</v>
      </c>
      <c r="AX26" s="191">
        <v>43941</v>
      </c>
      <c r="AY26" s="69"/>
      <c r="AZ26" s="323"/>
      <c r="BA26" s="84">
        <f t="shared" si="15"/>
        <v>0</v>
      </c>
      <c r="BB26" s="84">
        <f t="shared" si="16"/>
        <v>0</v>
      </c>
      <c r="BC26" s="84">
        <f t="shared" si="17"/>
        <v>24880.619942222223</v>
      </c>
      <c r="BD26" s="84">
        <f t="shared" si="18"/>
        <v>23256.429572222227</v>
      </c>
      <c r="BE26" s="84">
        <f t="shared" si="19"/>
        <v>21649.610222222222</v>
      </c>
      <c r="BF26" s="84"/>
      <c r="BG26" s="93">
        <f t="shared" si="20"/>
        <v>192433.33333333334</v>
      </c>
      <c r="BH26" s="93">
        <f t="shared" si="21"/>
        <v>129897.66133333334</v>
      </c>
      <c r="BI26" s="93">
        <f t="shared" si="22"/>
        <v>62535.672000000006</v>
      </c>
      <c r="BJ26" s="91">
        <f t="shared" si="23"/>
        <v>43149.613680000002</v>
      </c>
      <c r="BK26" s="91">
        <f t="shared" si="24"/>
        <v>52894.755899999996</v>
      </c>
      <c r="BL26" s="91">
        <f t="shared" si="25"/>
        <v>62535.672000000006</v>
      </c>
      <c r="BM26" s="91">
        <f t="shared" si="26"/>
        <v>149283.71965333333</v>
      </c>
      <c r="BN26" s="91">
        <f t="shared" si="27"/>
        <v>36000</v>
      </c>
      <c r="BO26" s="91">
        <f t="shared" si="28"/>
        <v>93897.661333333337</v>
      </c>
      <c r="BP26" s="91">
        <f t="shared" si="29"/>
        <v>19386.058320000004</v>
      </c>
      <c r="BQ26" s="91">
        <f t="shared" si="30"/>
        <v>113283.71965333333</v>
      </c>
      <c r="BR26" s="91">
        <f t="shared" si="31"/>
        <v>6</v>
      </c>
      <c r="BS26" s="91">
        <f t="shared" si="32"/>
        <v>24880.619942222223</v>
      </c>
      <c r="BT26" s="91">
        <f t="shared" si="33"/>
        <v>19386.058320000004</v>
      </c>
      <c r="BU26" s="91">
        <f t="shared" si="34"/>
        <v>93897.661333333323</v>
      </c>
      <c r="BV26" s="91">
        <f t="shared" si="35"/>
        <v>113283.71965333333</v>
      </c>
      <c r="BW26" s="91">
        <f t="shared" si="36"/>
        <v>3231.0097200000005</v>
      </c>
      <c r="BX26" s="91">
        <f t="shared" si="37"/>
        <v>15649.61022222222</v>
      </c>
      <c r="BY26" s="91">
        <f t="shared" si="38"/>
        <v>18880.619942222223</v>
      </c>
    </row>
    <row r="27" spans="1:77" ht="18" customHeight="1">
      <c r="A27" s="178" t="s">
        <v>113</v>
      </c>
      <c r="B27" s="151" t="s">
        <v>129</v>
      </c>
      <c r="C27" s="151" t="s">
        <v>124</v>
      </c>
      <c r="D27" s="179" t="s">
        <v>130</v>
      </c>
      <c r="E27" s="151" t="s">
        <v>117</v>
      </c>
      <c r="F27" s="151" t="s">
        <v>131</v>
      </c>
      <c r="G27" s="152" t="str">
        <f t="shared" si="2"/>
        <v>No of Racks</v>
      </c>
      <c r="H27" s="151">
        <v>122</v>
      </c>
      <c r="I27" s="151">
        <v>114</v>
      </c>
      <c r="J27" s="180">
        <f t="shared" si="40"/>
        <v>8</v>
      </c>
      <c r="K27" s="151">
        <v>122</v>
      </c>
      <c r="L27" s="151">
        <v>0</v>
      </c>
      <c r="M27" s="181">
        <f>170000/12</f>
        <v>14166.666666666666</v>
      </c>
      <c r="N27" s="83">
        <f t="shared" si="39"/>
        <v>170000</v>
      </c>
      <c r="O27" s="183" t="str">
        <f t="shared" si="3"/>
        <v>Rated</v>
      </c>
      <c r="P27" s="151" t="s">
        <v>125</v>
      </c>
      <c r="Q27" s="153">
        <f>H27*6</f>
        <v>732</v>
      </c>
      <c r="R27" s="195">
        <v>1240</v>
      </c>
      <c r="S27" s="185">
        <f t="shared" si="4"/>
        <v>-508</v>
      </c>
      <c r="T27" s="186"/>
      <c r="U27" s="186">
        <f t="shared" si="5"/>
        <v>0</v>
      </c>
      <c r="V27" s="186">
        <f t="shared" si="6"/>
        <v>366</v>
      </c>
      <c r="W27" s="196">
        <f>AD27/(24*30)</f>
        <v>578.64027777777778</v>
      </c>
      <c r="X27" s="186">
        <v>601.60500000088905</v>
      </c>
      <c r="Y27" s="83">
        <f>39000/12</f>
        <v>3250</v>
      </c>
      <c r="Z27" s="189" t="str">
        <f t="shared" si="7"/>
        <v>Metered</v>
      </c>
      <c r="AA27" s="186">
        <v>1.8</v>
      </c>
      <c r="AB27" s="179" t="s">
        <v>132</v>
      </c>
      <c r="AC27" s="190">
        <v>8.1999999999999993</v>
      </c>
      <c r="AD27" s="197">
        <v>416621</v>
      </c>
      <c r="AE27" s="198" t="s">
        <v>133</v>
      </c>
      <c r="AF27" s="152" t="str">
        <f t="shared" si="8"/>
        <v>No of Seats</v>
      </c>
      <c r="AG27" s="153">
        <v>30</v>
      </c>
      <c r="AH27" s="153">
        <v>30</v>
      </c>
      <c r="AI27" s="151">
        <f>AG27-AH27</f>
        <v>0</v>
      </c>
      <c r="AJ27" s="153">
        <v>30</v>
      </c>
      <c r="AK27" s="153">
        <v>0</v>
      </c>
      <c r="AL27" s="83">
        <f>100000/12</f>
        <v>8333.3333333333339</v>
      </c>
      <c r="AM27" s="83">
        <f t="shared" si="9"/>
        <v>1728333.3333333333</v>
      </c>
      <c r="AN27" s="83">
        <f t="shared" si="10"/>
        <v>1955216.2500028894</v>
      </c>
      <c r="AO27" s="83">
        <f t="shared" si="11"/>
        <v>6149325.96</v>
      </c>
      <c r="AP27" s="83">
        <f t="shared" si="12"/>
        <v>250000.00000000003</v>
      </c>
      <c r="AQ27" s="84"/>
      <c r="AR27" s="85">
        <f t="shared" si="13"/>
        <v>10082875.543336224</v>
      </c>
      <c r="AS27" s="85">
        <f t="shared" si="14"/>
        <v>120994506.52003469</v>
      </c>
      <c r="AT27" s="85" t="s">
        <v>134</v>
      </c>
      <c r="AU27" s="68" t="s">
        <v>135</v>
      </c>
      <c r="AV27" s="191">
        <v>43132</v>
      </c>
      <c r="AW27" s="69">
        <v>4</v>
      </c>
      <c r="AX27" s="191">
        <v>44562</v>
      </c>
      <c r="AY27" s="69"/>
      <c r="AZ27" s="323"/>
      <c r="BA27" s="84">
        <f t="shared" si="15"/>
        <v>82646.520847018226</v>
      </c>
      <c r="BB27" s="84">
        <f t="shared" si="16"/>
        <v>27548.84028233941</v>
      </c>
      <c r="BC27" s="84">
        <f t="shared" si="17"/>
        <v>10526.720403185058</v>
      </c>
      <c r="BD27" s="84">
        <f t="shared" si="18"/>
        <v>10526.720403185058</v>
      </c>
      <c r="BE27" s="84">
        <f t="shared" si="19"/>
        <v>10388.794923869458</v>
      </c>
      <c r="BF27" s="84"/>
      <c r="BG27" s="93">
        <f t="shared" si="20"/>
        <v>9832875.5433362238</v>
      </c>
      <c r="BH27" s="93">
        <f t="shared" si="21"/>
        <v>3683549.5833362238</v>
      </c>
      <c r="BI27" s="93">
        <f t="shared" si="22"/>
        <v>6149325.96</v>
      </c>
      <c r="BJ27" s="91">
        <f t="shared" si="23"/>
        <v>5980095.8757704925</v>
      </c>
      <c r="BK27" s="91">
        <f t="shared" si="24"/>
        <v>5980095.8757704925</v>
      </c>
      <c r="BL27" s="91">
        <f t="shared" si="25"/>
        <v>3242474.5932000005</v>
      </c>
      <c r="BM27" s="91">
        <f t="shared" si="26"/>
        <v>3852779.6675657313</v>
      </c>
      <c r="BN27" s="91">
        <f t="shared" si="27"/>
        <v>2196000</v>
      </c>
      <c r="BO27" s="91">
        <f t="shared" si="28"/>
        <v>1487549.5833362238</v>
      </c>
      <c r="BP27" s="91">
        <f t="shared" si="29"/>
        <v>169230.08422950748</v>
      </c>
      <c r="BQ27" s="91">
        <f t="shared" si="30"/>
        <v>1656779.6675657313</v>
      </c>
      <c r="BR27" s="91">
        <f t="shared" si="31"/>
        <v>366</v>
      </c>
      <c r="BS27" s="91">
        <f t="shared" si="32"/>
        <v>10526.720403185058</v>
      </c>
      <c r="BT27" s="91">
        <f t="shared" si="33"/>
        <v>169230.08422950748</v>
      </c>
      <c r="BU27" s="91">
        <f t="shared" si="34"/>
        <v>1487549.5833362229</v>
      </c>
      <c r="BV27" s="91">
        <f t="shared" si="35"/>
        <v>1656779.6675657304</v>
      </c>
      <c r="BW27" s="91">
        <f t="shared" si="36"/>
        <v>462.37727931559419</v>
      </c>
      <c r="BX27" s="91">
        <f t="shared" si="37"/>
        <v>4064.3431238694616</v>
      </c>
      <c r="BY27" s="91">
        <f t="shared" si="38"/>
        <v>4526.7204031850561</v>
      </c>
    </row>
    <row r="28" spans="1:77" ht="14.45">
      <c r="A28" s="178" t="s">
        <v>136</v>
      </c>
      <c r="B28" s="151" t="s">
        <v>129</v>
      </c>
      <c r="C28" s="151" t="s">
        <v>124</v>
      </c>
      <c r="D28" s="179" t="s">
        <v>130</v>
      </c>
      <c r="E28" s="151" t="s">
        <v>117</v>
      </c>
      <c r="F28" s="151" t="s">
        <v>131</v>
      </c>
      <c r="G28" s="152" t="str">
        <f t="shared" si="2"/>
        <v>No of Racks</v>
      </c>
      <c r="H28" s="151">
        <v>325</v>
      </c>
      <c r="I28" s="151">
        <v>279</v>
      </c>
      <c r="J28" s="180">
        <f t="shared" si="40"/>
        <v>46</v>
      </c>
      <c r="K28" s="151">
        <v>325</v>
      </c>
      <c r="L28" s="151">
        <v>0</v>
      </c>
      <c r="M28" s="181">
        <f>170000/12</f>
        <v>14166.666666666666</v>
      </c>
      <c r="N28" s="83">
        <f t="shared" si="39"/>
        <v>170000</v>
      </c>
      <c r="O28" s="183" t="str">
        <f t="shared" si="3"/>
        <v>Rated</v>
      </c>
      <c r="P28" s="151" t="s">
        <v>125</v>
      </c>
      <c r="Q28" s="153">
        <f>H28*6</f>
        <v>1950</v>
      </c>
      <c r="R28" s="195">
        <v>2084.3000000000002</v>
      </c>
      <c r="S28" s="185">
        <f t="shared" si="4"/>
        <v>-134.30000000000018</v>
      </c>
      <c r="T28" s="186"/>
      <c r="U28" s="186">
        <f t="shared" si="5"/>
        <v>0</v>
      </c>
      <c r="V28" s="186">
        <f t="shared" si="6"/>
        <v>975</v>
      </c>
      <c r="W28" s="196">
        <f>AD28/(24*30)</f>
        <v>905.875</v>
      </c>
      <c r="X28" s="186">
        <v>1194.4781111111099</v>
      </c>
      <c r="Y28" s="83">
        <f>39000/12</f>
        <v>3250</v>
      </c>
      <c r="Z28" s="189" t="str">
        <f t="shared" si="7"/>
        <v>Metered</v>
      </c>
      <c r="AA28" s="186">
        <v>1.8</v>
      </c>
      <c r="AB28" s="179" t="s">
        <v>132</v>
      </c>
      <c r="AC28" s="190">
        <v>8.1999999999999993</v>
      </c>
      <c r="AD28" s="197">
        <v>652230</v>
      </c>
      <c r="AE28" s="120"/>
      <c r="AF28" s="152" t="str">
        <f t="shared" si="8"/>
        <v/>
      </c>
      <c r="AG28" s="186"/>
      <c r="AH28" s="186"/>
      <c r="AI28" s="151"/>
      <c r="AJ28" s="186"/>
      <c r="AK28" s="186"/>
      <c r="AL28" s="181"/>
      <c r="AM28" s="83">
        <f t="shared" si="9"/>
        <v>4604166.666666666</v>
      </c>
      <c r="AN28" s="83">
        <f t="shared" si="10"/>
        <v>3882053.8611111073</v>
      </c>
      <c r="AO28" s="83">
        <f t="shared" si="11"/>
        <v>9626914.8000000007</v>
      </c>
      <c r="AP28" s="83">
        <f t="shared" si="12"/>
        <v>0</v>
      </c>
      <c r="AQ28" s="84"/>
      <c r="AR28" s="85">
        <f t="shared" si="13"/>
        <v>18113135.327777773</v>
      </c>
      <c r="AS28" s="85">
        <f t="shared" si="14"/>
        <v>217357623.93333328</v>
      </c>
      <c r="AT28" s="85" t="s">
        <v>134</v>
      </c>
      <c r="AU28" s="69" t="s">
        <v>137</v>
      </c>
      <c r="AV28" s="191">
        <v>43132</v>
      </c>
      <c r="AW28" s="69">
        <v>4</v>
      </c>
      <c r="AX28" s="191">
        <v>44562</v>
      </c>
      <c r="AY28" s="69"/>
      <c r="AZ28" s="323"/>
      <c r="BA28" s="84">
        <f t="shared" si="15"/>
        <v>55732.724085470072</v>
      </c>
      <c r="BB28" s="84">
        <f t="shared" si="16"/>
        <v>18577.574695156691</v>
      </c>
      <c r="BC28" s="84">
        <f t="shared" si="17"/>
        <v>8975.542784942314</v>
      </c>
      <c r="BD28" s="84">
        <f t="shared" si="18"/>
        <v>8975.542784942314</v>
      </c>
      <c r="BE28" s="84">
        <f t="shared" si="19"/>
        <v>9028.2677259259199</v>
      </c>
      <c r="BF28" s="84"/>
      <c r="BG28" s="93">
        <f t="shared" si="20"/>
        <v>18113135.327777773</v>
      </c>
      <c r="BH28" s="93">
        <f t="shared" si="21"/>
        <v>8486220.5277777724</v>
      </c>
      <c r="BI28" s="93">
        <f t="shared" si="22"/>
        <v>9626914.8000000007</v>
      </c>
      <c r="BJ28" s="91">
        <f t="shared" si="23"/>
        <v>9361981.112459017</v>
      </c>
      <c r="BK28" s="91">
        <f t="shared" si="24"/>
        <v>9361981.112459017</v>
      </c>
      <c r="BL28" s="91">
        <f t="shared" si="25"/>
        <v>8637739.6950000003</v>
      </c>
      <c r="BM28" s="91">
        <f t="shared" si="26"/>
        <v>8751154.2153187562</v>
      </c>
      <c r="BN28" s="91">
        <f t="shared" si="27"/>
        <v>5850000</v>
      </c>
      <c r="BO28" s="91">
        <f t="shared" si="28"/>
        <v>2636220.5277777724</v>
      </c>
      <c r="BP28" s="91">
        <f t="shared" si="29"/>
        <v>264933.68754098378</v>
      </c>
      <c r="BQ28" s="91">
        <f t="shared" si="30"/>
        <v>2901154.2153187562</v>
      </c>
      <c r="BR28" s="91">
        <f t="shared" si="31"/>
        <v>975</v>
      </c>
      <c r="BS28" s="91">
        <f t="shared" si="32"/>
        <v>8975.542784942314</v>
      </c>
      <c r="BT28" s="91">
        <f t="shared" si="33"/>
        <v>264933.68754098378</v>
      </c>
      <c r="BU28" s="91">
        <f t="shared" si="34"/>
        <v>2636220.5277777724</v>
      </c>
      <c r="BV28" s="91">
        <f t="shared" si="35"/>
        <v>2901154.2153187562</v>
      </c>
      <c r="BW28" s="91">
        <f t="shared" si="36"/>
        <v>271.72685901639363</v>
      </c>
      <c r="BX28" s="91">
        <f t="shared" si="37"/>
        <v>2703.8159259259205</v>
      </c>
      <c r="BY28" s="91">
        <f t="shared" si="38"/>
        <v>2975.542784942314</v>
      </c>
    </row>
    <row r="29" spans="1:77" ht="14.45">
      <c r="A29" s="178" t="s">
        <v>138</v>
      </c>
      <c r="B29" s="151" t="s">
        <v>129</v>
      </c>
      <c r="C29" s="151" t="s">
        <v>124</v>
      </c>
      <c r="D29" s="179" t="s">
        <v>130</v>
      </c>
      <c r="E29" s="151" t="s">
        <v>117</v>
      </c>
      <c r="F29" s="151" t="s">
        <v>131</v>
      </c>
      <c r="G29" s="152" t="str">
        <f t="shared" si="2"/>
        <v>No of Racks</v>
      </c>
      <c r="H29" s="151">
        <v>150</v>
      </c>
      <c r="I29" s="151">
        <v>121</v>
      </c>
      <c r="J29" s="180">
        <f t="shared" si="40"/>
        <v>29</v>
      </c>
      <c r="K29" s="151">
        <v>150</v>
      </c>
      <c r="L29" s="151">
        <v>0</v>
      </c>
      <c r="M29" s="181">
        <f>170000/12</f>
        <v>14166.666666666666</v>
      </c>
      <c r="N29" s="83">
        <f t="shared" si="39"/>
        <v>170000</v>
      </c>
      <c r="O29" s="183" t="str">
        <f t="shared" si="3"/>
        <v>Rated</v>
      </c>
      <c r="P29" s="151" t="s">
        <v>125</v>
      </c>
      <c r="Q29" s="153">
        <f>H29*6+9*35</f>
        <v>1215</v>
      </c>
      <c r="R29" s="195">
        <v>582</v>
      </c>
      <c r="S29" s="185">
        <f t="shared" si="4"/>
        <v>633</v>
      </c>
      <c r="T29" s="186"/>
      <c r="U29" s="186">
        <f t="shared" si="5"/>
        <v>316.5</v>
      </c>
      <c r="V29" s="186">
        <f t="shared" si="6"/>
        <v>607.5</v>
      </c>
      <c r="W29" s="196">
        <f>AD29/(24*30)</f>
        <v>480.52499999999998</v>
      </c>
      <c r="X29" s="186">
        <v>572.29111111111104</v>
      </c>
      <c r="Y29" s="83">
        <f>39000/12</f>
        <v>3250</v>
      </c>
      <c r="Z29" s="189" t="str">
        <f t="shared" si="7"/>
        <v>Metered</v>
      </c>
      <c r="AA29" s="186">
        <v>1.8</v>
      </c>
      <c r="AB29" s="179" t="s">
        <v>132</v>
      </c>
      <c r="AC29" s="190">
        <v>8.1999999999999993</v>
      </c>
      <c r="AD29" s="197">
        <v>345978</v>
      </c>
      <c r="AE29" s="120"/>
      <c r="AF29" s="152" t="str">
        <f t="shared" si="8"/>
        <v/>
      </c>
      <c r="AG29" s="186"/>
      <c r="AH29" s="186"/>
      <c r="AI29" s="151"/>
      <c r="AJ29" s="186"/>
      <c r="AK29" s="186"/>
      <c r="AL29" s="181"/>
      <c r="AM29" s="83">
        <f t="shared" si="9"/>
        <v>2125000</v>
      </c>
      <c r="AN29" s="83">
        <f t="shared" si="10"/>
        <v>1859946.1111111108</v>
      </c>
      <c r="AO29" s="83">
        <f t="shared" si="11"/>
        <v>5106635.2799999993</v>
      </c>
      <c r="AP29" s="83">
        <f t="shared" si="12"/>
        <v>0</v>
      </c>
      <c r="AQ29" s="84"/>
      <c r="AR29" s="85">
        <f t="shared" si="13"/>
        <v>9091581.3911111094</v>
      </c>
      <c r="AS29" s="85">
        <f t="shared" si="14"/>
        <v>109098976.69333331</v>
      </c>
      <c r="AT29" s="85" t="s">
        <v>134</v>
      </c>
      <c r="AU29" s="69">
        <v>721006047</v>
      </c>
      <c r="AV29" s="191">
        <v>43132</v>
      </c>
      <c r="AW29" s="69">
        <v>4</v>
      </c>
      <c r="AX29" s="191">
        <v>44562</v>
      </c>
      <c r="AY29" s="69"/>
      <c r="AZ29" s="323"/>
      <c r="BA29" s="84">
        <f t="shared" si="15"/>
        <v>60610.542607407398</v>
      </c>
      <c r="BB29" s="84">
        <f t="shared" si="16"/>
        <v>14965.566075903062</v>
      </c>
      <c r="BC29" s="84">
        <f t="shared" si="17"/>
        <v>6790.9156219868501</v>
      </c>
      <c r="BD29" s="84">
        <f t="shared" si="18"/>
        <v>6790.9156219868501</v>
      </c>
      <c r="BE29" s="84">
        <f t="shared" si="19"/>
        <v>6884.033875903061</v>
      </c>
      <c r="BF29" s="84"/>
      <c r="BG29" s="93">
        <f t="shared" si="20"/>
        <v>9091581.3911111094</v>
      </c>
      <c r="BH29" s="93">
        <f t="shared" si="21"/>
        <v>3984946.1111111101</v>
      </c>
      <c r="BI29" s="93">
        <f t="shared" si="22"/>
        <v>5106635.2799999993</v>
      </c>
      <c r="BJ29" s="91">
        <f t="shared" si="23"/>
        <v>4966100.1507540978</v>
      </c>
      <c r="BK29" s="91">
        <f t="shared" si="24"/>
        <v>4966100.1507540978</v>
      </c>
      <c r="BL29" s="91">
        <f t="shared" si="25"/>
        <v>5381976.2715000007</v>
      </c>
      <c r="BM29" s="91">
        <f t="shared" si="26"/>
        <v>4125481.2403570116</v>
      </c>
      <c r="BN29" s="91">
        <f t="shared" si="27"/>
        <v>3645000</v>
      </c>
      <c r="BO29" s="91">
        <f t="shared" si="28"/>
        <v>339946.11111111008</v>
      </c>
      <c r="BP29" s="91">
        <f t="shared" si="29"/>
        <v>140535.12924590148</v>
      </c>
      <c r="BQ29" s="91">
        <f t="shared" si="30"/>
        <v>480481.24035701156</v>
      </c>
      <c r="BR29" s="91">
        <f t="shared" si="31"/>
        <v>607.5</v>
      </c>
      <c r="BS29" s="91">
        <f t="shared" si="32"/>
        <v>6790.9156219868501</v>
      </c>
      <c r="BT29" s="91">
        <f t="shared" si="33"/>
        <v>140535.12924590148</v>
      </c>
      <c r="BU29" s="91">
        <f t="shared" si="34"/>
        <v>339946.11111111101</v>
      </c>
      <c r="BV29" s="91">
        <f t="shared" si="35"/>
        <v>480481.24035701249</v>
      </c>
      <c r="BW29" s="91">
        <f t="shared" si="36"/>
        <v>231.33354608378843</v>
      </c>
      <c r="BX29" s="91">
        <f t="shared" si="37"/>
        <v>559.58207590306336</v>
      </c>
      <c r="BY29" s="91">
        <f t="shared" si="38"/>
        <v>790.91562198685187</v>
      </c>
    </row>
    <row r="30" spans="1:77" ht="14.45">
      <c r="A30" s="178" t="s">
        <v>122</v>
      </c>
      <c r="B30" s="151" t="s">
        <v>139</v>
      </c>
      <c r="C30" s="151" t="s">
        <v>124</v>
      </c>
      <c r="D30" s="179" t="s">
        <v>116</v>
      </c>
      <c r="E30" s="151" t="s">
        <v>117</v>
      </c>
      <c r="F30" s="151" t="s">
        <v>118</v>
      </c>
      <c r="G30" s="152" t="str">
        <f t="shared" si="2"/>
        <v>No of Racks</v>
      </c>
      <c r="H30" s="151">
        <v>2</v>
      </c>
      <c r="I30" s="151">
        <v>2</v>
      </c>
      <c r="J30" s="180">
        <f t="shared" si="40"/>
        <v>0</v>
      </c>
      <c r="K30" s="151">
        <v>2</v>
      </c>
      <c r="L30" s="151"/>
      <c r="M30" s="181">
        <f>500000/12</f>
        <v>41666.666666666664</v>
      </c>
      <c r="N30" s="83">
        <f t="shared" si="39"/>
        <v>500000</v>
      </c>
      <c r="O30" s="183" t="str">
        <f t="shared" si="3"/>
        <v>Rated</v>
      </c>
      <c r="P30" s="151" t="s">
        <v>125</v>
      </c>
      <c r="Q30" s="151">
        <v>3</v>
      </c>
      <c r="R30" s="192">
        <v>1.81</v>
      </c>
      <c r="S30" s="185">
        <f t="shared" si="4"/>
        <v>1.19</v>
      </c>
      <c r="T30" s="186"/>
      <c r="U30" s="186">
        <f t="shared" si="5"/>
        <v>0.59499999999999997</v>
      </c>
      <c r="V30" s="186">
        <f t="shared" si="6"/>
        <v>1.5</v>
      </c>
      <c r="W30" s="188">
        <v>3.57</v>
      </c>
      <c r="X30" s="186">
        <f>S30*-1</f>
        <v>-1.19</v>
      </c>
      <c r="Y30" s="83">
        <f>90000/12</f>
        <v>7500</v>
      </c>
      <c r="Z30" s="189" t="str">
        <f t="shared" si="7"/>
        <v>Bundled</v>
      </c>
      <c r="AA30" s="186"/>
      <c r="AB30" s="186"/>
      <c r="AC30" s="190"/>
      <c r="AD30" s="199"/>
      <c r="AE30" s="120"/>
      <c r="AF30" s="152" t="str">
        <f t="shared" si="8"/>
        <v/>
      </c>
      <c r="AG30" s="186"/>
      <c r="AH30" s="186"/>
      <c r="AI30" s="186"/>
      <c r="AJ30" s="186"/>
      <c r="AK30" s="186"/>
      <c r="AL30" s="181"/>
      <c r="AM30" s="83">
        <f t="shared" si="9"/>
        <v>83333.333333333328</v>
      </c>
      <c r="AN30" s="83">
        <f t="shared" si="10"/>
        <v>-8925</v>
      </c>
      <c r="AO30" s="83">
        <f t="shared" si="11"/>
        <v>0</v>
      </c>
      <c r="AP30" s="83">
        <f t="shared" si="12"/>
        <v>0</v>
      </c>
      <c r="AQ30" s="84">
        <f>60000/12</f>
        <v>5000</v>
      </c>
      <c r="AR30" s="85">
        <f t="shared" si="13"/>
        <v>0</v>
      </c>
      <c r="AS30" s="85">
        <f t="shared" si="14"/>
        <v>0</v>
      </c>
      <c r="AT30" s="85" t="s">
        <v>134</v>
      </c>
      <c r="AU30" s="69" t="s">
        <v>140</v>
      </c>
      <c r="AV30" s="191">
        <v>42370</v>
      </c>
      <c r="AW30" s="69">
        <v>5</v>
      </c>
      <c r="AX30" s="191">
        <v>44197</v>
      </c>
      <c r="AY30" s="69"/>
      <c r="AZ30" s="323"/>
      <c r="BA30" s="84">
        <f t="shared" si="15"/>
        <v>0</v>
      </c>
      <c r="BB30" s="84">
        <f t="shared" si="16"/>
        <v>0</v>
      </c>
      <c r="BC30" s="84">
        <f t="shared" si="17"/>
        <v>24799.738995555552</v>
      </c>
      <c r="BD30" s="84">
        <f t="shared" si="18"/>
        <v>20665.43623555555</v>
      </c>
      <c r="BE30" s="84">
        <f t="shared" si="19"/>
        <v>39182.943555555546</v>
      </c>
      <c r="BF30" s="84"/>
      <c r="BG30" s="93">
        <f t="shared" si="20"/>
        <v>74408.333333333328</v>
      </c>
      <c r="BH30" s="93">
        <f t="shared" si="21"/>
        <v>58774.415333333323</v>
      </c>
      <c r="BI30" s="93">
        <f t="shared" si="22"/>
        <v>15633.918000000001</v>
      </c>
      <c r="BJ30" s="91">
        <f t="shared" si="23"/>
        <v>37208.724840000003</v>
      </c>
      <c r="BK30" s="91">
        <f t="shared" si="24"/>
        <v>43410.178980000004</v>
      </c>
      <c r="BL30" s="91">
        <f t="shared" si="25"/>
        <v>15633.918000000001</v>
      </c>
      <c r="BM30" s="91">
        <f t="shared" si="26"/>
        <v>37199.608493333326</v>
      </c>
      <c r="BN30" s="91">
        <f t="shared" si="27"/>
        <v>9000</v>
      </c>
      <c r="BO30" s="91">
        <f t="shared" si="28"/>
        <v>49774.415333333323</v>
      </c>
      <c r="BP30" s="91">
        <f t="shared" si="29"/>
        <v>-21574.806840000001</v>
      </c>
      <c r="BQ30" s="91">
        <f t="shared" si="30"/>
        <v>28199.608493333322</v>
      </c>
      <c r="BR30" s="91">
        <f t="shared" si="31"/>
        <v>1.5</v>
      </c>
      <c r="BS30" s="91">
        <f t="shared" si="32"/>
        <v>24799.738995555552</v>
      </c>
      <c r="BT30" s="91">
        <f t="shared" si="33"/>
        <v>-21574.806840000001</v>
      </c>
      <c r="BU30" s="91">
        <f t="shared" si="34"/>
        <v>49774.415333333323</v>
      </c>
      <c r="BV30" s="91">
        <f t="shared" si="35"/>
        <v>28199.608493333322</v>
      </c>
      <c r="BW30" s="91">
        <f t="shared" si="36"/>
        <v>-14383.20456</v>
      </c>
      <c r="BX30" s="91">
        <f t="shared" si="37"/>
        <v>33182.943555555546</v>
      </c>
      <c r="BY30" s="91">
        <f t="shared" si="38"/>
        <v>18799.738995555548</v>
      </c>
    </row>
    <row r="31" spans="1:77" ht="14.45">
      <c r="A31" s="178" t="s">
        <v>122</v>
      </c>
      <c r="B31" s="151" t="s">
        <v>141</v>
      </c>
      <c r="C31" s="151" t="s">
        <v>124</v>
      </c>
      <c r="D31" s="179" t="s">
        <v>116</v>
      </c>
      <c r="E31" s="151" t="s">
        <v>117</v>
      </c>
      <c r="F31" s="151" t="s">
        <v>118</v>
      </c>
      <c r="G31" s="152" t="str">
        <f t="shared" si="2"/>
        <v>No of Racks</v>
      </c>
      <c r="H31" s="151">
        <v>2</v>
      </c>
      <c r="I31" s="151">
        <v>2</v>
      </c>
      <c r="J31" s="180">
        <f t="shared" si="40"/>
        <v>0</v>
      </c>
      <c r="K31" s="151">
        <v>2</v>
      </c>
      <c r="L31" s="151"/>
      <c r="M31" s="181">
        <f>410000/12</f>
        <v>34166.666666666664</v>
      </c>
      <c r="N31" s="182">
        <f t="shared" si="39"/>
        <v>410000</v>
      </c>
      <c r="O31" s="183" t="str">
        <f t="shared" si="3"/>
        <v>Rated</v>
      </c>
      <c r="P31" s="151" t="s">
        <v>125</v>
      </c>
      <c r="Q31" s="151">
        <v>12</v>
      </c>
      <c r="R31" s="192">
        <v>1.38</v>
      </c>
      <c r="S31" s="185">
        <f t="shared" si="4"/>
        <v>10.620000000000001</v>
      </c>
      <c r="T31" s="186"/>
      <c r="U31" s="186">
        <f t="shared" si="5"/>
        <v>5.3100000000000005</v>
      </c>
      <c r="V31" s="186">
        <f t="shared" si="6"/>
        <v>6</v>
      </c>
      <c r="W31" s="188">
        <v>2.62</v>
      </c>
      <c r="X31" s="186"/>
      <c r="Y31" s="83">
        <f>80000/12</f>
        <v>6666.666666666667</v>
      </c>
      <c r="Z31" s="189" t="str">
        <f t="shared" si="7"/>
        <v>Bundled</v>
      </c>
      <c r="AA31" s="186"/>
      <c r="AB31" s="186"/>
      <c r="AC31" s="190"/>
      <c r="AD31" s="199"/>
      <c r="AE31" s="120"/>
      <c r="AF31" s="152" t="str">
        <f t="shared" si="8"/>
        <v/>
      </c>
      <c r="AG31" s="186"/>
      <c r="AH31" s="186"/>
      <c r="AI31" s="186"/>
      <c r="AJ31" s="186"/>
      <c r="AK31" s="186"/>
      <c r="AL31" s="181"/>
      <c r="AM31" s="83">
        <f t="shared" si="9"/>
        <v>68333.333333333328</v>
      </c>
      <c r="AN31" s="83">
        <f t="shared" si="10"/>
        <v>0</v>
      </c>
      <c r="AO31" s="83">
        <f t="shared" si="11"/>
        <v>0</v>
      </c>
      <c r="AP31" s="83">
        <f t="shared" si="12"/>
        <v>0</v>
      </c>
      <c r="AQ31" s="84">
        <f>(18750+87500+12500)/12</f>
        <v>9895.8333333333339</v>
      </c>
      <c r="AR31" s="85">
        <f t="shared" si="13"/>
        <v>0</v>
      </c>
      <c r="AS31" s="86">
        <f t="shared" si="14"/>
        <v>0</v>
      </c>
      <c r="AT31" s="85" t="s">
        <v>119</v>
      </c>
      <c r="AU31" s="69" t="s">
        <v>142</v>
      </c>
      <c r="AV31" s="191">
        <v>43132</v>
      </c>
      <c r="AW31" s="69">
        <v>5</v>
      </c>
      <c r="AX31" s="191">
        <v>44927</v>
      </c>
      <c r="AY31" s="69"/>
      <c r="AZ31" s="323"/>
      <c r="BA31" s="84">
        <f t="shared" si="15"/>
        <v>0</v>
      </c>
      <c r="BB31" s="84">
        <f t="shared" si="16"/>
        <v>0</v>
      </c>
      <c r="BC31" s="84">
        <f t="shared" si="17"/>
        <v>6837.6816488888871</v>
      </c>
      <c r="BD31" s="84">
        <f t="shared" si="18"/>
        <v>-2386.3299711111154</v>
      </c>
      <c r="BE31" s="84">
        <f t="shared" si="19"/>
        <v>966.27688888888713</v>
      </c>
      <c r="BF31" s="84"/>
      <c r="BG31" s="90">
        <f t="shared" si="20"/>
        <v>68333.333333333328</v>
      </c>
      <c r="BH31" s="90">
        <f t="shared" si="21"/>
        <v>5797.6613333333225</v>
      </c>
      <c r="BI31" s="90">
        <f t="shared" si="22"/>
        <v>62535.672000000006</v>
      </c>
      <c r="BJ31" s="91">
        <f t="shared" si="23"/>
        <v>27307.243440000002</v>
      </c>
      <c r="BK31" s="91">
        <f t="shared" si="24"/>
        <v>82651.31316000002</v>
      </c>
      <c r="BL31" s="91">
        <f t="shared" si="25"/>
        <v>62535.672000000006</v>
      </c>
      <c r="BM31" s="91">
        <f t="shared" si="26"/>
        <v>41026.089893333323</v>
      </c>
      <c r="BN31" s="91">
        <f t="shared" si="27"/>
        <v>36000</v>
      </c>
      <c r="BO31" s="91">
        <f t="shared" si="28"/>
        <v>-30202.338666666677</v>
      </c>
      <c r="BP31" s="91">
        <f t="shared" si="29"/>
        <v>35228.42856</v>
      </c>
      <c r="BQ31" s="91">
        <f t="shared" si="30"/>
        <v>5026.0898933333228</v>
      </c>
      <c r="BR31" s="91">
        <f t="shared" si="31"/>
        <v>6</v>
      </c>
      <c r="BS31" s="91">
        <f t="shared" si="32"/>
        <v>6837.6816488888871</v>
      </c>
      <c r="BT31" s="91">
        <f t="shared" si="33"/>
        <v>35228.42856</v>
      </c>
      <c r="BU31" s="91">
        <f t="shared" si="34"/>
        <v>-30202.338666666677</v>
      </c>
      <c r="BV31" s="91">
        <f t="shared" si="35"/>
        <v>5026.0898933333228</v>
      </c>
      <c r="BW31" s="91">
        <f t="shared" si="36"/>
        <v>5871.4047600000004</v>
      </c>
      <c r="BX31" s="91">
        <f t="shared" si="37"/>
        <v>-5033.7231111111132</v>
      </c>
      <c r="BY31" s="91">
        <f t="shared" si="38"/>
        <v>837.68164888888714</v>
      </c>
    </row>
    <row r="32" spans="1:77" ht="14.45">
      <c r="A32" s="178" t="s">
        <v>122</v>
      </c>
      <c r="B32" s="200" t="s">
        <v>143</v>
      </c>
      <c r="C32" s="151" t="s">
        <v>124</v>
      </c>
      <c r="D32" s="179" t="s">
        <v>116</v>
      </c>
      <c r="E32" s="151" t="s">
        <v>117</v>
      </c>
      <c r="F32" s="151" t="s">
        <v>118</v>
      </c>
      <c r="G32" s="152" t="str">
        <f t="shared" si="2"/>
        <v>No of Racks</v>
      </c>
      <c r="H32" s="151">
        <v>20</v>
      </c>
      <c r="I32" s="151">
        <v>13</v>
      </c>
      <c r="J32" s="180">
        <f t="shared" si="40"/>
        <v>7</v>
      </c>
      <c r="K32" s="151">
        <v>0</v>
      </c>
      <c r="L32" s="151"/>
      <c r="M32" s="181">
        <v>0</v>
      </c>
      <c r="N32" s="182">
        <f t="shared" si="39"/>
        <v>0</v>
      </c>
      <c r="O32" s="183" t="str">
        <f t="shared" si="3"/>
        <v>Rated</v>
      </c>
      <c r="P32" s="151" t="s">
        <v>125</v>
      </c>
      <c r="Q32" s="151">
        <v>120</v>
      </c>
      <c r="R32" s="201">
        <v>19.38</v>
      </c>
      <c r="S32" s="185">
        <v>19.54</v>
      </c>
      <c r="T32" s="186"/>
      <c r="U32" s="186">
        <f t="shared" si="5"/>
        <v>9.77</v>
      </c>
      <c r="V32" s="186">
        <f t="shared" si="6"/>
        <v>60</v>
      </c>
      <c r="W32" s="202">
        <v>18.45</v>
      </c>
      <c r="X32" s="186"/>
      <c r="Y32" s="83"/>
      <c r="Z32" s="189" t="str">
        <f t="shared" si="7"/>
        <v>Bundled</v>
      </c>
      <c r="AA32" s="186"/>
      <c r="AB32" s="186"/>
      <c r="AC32" s="190"/>
      <c r="AD32" s="199"/>
      <c r="AE32" s="120"/>
      <c r="AF32" s="152" t="str">
        <f t="shared" si="8"/>
        <v/>
      </c>
      <c r="AG32" s="186"/>
      <c r="AH32" s="186"/>
      <c r="AI32" s="186"/>
      <c r="AJ32" s="186"/>
      <c r="AK32" s="186"/>
      <c r="AL32" s="181"/>
      <c r="AM32" s="83">
        <f t="shared" si="9"/>
        <v>0</v>
      </c>
      <c r="AN32" s="83">
        <f t="shared" si="10"/>
        <v>0</v>
      </c>
      <c r="AO32" s="83">
        <f t="shared" si="11"/>
        <v>0</v>
      </c>
      <c r="AP32" s="83">
        <f t="shared" si="12"/>
        <v>0</v>
      </c>
      <c r="AQ32" s="84"/>
      <c r="AR32" s="85">
        <f t="shared" si="13"/>
        <v>0</v>
      </c>
      <c r="AS32" s="86">
        <f t="shared" si="14"/>
        <v>0</v>
      </c>
      <c r="AT32" s="85"/>
      <c r="AU32" s="69"/>
      <c r="AV32" s="69"/>
      <c r="AW32" s="69"/>
      <c r="AX32" s="69"/>
      <c r="AY32" s="69"/>
      <c r="AZ32" s="323"/>
      <c r="BA32" s="84">
        <f t="shared" si="15"/>
        <v>0</v>
      </c>
      <c r="BB32" s="84">
        <f t="shared" si="16"/>
        <v>0</v>
      </c>
      <c r="BC32" s="84">
        <f t="shared" si="17"/>
        <v>-3204.9531900000002</v>
      </c>
      <c r="BD32" s="84">
        <f t="shared" si="18"/>
        <v>-4902.1018440000007</v>
      </c>
      <c r="BE32" s="84">
        <f t="shared" si="19"/>
        <v>-10422.612000000001</v>
      </c>
      <c r="BF32" s="84"/>
      <c r="BG32" s="90">
        <f t="shared" si="20"/>
        <v>0</v>
      </c>
      <c r="BH32" s="90">
        <f t="shared" si="21"/>
        <v>0</v>
      </c>
      <c r="BI32" s="90">
        <f t="shared" si="22"/>
        <v>0</v>
      </c>
      <c r="BJ32" s="91">
        <f t="shared" si="23"/>
        <v>192297.19140000001</v>
      </c>
      <c r="BK32" s="91">
        <f t="shared" si="24"/>
        <v>294126.11064000003</v>
      </c>
      <c r="BL32" s="91">
        <f t="shared" si="25"/>
        <v>625356.72000000009</v>
      </c>
      <c r="BM32" s="91">
        <f t="shared" si="26"/>
        <v>-192297.19140000001</v>
      </c>
      <c r="BN32" s="91">
        <f t="shared" si="27"/>
        <v>360000</v>
      </c>
      <c r="BO32" s="91">
        <f t="shared" si="28"/>
        <v>-360000</v>
      </c>
      <c r="BP32" s="91">
        <f t="shared" si="29"/>
        <v>-192297.19140000001</v>
      </c>
      <c r="BQ32" s="91">
        <f t="shared" si="30"/>
        <v>-552297.19140000001</v>
      </c>
      <c r="BR32" s="91">
        <f t="shared" si="31"/>
        <v>60</v>
      </c>
      <c r="BS32" s="91">
        <f t="shared" si="32"/>
        <v>-3204.9531900000002</v>
      </c>
      <c r="BT32" s="91">
        <f t="shared" si="33"/>
        <v>433059.52860000008</v>
      </c>
      <c r="BU32" s="91">
        <f t="shared" si="34"/>
        <v>-985356.72000000009</v>
      </c>
      <c r="BV32" s="91">
        <f t="shared" si="35"/>
        <v>-552297.19140000001</v>
      </c>
      <c r="BW32" s="91">
        <f t="shared" si="36"/>
        <v>7217.6588100000017</v>
      </c>
      <c r="BX32" s="91">
        <f t="shared" si="37"/>
        <v>-16422.612000000001</v>
      </c>
      <c r="BY32" s="91">
        <f t="shared" si="38"/>
        <v>-9204.9531900000002</v>
      </c>
    </row>
    <row r="33" spans="1:77" s="99" customFormat="1" ht="14.45">
      <c r="A33" s="203" t="s">
        <v>122</v>
      </c>
      <c r="B33" s="151" t="s">
        <v>144</v>
      </c>
      <c r="C33" s="204" t="s">
        <v>115</v>
      </c>
      <c r="D33" s="205" t="s">
        <v>116</v>
      </c>
      <c r="E33" s="204" t="s">
        <v>117</v>
      </c>
      <c r="F33" s="204" t="s">
        <v>118</v>
      </c>
      <c r="G33" s="206" t="str">
        <f t="shared" si="2"/>
        <v>No of Racks</v>
      </c>
      <c r="H33" s="206">
        <v>5</v>
      </c>
      <c r="I33" s="206">
        <v>5</v>
      </c>
      <c r="J33" s="207">
        <f t="shared" si="40"/>
        <v>0</v>
      </c>
      <c r="K33" s="206">
        <v>5</v>
      </c>
      <c r="L33" s="206"/>
      <c r="M33" s="95">
        <f>312500/12</f>
        <v>26041.666666666668</v>
      </c>
      <c r="N33" s="83">
        <f t="shared" si="39"/>
        <v>312500</v>
      </c>
      <c r="O33" s="208" t="str">
        <f t="shared" si="3"/>
        <v>Subscribed</v>
      </c>
      <c r="P33" s="204" t="s">
        <v>108</v>
      </c>
      <c r="Q33" s="187">
        <v>12.6812862903226</v>
      </c>
      <c r="R33" s="209">
        <v>12.13</v>
      </c>
      <c r="S33" s="210">
        <f t="shared" ref="S33:S74" si="41">Q33-R33</f>
        <v>0.55128629032259902</v>
      </c>
      <c r="T33" s="187"/>
      <c r="U33" s="187">
        <f t="shared" si="5"/>
        <v>0.55128629032259902</v>
      </c>
      <c r="V33" s="187">
        <f t="shared" si="6"/>
        <v>12.6812862903226</v>
      </c>
      <c r="W33" s="202">
        <f>R33</f>
        <v>12.13</v>
      </c>
      <c r="X33" s="186"/>
      <c r="Y33" s="95">
        <f>115000/12</f>
        <v>9583.3333333333339</v>
      </c>
      <c r="Z33" s="211" t="s">
        <v>130</v>
      </c>
      <c r="AA33" s="206"/>
      <c r="AB33" s="205" t="s">
        <v>145</v>
      </c>
      <c r="AC33" s="212">
        <v>17</v>
      </c>
      <c r="AD33" s="213">
        <v>8798.4109999999928</v>
      </c>
      <c r="AE33" s="214"/>
      <c r="AF33" s="206" t="str">
        <f t="shared" si="8"/>
        <v/>
      </c>
      <c r="AG33" s="206"/>
      <c r="AH33" s="206"/>
      <c r="AI33" s="206"/>
      <c r="AJ33" s="206"/>
      <c r="AK33" s="206"/>
      <c r="AL33" s="215"/>
      <c r="AM33" s="95">
        <f t="shared" si="9"/>
        <v>130208.33333333334</v>
      </c>
      <c r="AN33" s="95">
        <f t="shared" si="10"/>
        <v>0</v>
      </c>
      <c r="AO33" s="95">
        <f t="shared" si="11"/>
        <v>0</v>
      </c>
      <c r="AP33" s="95">
        <f t="shared" si="12"/>
        <v>0</v>
      </c>
      <c r="AQ33" s="96">
        <f>60000+10000+20000+1250000/12</f>
        <v>194166.66666666669</v>
      </c>
      <c r="AR33" s="97">
        <f t="shared" si="13"/>
        <v>0</v>
      </c>
      <c r="AS33" s="85">
        <f t="shared" si="14"/>
        <v>0</v>
      </c>
      <c r="AT33" s="97" t="s">
        <v>119</v>
      </c>
      <c r="AU33" s="98">
        <v>121000307</v>
      </c>
      <c r="AV33" s="216">
        <v>43391</v>
      </c>
      <c r="AW33" s="98">
        <v>1</v>
      </c>
      <c r="AX33" s="216">
        <v>43727</v>
      </c>
      <c r="AY33" s="98" t="s">
        <v>146</v>
      </c>
      <c r="BA33" s="96">
        <f t="shared" si="15"/>
        <v>0</v>
      </c>
      <c r="BB33" s="96">
        <f t="shared" si="16"/>
        <v>0</v>
      </c>
      <c r="BC33" s="96">
        <f t="shared" si="17"/>
        <v>308.93338298607222</v>
      </c>
      <c r="BD33" s="96">
        <f t="shared" si="18"/>
        <v>308.93338298607222</v>
      </c>
      <c r="BE33" s="96">
        <f t="shared" si="19"/>
        <v>-154.85758200389324</v>
      </c>
      <c r="BF33" s="96"/>
      <c r="BG33" s="217">
        <f t="shared" si="20"/>
        <v>130208.33333333334</v>
      </c>
      <c r="BH33" s="217">
        <f t="shared" si="21"/>
        <v>0</v>
      </c>
      <c r="BI33" s="217">
        <f t="shared" si="22"/>
        <v>130208.33333333334</v>
      </c>
      <c r="BJ33" s="100">
        <f t="shared" si="23"/>
        <v>126290.66065904908</v>
      </c>
      <c r="BK33" s="100">
        <f t="shared" si="24"/>
        <v>126290.66065904908</v>
      </c>
      <c r="BL33" s="100">
        <f t="shared" si="25"/>
        <v>132172.12666495182</v>
      </c>
      <c r="BM33" s="100">
        <f t="shared" si="26"/>
        <v>3917.6726742842588</v>
      </c>
      <c r="BN33" s="100">
        <f t="shared" si="27"/>
        <v>76087.717741935601</v>
      </c>
      <c r="BO33" s="100">
        <f t="shared" si="28"/>
        <v>-76087.717741935601</v>
      </c>
      <c r="BP33" s="100">
        <f t="shared" si="29"/>
        <v>3917.6726742842584</v>
      </c>
      <c r="BQ33" s="100">
        <f t="shared" si="30"/>
        <v>-72170.045067651343</v>
      </c>
      <c r="BR33" s="100">
        <f t="shared" si="31"/>
        <v>12.6812862903226</v>
      </c>
      <c r="BS33" s="100">
        <f t="shared" si="32"/>
        <v>308.93338298607222</v>
      </c>
      <c r="BT33" s="100">
        <f t="shared" si="33"/>
        <v>5881.4660059027374</v>
      </c>
      <c r="BU33" s="100">
        <f t="shared" si="34"/>
        <v>-78051.51107355408</v>
      </c>
      <c r="BV33" s="100">
        <f t="shared" si="35"/>
        <v>-72170.045067651343</v>
      </c>
      <c r="BW33" s="100">
        <f t="shared" si="36"/>
        <v>463.7909649899654</v>
      </c>
      <c r="BX33" s="100">
        <f t="shared" si="37"/>
        <v>-6154.8575820038932</v>
      </c>
      <c r="BY33" s="100">
        <f t="shared" si="38"/>
        <v>-5691.0666170139284</v>
      </c>
    </row>
    <row r="34" spans="1:77" s="99" customFormat="1" ht="14.45">
      <c r="A34" s="203" t="s">
        <v>122</v>
      </c>
      <c r="B34" s="151" t="s">
        <v>144</v>
      </c>
      <c r="C34" s="204" t="s">
        <v>115</v>
      </c>
      <c r="D34" s="205" t="s">
        <v>116</v>
      </c>
      <c r="E34" s="204" t="s">
        <v>117</v>
      </c>
      <c r="F34" s="204" t="s">
        <v>118</v>
      </c>
      <c r="G34" s="206" t="str">
        <f t="shared" si="2"/>
        <v>No of Racks</v>
      </c>
      <c r="H34" s="206">
        <v>2</v>
      </c>
      <c r="I34" s="206">
        <v>2</v>
      </c>
      <c r="J34" s="207">
        <f t="shared" si="40"/>
        <v>0</v>
      </c>
      <c r="K34" s="206">
        <v>2</v>
      </c>
      <c r="L34" s="206"/>
      <c r="M34" s="95">
        <f>(124164+112877)/12</f>
        <v>19753.416666666668</v>
      </c>
      <c r="N34" s="83">
        <f t="shared" si="39"/>
        <v>237041</v>
      </c>
      <c r="O34" s="208" t="str">
        <f t="shared" si="3"/>
        <v>Subscribed</v>
      </c>
      <c r="P34" s="204" t="s">
        <v>108</v>
      </c>
      <c r="Q34" s="187">
        <v>1.49</v>
      </c>
      <c r="R34" s="209">
        <v>0</v>
      </c>
      <c r="S34" s="210">
        <f t="shared" si="41"/>
        <v>1.49</v>
      </c>
      <c r="T34" s="187"/>
      <c r="U34" s="187">
        <f t="shared" si="5"/>
        <v>1.49</v>
      </c>
      <c r="V34" s="187">
        <f t="shared" si="6"/>
        <v>1.49</v>
      </c>
      <c r="W34" s="202">
        <f>R34</f>
        <v>0</v>
      </c>
      <c r="X34" s="186"/>
      <c r="Y34" s="95">
        <f>115000/12</f>
        <v>9583.3333333333339</v>
      </c>
      <c r="Z34" s="211" t="s">
        <v>130</v>
      </c>
      <c r="AA34" s="206"/>
      <c r="AB34" s="205" t="s">
        <v>145</v>
      </c>
      <c r="AC34" s="212">
        <v>17</v>
      </c>
      <c r="AD34" s="218">
        <v>0</v>
      </c>
      <c r="AE34" s="214"/>
      <c r="AF34" s="206" t="str">
        <f t="shared" si="8"/>
        <v/>
      </c>
      <c r="AG34" s="206"/>
      <c r="AH34" s="206"/>
      <c r="AI34" s="206"/>
      <c r="AJ34" s="206"/>
      <c r="AK34" s="206"/>
      <c r="AL34" s="215"/>
      <c r="AM34" s="95">
        <f t="shared" si="9"/>
        <v>39506.833333333336</v>
      </c>
      <c r="AN34" s="95">
        <f t="shared" si="10"/>
        <v>0</v>
      </c>
      <c r="AO34" s="95">
        <f t="shared" si="11"/>
        <v>0</v>
      </c>
      <c r="AP34" s="95">
        <f t="shared" si="12"/>
        <v>0</v>
      </c>
      <c r="AQ34" s="96"/>
      <c r="AR34" s="97">
        <f t="shared" si="13"/>
        <v>0</v>
      </c>
      <c r="AS34" s="85">
        <f t="shared" si="14"/>
        <v>0</v>
      </c>
      <c r="AT34" s="97" t="s">
        <v>119</v>
      </c>
      <c r="AU34" s="98">
        <v>121000317</v>
      </c>
      <c r="AV34" s="216">
        <v>43574</v>
      </c>
      <c r="AW34" s="98">
        <v>0.6</v>
      </c>
      <c r="AX34" s="216">
        <v>43757</v>
      </c>
      <c r="AY34" s="98" t="s">
        <v>146</v>
      </c>
      <c r="BA34" s="96">
        <f t="shared" si="15"/>
        <v>0</v>
      </c>
      <c r="BB34" s="96">
        <f t="shared" si="16"/>
        <v>0</v>
      </c>
      <c r="BC34" s="96">
        <f t="shared" si="17"/>
        <v>26514.653243847875</v>
      </c>
      <c r="BD34" s="96">
        <f t="shared" si="18"/>
        <v>16092.041243847874</v>
      </c>
      <c r="BE34" s="96">
        <f t="shared" si="19"/>
        <v>16092.041243847874</v>
      </c>
      <c r="BF34" s="96"/>
      <c r="BG34" s="217">
        <f t="shared" si="20"/>
        <v>39506.833333333336</v>
      </c>
      <c r="BH34" s="217">
        <f t="shared" si="21"/>
        <v>23977.141453333334</v>
      </c>
      <c r="BI34" s="217">
        <f t="shared" si="22"/>
        <v>15529.691880000002</v>
      </c>
      <c r="BJ34" s="100">
        <f t="shared" si="23"/>
        <v>0</v>
      </c>
      <c r="BK34" s="100">
        <f t="shared" si="24"/>
        <v>15529.691880000002</v>
      </c>
      <c r="BL34" s="100">
        <f t="shared" si="25"/>
        <v>15529.691880000002</v>
      </c>
      <c r="BM34" s="100">
        <f t="shared" si="26"/>
        <v>39506.833333333336</v>
      </c>
      <c r="BN34" s="100">
        <f t="shared" si="27"/>
        <v>8940</v>
      </c>
      <c r="BO34" s="100">
        <f t="shared" si="28"/>
        <v>15037.141453333334</v>
      </c>
      <c r="BP34" s="100">
        <f t="shared" si="29"/>
        <v>15529.691880000002</v>
      </c>
      <c r="BQ34" s="100">
        <f t="shared" si="30"/>
        <v>30566.833333333336</v>
      </c>
      <c r="BR34" s="100">
        <f t="shared" si="31"/>
        <v>1.49</v>
      </c>
      <c r="BS34" s="100">
        <f t="shared" si="32"/>
        <v>26514.653243847875</v>
      </c>
      <c r="BT34" s="100">
        <f t="shared" si="33"/>
        <v>15529.691880000002</v>
      </c>
      <c r="BU34" s="100">
        <f t="shared" si="34"/>
        <v>15037.141453333332</v>
      </c>
      <c r="BV34" s="100">
        <f t="shared" si="35"/>
        <v>30566.833333333336</v>
      </c>
      <c r="BW34" s="100">
        <f t="shared" si="36"/>
        <v>10422.612000000001</v>
      </c>
      <c r="BX34" s="100">
        <f t="shared" si="37"/>
        <v>10092.041243847874</v>
      </c>
      <c r="BY34" s="100">
        <f t="shared" si="38"/>
        <v>20514.653243847875</v>
      </c>
    </row>
    <row r="35" spans="1:77" ht="24">
      <c r="A35" s="151" t="s">
        <v>147</v>
      </c>
      <c r="B35" s="219" t="s">
        <v>148</v>
      </c>
      <c r="C35" s="151" t="s">
        <v>124</v>
      </c>
      <c r="D35" s="179" t="s">
        <v>116</v>
      </c>
      <c r="E35" s="151" t="s">
        <v>117</v>
      </c>
      <c r="F35" s="151" t="s">
        <v>118</v>
      </c>
      <c r="G35" s="152" t="str">
        <f t="shared" si="2"/>
        <v>No of Racks</v>
      </c>
      <c r="H35" s="151">
        <v>3</v>
      </c>
      <c r="I35" s="151">
        <v>3</v>
      </c>
      <c r="J35" s="180">
        <f t="shared" si="40"/>
        <v>0</v>
      </c>
      <c r="K35" s="151">
        <v>2</v>
      </c>
      <c r="L35" s="151"/>
      <c r="M35" s="181">
        <f>(485000+675000)/12/2</f>
        <v>48333.333333333336</v>
      </c>
      <c r="N35" s="182">
        <f t="shared" si="39"/>
        <v>580000</v>
      </c>
      <c r="O35" s="183" t="str">
        <f t="shared" si="3"/>
        <v>Rated</v>
      </c>
      <c r="P35" s="151" t="s">
        <v>125</v>
      </c>
      <c r="Q35" s="151">
        <v>12</v>
      </c>
      <c r="R35" s="220">
        <v>3.8</v>
      </c>
      <c r="S35" s="185">
        <f t="shared" si="41"/>
        <v>8.1999999999999993</v>
      </c>
      <c r="T35" s="186"/>
      <c r="U35" s="186">
        <f t="shared" si="5"/>
        <v>4.0999999999999996</v>
      </c>
      <c r="V35" s="186">
        <f t="shared" si="6"/>
        <v>6</v>
      </c>
      <c r="W35" s="220">
        <v>3.8</v>
      </c>
      <c r="X35" s="186"/>
      <c r="Y35" s="83"/>
      <c r="Z35" s="189" t="str">
        <f t="shared" ref="Z35:Z45" si="42">D35</f>
        <v>Bundled</v>
      </c>
      <c r="AA35" s="186"/>
      <c r="AB35" s="186"/>
      <c r="AC35" s="190"/>
      <c r="AD35" s="199"/>
      <c r="AE35" s="120"/>
      <c r="AF35" s="152" t="str">
        <f t="shared" si="8"/>
        <v/>
      </c>
      <c r="AG35" s="186"/>
      <c r="AH35" s="186"/>
      <c r="AI35" s="186"/>
      <c r="AJ35" s="186"/>
      <c r="AK35" s="186"/>
      <c r="AL35" s="181"/>
      <c r="AM35" s="83">
        <f>M35</f>
        <v>48333.333333333336</v>
      </c>
      <c r="AN35" s="83">
        <f t="shared" si="10"/>
        <v>0</v>
      </c>
      <c r="AO35" s="83">
        <f t="shared" si="11"/>
        <v>0</v>
      </c>
      <c r="AP35" s="83">
        <f t="shared" si="12"/>
        <v>0</v>
      </c>
      <c r="AQ35" s="84">
        <f>1200000/12</f>
        <v>100000</v>
      </c>
      <c r="AR35" s="85">
        <f t="shared" si="13"/>
        <v>0</v>
      </c>
      <c r="AS35" s="86">
        <f t="shared" si="14"/>
        <v>0</v>
      </c>
      <c r="AT35" s="85" t="s">
        <v>119</v>
      </c>
      <c r="AU35" s="69" t="s">
        <v>149</v>
      </c>
      <c r="AV35" s="191">
        <v>42309</v>
      </c>
      <c r="AW35" s="69">
        <v>1</v>
      </c>
      <c r="AX35" s="191">
        <v>42675</v>
      </c>
      <c r="AY35" s="68" t="s">
        <v>150</v>
      </c>
      <c r="AZ35" s="323"/>
      <c r="BA35" s="84">
        <f t="shared" si="15"/>
        <v>0</v>
      </c>
      <c r="BB35" s="84">
        <f t="shared" si="16"/>
        <v>0</v>
      </c>
      <c r="BC35" s="84">
        <f t="shared" si="17"/>
        <v>1454.5679555555555</v>
      </c>
      <c r="BD35" s="84">
        <f t="shared" si="18"/>
        <v>-5667.5502444444437</v>
      </c>
      <c r="BE35" s="84">
        <f t="shared" si="19"/>
        <v>-2367.0564444444449</v>
      </c>
      <c r="BF35" s="84"/>
      <c r="BG35" s="93">
        <f t="shared" si="20"/>
        <v>48333.333333333336</v>
      </c>
      <c r="BH35" s="93">
        <f t="shared" si="21"/>
        <v>0</v>
      </c>
      <c r="BI35" s="93">
        <f t="shared" si="22"/>
        <v>48333.333333333336</v>
      </c>
      <c r="BJ35" s="91">
        <f t="shared" si="23"/>
        <v>39605.925600000002</v>
      </c>
      <c r="BK35" s="91">
        <f t="shared" si="24"/>
        <v>82338.6348</v>
      </c>
      <c r="BL35" s="91">
        <f t="shared" si="25"/>
        <v>62535.672000000006</v>
      </c>
      <c r="BM35" s="91">
        <f t="shared" si="26"/>
        <v>8727.4077333333335</v>
      </c>
      <c r="BN35" s="91">
        <f t="shared" si="27"/>
        <v>36000</v>
      </c>
      <c r="BO35" s="91">
        <f t="shared" si="28"/>
        <v>-36000</v>
      </c>
      <c r="BP35" s="91">
        <f t="shared" si="29"/>
        <v>8727.4077333333335</v>
      </c>
      <c r="BQ35" s="91">
        <f t="shared" si="30"/>
        <v>-27272.592266666667</v>
      </c>
      <c r="BR35" s="91">
        <f t="shared" si="31"/>
        <v>6</v>
      </c>
      <c r="BS35" s="91">
        <f t="shared" si="32"/>
        <v>1454.5679555555555</v>
      </c>
      <c r="BT35" s="91">
        <f t="shared" si="33"/>
        <v>22929.746400000004</v>
      </c>
      <c r="BU35" s="91">
        <f t="shared" si="34"/>
        <v>-50202.338666666663</v>
      </c>
      <c r="BV35" s="91">
        <f t="shared" si="35"/>
        <v>-27272.592266666659</v>
      </c>
      <c r="BW35" s="91">
        <f t="shared" si="36"/>
        <v>3821.6244000000006</v>
      </c>
      <c r="BX35" s="91">
        <f t="shared" si="37"/>
        <v>-8367.0564444444444</v>
      </c>
      <c r="BY35" s="91">
        <f t="shared" si="38"/>
        <v>-4545.4320444444429</v>
      </c>
    </row>
    <row r="36" spans="1:77" ht="14.45">
      <c r="A36" s="151" t="s">
        <v>151</v>
      </c>
      <c r="B36" s="219" t="s">
        <v>148</v>
      </c>
      <c r="C36" s="151" t="s">
        <v>124</v>
      </c>
      <c r="D36" s="179" t="s">
        <v>116</v>
      </c>
      <c r="E36" s="151" t="s">
        <v>117</v>
      </c>
      <c r="F36" s="151" t="s">
        <v>118</v>
      </c>
      <c r="G36" s="152" t="str">
        <f t="shared" si="2"/>
        <v>No of Racks</v>
      </c>
      <c r="H36" s="151">
        <v>1</v>
      </c>
      <c r="I36" s="151">
        <v>1</v>
      </c>
      <c r="J36" s="180">
        <f t="shared" si="40"/>
        <v>0</v>
      </c>
      <c r="K36" s="151">
        <v>1</v>
      </c>
      <c r="L36" s="151"/>
      <c r="M36" s="181">
        <f>920000/12</f>
        <v>76666.666666666672</v>
      </c>
      <c r="N36" s="182">
        <f t="shared" si="39"/>
        <v>920000</v>
      </c>
      <c r="O36" s="183" t="str">
        <f t="shared" si="3"/>
        <v>Rated</v>
      </c>
      <c r="P36" s="151" t="s">
        <v>125</v>
      </c>
      <c r="Q36" s="151">
        <v>6</v>
      </c>
      <c r="R36" s="220">
        <v>5</v>
      </c>
      <c r="S36" s="185">
        <f t="shared" si="41"/>
        <v>1</v>
      </c>
      <c r="T36" s="186"/>
      <c r="U36" s="186">
        <f t="shared" si="5"/>
        <v>0.5</v>
      </c>
      <c r="V36" s="186">
        <f t="shared" si="6"/>
        <v>3</v>
      </c>
      <c r="W36" s="220">
        <v>5</v>
      </c>
      <c r="X36" s="186"/>
      <c r="Y36" s="83"/>
      <c r="Z36" s="189" t="str">
        <f t="shared" si="42"/>
        <v>Bundled</v>
      </c>
      <c r="AA36" s="186"/>
      <c r="AB36" s="186"/>
      <c r="AC36" s="190"/>
      <c r="AD36" s="199"/>
      <c r="AE36" s="120"/>
      <c r="AF36" s="152" t="str">
        <f t="shared" si="8"/>
        <v/>
      </c>
      <c r="AG36" s="186"/>
      <c r="AH36" s="186"/>
      <c r="AI36" s="186"/>
      <c r="AJ36" s="186"/>
      <c r="AK36" s="186"/>
      <c r="AL36" s="181"/>
      <c r="AM36" s="83">
        <f>M36</f>
        <v>76666.666666666672</v>
      </c>
      <c r="AN36" s="83">
        <f t="shared" si="10"/>
        <v>0</v>
      </c>
      <c r="AO36" s="83">
        <f t="shared" si="11"/>
        <v>0</v>
      </c>
      <c r="AP36" s="83">
        <f t="shared" si="12"/>
        <v>0</v>
      </c>
      <c r="AQ36" s="84">
        <f>400000/12</f>
        <v>33333.333333333336</v>
      </c>
      <c r="AR36" s="85">
        <f t="shared" si="13"/>
        <v>0</v>
      </c>
      <c r="AS36" s="86">
        <f t="shared" si="14"/>
        <v>0</v>
      </c>
      <c r="AT36" s="85" t="s">
        <v>119</v>
      </c>
      <c r="AU36" s="221" t="s">
        <v>152</v>
      </c>
      <c r="AV36" s="191">
        <v>43635</v>
      </c>
      <c r="AW36" s="69">
        <v>1</v>
      </c>
      <c r="AX36" s="191">
        <v>43971</v>
      </c>
      <c r="AY36" s="69"/>
      <c r="AZ36" s="323"/>
      <c r="BA36" s="84">
        <f t="shared" si="15"/>
        <v>0</v>
      </c>
      <c r="BB36" s="84">
        <f t="shared" si="16"/>
        <v>0</v>
      </c>
      <c r="BC36" s="84">
        <f t="shared" si="17"/>
        <v>8184.5355555555552</v>
      </c>
      <c r="BD36" s="84">
        <f t="shared" si="18"/>
        <v>6447.4335555555544</v>
      </c>
      <c r="BE36" s="84">
        <f t="shared" si="19"/>
        <v>15132.943555555556</v>
      </c>
      <c r="BF36" s="84"/>
      <c r="BG36" s="93">
        <f t="shared" si="20"/>
        <v>76666.666666666672</v>
      </c>
      <c r="BH36" s="93">
        <f t="shared" si="21"/>
        <v>45398.830666666669</v>
      </c>
      <c r="BI36" s="93">
        <f t="shared" si="22"/>
        <v>31267.836000000003</v>
      </c>
      <c r="BJ36" s="91">
        <f t="shared" si="23"/>
        <v>52113.060000000005</v>
      </c>
      <c r="BK36" s="91">
        <f t="shared" si="24"/>
        <v>57324.366000000009</v>
      </c>
      <c r="BL36" s="91">
        <f t="shared" si="25"/>
        <v>31267.836000000003</v>
      </c>
      <c r="BM36" s="91">
        <f t="shared" si="26"/>
        <v>24553.606666666667</v>
      </c>
      <c r="BN36" s="91">
        <f t="shared" si="27"/>
        <v>18000</v>
      </c>
      <c r="BO36" s="91">
        <f t="shared" si="28"/>
        <v>27398.830666666669</v>
      </c>
      <c r="BP36" s="91">
        <f t="shared" si="29"/>
        <v>-20845.224000000002</v>
      </c>
      <c r="BQ36" s="91">
        <f t="shared" si="30"/>
        <v>6553.6066666666666</v>
      </c>
      <c r="BR36" s="91">
        <f t="shared" si="31"/>
        <v>3</v>
      </c>
      <c r="BS36" s="91">
        <f t="shared" si="32"/>
        <v>8184.5355555555552</v>
      </c>
      <c r="BT36" s="91">
        <f t="shared" si="33"/>
        <v>-20845.224000000002</v>
      </c>
      <c r="BU36" s="91">
        <f t="shared" si="34"/>
        <v>27398.830666666669</v>
      </c>
      <c r="BV36" s="91">
        <f t="shared" si="35"/>
        <v>6553.6066666666666</v>
      </c>
      <c r="BW36" s="91">
        <f t="shared" si="36"/>
        <v>-6948.4080000000004</v>
      </c>
      <c r="BX36" s="91">
        <f t="shared" si="37"/>
        <v>9132.9435555555556</v>
      </c>
      <c r="BY36" s="91">
        <f t="shared" si="38"/>
        <v>2184.5355555555557</v>
      </c>
    </row>
    <row r="37" spans="1:77" ht="14.45">
      <c r="A37" s="151" t="s">
        <v>147</v>
      </c>
      <c r="B37" s="200" t="s">
        <v>153</v>
      </c>
      <c r="C37" s="151" t="s">
        <v>124</v>
      </c>
      <c r="D37" s="179" t="s">
        <v>116</v>
      </c>
      <c r="E37" s="151" t="s">
        <v>117</v>
      </c>
      <c r="F37" s="151" t="s">
        <v>118</v>
      </c>
      <c r="G37" s="152" t="str">
        <f t="shared" si="2"/>
        <v>No of Racks</v>
      </c>
      <c r="H37" s="151">
        <v>1</v>
      </c>
      <c r="I37" s="151">
        <v>1</v>
      </c>
      <c r="J37" s="180">
        <f t="shared" si="40"/>
        <v>0</v>
      </c>
      <c r="K37" s="151">
        <v>1</v>
      </c>
      <c r="L37" s="151"/>
      <c r="M37" s="181"/>
      <c r="N37" s="182">
        <f t="shared" si="39"/>
        <v>0</v>
      </c>
      <c r="O37" s="183" t="str">
        <f t="shared" si="3"/>
        <v>Rated</v>
      </c>
      <c r="P37" s="151" t="s">
        <v>125</v>
      </c>
      <c r="Q37" s="151">
        <v>3</v>
      </c>
      <c r="R37" s="220">
        <v>2</v>
      </c>
      <c r="S37" s="185">
        <f t="shared" si="41"/>
        <v>1</v>
      </c>
      <c r="T37" s="186"/>
      <c r="U37" s="186">
        <f t="shared" si="5"/>
        <v>0.5</v>
      </c>
      <c r="V37" s="186">
        <f t="shared" si="6"/>
        <v>1.5</v>
      </c>
      <c r="W37" s="220">
        <v>2</v>
      </c>
      <c r="X37" s="186"/>
      <c r="Y37" s="83"/>
      <c r="Z37" s="189" t="str">
        <f t="shared" si="42"/>
        <v>Bundled</v>
      </c>
      <c r="AA37" s="186"/>
      <c r="AB37" s="186"/>
      <c r="AC37" s="190"/>
      <c r="AD37" s="199"/>
      <c r="AE37" s="120"/>
      <c r="AF37" s="152" t="str">
        <f t="shared" si="8"/>
        <v/>
      </c>
      <c r="AG37" s="186"/>
      <c r="AH37" s="186"/>
      <c r="AI37" s="186"/>
      <c r="AJ37" s="186"/>
      <c r="AK37" s="186"/>
      <c r="AL37" s="181"/>
      <c r="AM37" s="83">
        <f>M37*K37</f>
        <v>0</v>
      </c>
      <c r="AN37" s="83">
        <f t="shared" si="10"/>
        <v>0</v>
      </c>
      <c r="AO37" s="83">
        <f t="shared" si="11"/>
        <v>0</v>
      </c>
      <c r="AP37" s="83">
        <f t="shared" si="12"/>
        <v>0</v>
      </c>
      <c r="AQ37" s="84">
        <f>(100000+100000+70000+10000)/12</f>
        <v>23333.333333333332</v>
      </c>
      <c r="AR37" s="85">
        <f t="shared" si="13"/>
        <v>0</v>
      </c>
      <c r="AS37" s="86">
        <f t="shared" si="14"/>
        <v>0</v>
      </c>
      <c r="AT37" s="85" t="s">
        <v>119</v>
      </c>
      <c r="AU37" s="69"/>
      <c r="AV37" s="69"/>
      <c r="AW37" s="69"/>
      <c r="AX37" s="69"/>
      <c r="AY37" s="101" t="s">
        <v>154</v>
      </c>
      <c r="AZ37" s="323"/>
      <c r="BA37" s="84">
        <f t="shared" si="15"/>
        <v>0</v>
      </c>
      <c r="BB37" s="84">
        <f t="shared" si="16"/>
        <v>0</v>
      </c>
      <c r="BC37" s="84">
        <f t="shared" si="17"/>
        <v>-13896.816000000001</v>
      </c>
      <c r="BD37" s="84">
        <f t="shared" si="18"/>
        <v>-17371.02</v>
      </c>
      <c r="BE37" s="84">
        <f t="shared" si="19"/>
        <v>-10422.612000000001</v>
      </c>
      <c r="BF37" s="84"/>
      <c r="BG37" s="90">
        <f t="shared" si="20"/>
        <v>0</v>
      </c>
      <c r="BH37" s="90">
        <f t="shared" si="21"/>
        <v>0</v>
      </c>
      <c r="BI37" s="90">
        <f t="shared" si="22"/>
        <v>0</v>
      </c>
      <c r="BJ37" s="91">
        <f t="shared" si="23"/>
        <v>20845.224000000002</v>
      </c>
      <c r="BK37" s="91">
        <f t="shared" si="24"/>
        <v>26056.530000000002</v>
      </c>
      <c r="BL37" s="91">
        <f t="shared" si="25"/>
        <v>15633.918000000001</v>
      </c>
      <c r="BM37" s="91">
        <f t="shared" si="26"/>
        <v>-20845.224000000002</v>
      </c>
      <c r="BN37" s="91">
        <f t="shared" si="27"/>
        <v>9000</v>
      </c>
      <c r="BO37" s="91">
        <f t="shared" si="28"/>
        <v>-9000</v>
      </c>
      <c r="BP37" s="91">
        <f t="shared" si="29"/>
        <v>-20845.224000000002</v>
      </c>
      <c r="BQ37" s="91">
        <f t="shared" si="30"/>
        <v>-29845.224000000002</v>
      </c>
      <c r="BR37" s="91">
        <f t="shared" si="31"/>
        <v>1.5</v>
      </c>
      <c r="BS37" s="91">
        <f t="shared" si="32"/>
        <v>-13896.816000000001</v>
      </c>
      <c r="BT37" s="91">
        <f t="shared" si="33"/>
        <v>-5211.3060000000005</v>
      </c>
      <c r="BU37" s="91">
        <f t="shared" si="34"/>
        <v>-24633.918000000001</v>
      </c>
      <c r="BV37" s="91">
        <f t="shared" si="35"/>
        <v>-29845.224000000002</v>
      </c>
      <c r="BW37" s="91">
        <f t="shared" si="36"/>
        <v>-3474.2040000000002</v>
      </c>
      <c r="BX37" s="91">
        <f t="shared" si="37"/>
        <v>-16422.612000000001</v>
      </c>
      <c r="BY37" s="91">
        <f t="shared" si="38"/>
        <v>-19896.816000000003</v>
      </c>
    </row>
    <row r="38" spans="1:77" ht="14.45">
      <c r="A38" s="151" t="s">
        <v>147</v>
      </c>
      <c r="B38" s="219" t="s">
        <v>155</v>
      </c>
      <c r="C38" s="151" t="s">
        <v>124</v>
      </c>
      <c r="D38" s="179" t="s">
        <v>116</v>
      </c>
      <c r="E38" s="151" t="s">
        <v>117</v>
      </c>
      <c r="F38" s="151" t="s">
        <v>118</v>
      </c>
      <c r="G38" s="152" t="str">
        <f t="shared" si="2"/>
        <v>No of Racks</v>
      </c>
      <c r="H38" s="151">
        <v>5</v>
      </c>
      <c r="I38" s="151">
        <v>5</v>
      </c>
      <c r="J38" s="180">
        <f t="shared" si="40"/>
        <v>0</v>
      </c>
      <c r="K38" s="151">
        <v>5</v>
      </c>
      <c r="L38" s="151"/>
      <c r="M38" s="181">
        <f>(750000+750000+650000)/12</f>
        <v>179166.66666666666</v>
      </c>
      <c r="N38" s="182">
        <f t="shared" si="39"/>
        <v>2150000</v>
      </c>
      <c r="O38" s="183" t="str">
        <f t="shared" si="3"/>
        <v>Rated</v>
      </c>
      <c r="P38" s="151" t="s">
        <v>125</v>
      </c>
      <c r="Q38" s="151">
        <v>15</v>
      </c>
      <c r="R38" s="220">
        <v>10</v>
      </c>
      <c r="S38" s="185">
        <f t="shared" si="41"/>
        <v>5</v>
      </c>
      <c r="T38" s="186"/>
      <c r="U38" s="186">
        <f t="shared" si="5"/>
        <v>2.5</v>
      </c>
      <c r="V38" s="186">
        <f t="shared" si="6"/>
        <v>7.5</v>
      </c>
      <c r="W38" s="220">
        <v>10</v>
      </c>
      <c r="X38" s="186"/>
      <c r="Y38" s="83"/>
      <c r="Z38" s="189" t="str">
        <f t="shared" si="42"/>
        <v>Bundled</v>
      </c>
      <c r="AA38" s="186"/>
      <c r="AB38" s="186"/>
      <c r="AC38" s="190"/>
      <c r="AD38" s="199"/>
      <c r="AE38" s="120"/>
      <c r="AF38" s="152" t="str">
        <f t="shared" si="8"/>
        <v/>
      </c>
      <c r="AG38" s="186"/>
      <c r="AH38" s="186"/>
      <c r="AI38" s="186"/>
      <c r="AJ38" s="186"/>
      <c r="AK38" s="186"/>
      <c r="AL38" s="181"/>
      <c r="AM38" s="83">
        <f>M38</f>
        <v>179166.66666666666</v>
      </c>
      <c r="AN38" s="83">
        <f t="shared" si="10"/>
        <v>0</v>
      </c>
      <c r="AO38" s="83">
        <f t="shared" si="11"/>
        <v>0</v>
      </c>
      <c r="AP38" s="83">
        <f t="shared" si="12"/>
        <v>0</v>
      </c>
      <c r="AQ38" s="84">
        <f>810000/12</f>
        <v>67500</v>
      </c>
      <c r="AR38" s="85">
        <f t="shared" si="13"/>
        <v>0</v>
      </c>
      <c r="AS38" s="86">
        <f t="shared" si="14"/>
        <v>0</v>
      </c>
      <c r="AT38" s="85" t="s">
        <v>119</v>
      </c>
      <c r="AU38" s="69" t="s">
        <v>156</v>
      </c>
      <c r="AV38" s="191">
        <v>42370</v>
      </c>
      <c r="AW38" s="69">
        <v>1</v>
      </c>
      <c r="AX38" s="191">
        <v>42736</v>
      </c>
      <c r="AY38" s="69" t="s">
        <v>157</v>
      </c>
      <c r="AZ38" s="323"/>
      <c r="BA38" s="84">
        <f t="shared" si="15"/>
        <v>0</v>
      </c>
      <c r="BB38" s="84">
        <f t="shared" si="16"/>
        <v>0</v>
      </c>
      <c r="BC38" s="84">
        <f t="shared" si="17"/>
        <v>9992.0728888888862</v>
      </c>
      <c r="BD38" s="84">
        <f t="shared" si="18"/>
        <v>6517.8688888888864</v>
      </c>
      <c r="BE38" s="84">
        <f t="shared" si="19"/>
        <v>13466.276888888886</v>
      </c>
      <c r="BF38" s="84"/>
      <c r="BG38" s="93">
        <f t="shared" si="20"/>
        <v>179166.66666666666</v>
      </c>
      <c r="BH38" s="93">
        <f t="shared" si="21"/>
        <v>100997.07666666665</v>
      </c>
      <c r="BI38" s="93">
        <f t="shared" si="22"/>
        <v>78169.590000000011</v>
      </c>
      <c r="BJ38" s="91">
        <f t="shared" si="23"/>
        <v>104226.12000000001</v>
      </c>
      <c r="BK38" s="91">
        <f t="shared" si="24"/>
        <v>130282.65000000001</v>
      </c>
      <c r="BL38" s="91">
        <f t="shared" si="25"/>
        <v>78169.590000000011</v>
      </c>
      <c r="BM38" s="91">
        <f t="shared" si="26"/>
        <v>74940.546666666647</v>
      </c>
      <c r="BN38" s="91">
        <f t="shared" si="27"/>
        <v>45000</v>
      </c>
      <c r="BO38" s="91">
        <f t="shared" si="28"/>
        <v>55997.076666666646</v>
      </c>
      <c r="BP38" s="91">
        <f t="shared" si="29"/>
        <v>-26056.53</v>
      </c>
      <c r="BQ38" s="91">
        <f t="shared" si="30"/>
        <v>29940.546666666647</v>
      </c>
      <c r="BR38" s="91">
        <f t="shared" si="31"/>
        <v>7.5</v>
      </c>
      <c r="BS38" s="91">
        <f t="shared" si="32"/>
        <v>9992.0728888888862</v>
      </c>
      <c r="BT38" s="91">
        <f t="shared" si="33"/>
        <v>-26056.53</v>
      </c>
      <c r="BU38" s="91">
        <f t="shared" si="34"/>
        <v>55997.076666666646</v>
      </c>
      <c r="BV38" s="91">
        <f t="shared" si="35"/>
        <v>29940.546666666647</v>
      </c>
      <c r="BW38" s="91">
        <f t="shared" si="36"/>
        <v>-3474.2039999999997</v>
      </c>
      <c r="BX38" s="91">
        <f t="shared" si="37"/>
        <v>7466.2768888888859</v>
      </c>
      <c r="BY38" s="91">
        <f t="shared" si="38"/>
        <v>3992.0728888888862</v>
      </c>
    </row>
    <row r="39" spans="1:77" ht="14.45">
      <c r="A39" s="151" t="s">
        <v>158</v>
      </c>
      <c r="B39" s="219" t="s">
        <v>159</v>
      </c>
      <c r="C39" s="151" t="s">
        <v>124</v>
      </c>
      <c r="D39" s="179" t="s">
        <v>116</v>
      </c>
      <c r="E39" s="151" t="s">
        <v>117</v>
      </c>
      <c r="F39" s="151" t="s">
        <v>118</v>
      </c>
      <c r="G39" s="152" t="str">
        <f t="shared" si="2"/>
        <v>No of Racks</v>
      </c>
      <c r="H39" s="151">
        <v>1</v>
      </c>
      <c r="I39" s="151">
        <v>1</v>
      </c>
      <c r="J39" s="180">
        <f t="shared" si="40"/>
        <v>0</v>
      </c>
      <c r="K39" s="151">
        <v>1</v>
      </c>
      <c r="L39" s="151"/>
      <c r="M39" s="181">
        <f>600000/12</f>
        <v>50000</v>
      </c>
      <c r="N39" s="182">
        <f t="shared" si="39"/>
        <v>600000</v>
      </c>
      <c r="O39" s="183" t="str">
        <f t="shared" si="3"/>
        <v>Rated</v>
      </c>
      <c r="P39" s="151" t="s">
        <v>125</v>
      </c>
      <c r="Q39" s="151">
        <v>3</v>
      </c>
      <c r="R39" s="220">
        <v>2.1</v>
      </c>
      <c r="S39" s="185">
        <f t="shared" si="41"/>
        <v>0.89999999999999991</v>
      </c>
      <c r="T39" s="186"/>
      <c r="U39" s="186">
        <f t="shared" si="5"/>
        <v>0.44999999999999996</v>
      </c>
      <c r="V39" s="186">
        <f t="shared" si="6"/>
        <v>1.5</v>
      </c>
      <c r="W39" s="220">
        <v>2.1</v>
      </c>
      <c r="X39" s="186"/>
      <c r="Y39" s="83"/>
      <c r="Z39" s="189" t="str">
        <f t="shared" si="42"/>
        <v>Bundled</v>
      </c>
      <c r="AA39" s="186"/>
      <c r="AB39" s="186"/>
      <c r="AC39" s="190"/>
      <c r="AD39" s="199"/>
      <c r="AE39" s="120"/>
      <c r="AF39" s="152" t="str">
        <f t="shared" si="8"/>
        <v/>
      </c>
      <c r="AG39" s="186"/>
      <c r="AH39" s="186"/>
      <c r="AI39" s="186"/>
      <c r="AJ39" s="186"/>
      <c r="AK39" s="186"/>
      <c r="AL39" s="181"/>
      <c r="AM39" s="83">
        <f t="shared" ref="AM39:AM45" si="43">M39*K39</f>
        <v>50000</v>
      </c>
      <c r="AN39" s="83">
        <f t="shared" si="10"/>
        <v>0</v>
      </c>
      <c r="AO39" s="83">
        <f t="shared" si="11"/>
        <v>0</v>
      </c>
      <c r="AP39" s="83">
        <f t="shared" si="12"/>
        <v>0</v>
      </c>
      <c r="AQ39" s="84"/>
      <c r="AR39" s="85">
        <f t="shared" si="13"/>
        <v>0</v>
      </c>
      <c r="AS39" s="86">
        <f t="shared" si="14"/>
        <v>0</v>
      </c>
      <c r="AT39" s="85" t="s">
        <v>119</v>
      </c>
      <c r="AU39" s="69">
        <v>721004903</v>
      </c>
      <c r="AV39" s="222">
        <v>42783</v>
      </c>
      <c r="AW39" s="69">
        <v>1</v>
      </c>
      <c r="AX39" s="191">
        <v>43117</v>
      </c>
      <c r="AY39" s="69" t="s">
        <v>160</v>
      </c>
      <c r="AZ39" s="323"/>
      <c r="BA39" s="84">
        <f t="shared" si="15"/>
        <v>0</v>
      </c>
      <c r="BB39" s="84">
        <f t="shared" si="16"/>
        <v>0</v>
      </c>
      <c r="BC39" s="84">
        <f t="shared" si="17"/>
        <v>18741.676533333331</v>
      </c>
      <c r="BD39" s="84">
        <f t="shared" si="18"/>
        <v>15614.892933333334</v>
      </c>
      <c r="BE39" s="84">
        <f t="shared" si="19"/>
        <v>22910.721333333331</v>
      </c>
      <c r="BF39" s="84"/>
      <c r="BG39" s="93">
        <f t="shared" si="20"/>
        <v>50000</v>
      </c>
      <c r="BH39" s="93">
        <f t="shared" si="21"/>
        <v>34366.081999999995</v>
      </c>
      <c r="BI39" s="93">
        <f t="shared" si="22"/>
        <v>15633.918000000001</v>
      </c>
      <c r="BJ39" s="91">
        <f t="shared" si="23"/>
        <v>21887.485200000003</v>
      </c>
      <c r="BK39" s="91">
        <f t="shared" si="24"/>
        <v>26577.660599999999</v>
      </c>
      <c r="BL39" s="91">
        <f t="shared" si="25"/>
        <v>15633.918000000001</v>
      </c>
      <c r="BM39" s="91">
        <f t="shared" si="26"/>
        <v>28112.514799999997</v>
      </c>
      <c r="BN39" s="91">
        <f t="shared" si="27"/>
        <v>9000</v>
      </c>
      <c r="BO39" s="91">
        <f t="shared" si="28"/>
        <v>25366.081999999995</v>
      </c>
      <c r="BP39" s="91">
        <f t="shared" si="29"/>
        <v>-6253.5672000000013</v>
      </c>
      <c r="BQ39" s="91">
        <f t="shared" si="30"/>
        <v>19112.514799999994</v>
      </c>
      <c r="BR39" s="91">
        <f t="shared" si="31"/>
        <v>1.5</v>
      </c>
      <c r="BS39" s="91">
        <f t="shared" si="32"/>
        <v>18741.676533333331</v>
      </c>
      <c r="BT39" s="91">
        <f t="shared" si="33"/>
        <v>-6253.5672000000013</v>
      </c>
      <c r="BU39" s="91">
        <f t="shared" si="34"/>
        <v>25366.081999999995</v>
      </c>
      <c r="BV39" s="91">
        <f t="shared" si="35"/>
        <v>19112.514799999994</v>
      </c>
      <c r="BW39" s="91">
        <f t="shared" si="36"/>
        <v>-4169.0448000000006</v>
      </c>
      <c r="BX39" s="91">
        <f t="shared" si="37"/>
        <v>16910.721333333331</v>
      </c>
      <c r="BY39" s="91">
        <f t="shared" si="38"/>
        <v>12741.67653333333</v>
      </c>
    </row>
    <row r="40" spans="1:77" ht="14.45">
      <c r="A40" s="151" t="s">
        <v>158</v>
      </c>
      <c r="B40" s="219" t="s">
        <v>161</v>
      </c>
      <c r="C40" s="151" t="s">
        <v>124</v>
      </c>
      <c r="D40" s="179" t="s">
        <v>116</v>
      </c>
      <c r="E40" s="151" t="s">
        <v>117</v>
      </c>
      <c r="F40" s="151" t="s">
        <v>118</v>
      </c>
      <c r="G40" s="152" t="str">
        <f t="shared" si="2"/>
        <v>No of Racks</v>
      </c>
      <c r="H40" s="151">
        <v>1</v>
      </c>
      <c r="I40" s="151">
        <v>1</v>
      </c>
      <c r="J40" s="180">
        <f t="shared" si="40"/>
        <v>0</v>
      </c>
      <c r="K40" s="151">
        <v>0</v>
      </c>
      <c r="L40" s="151"/>
      <c r="M40" s="181">
        <f>480000/12</f>
        <v>40000</v>
      </c>
      <c r="N40" s="182">
        <f t="shared" si="39"/>
        <v>480000</v>
      </c>
      <c r="O40" s="183" t="str">
        <f t="shared" si="3"/>
        <v>Rated</v>
      </c>
      <c r="P40" s="151" t="s">
        <v>125</v>
      </c>
      <c r="Q40" s="151">
        <v>3</v>
      </c>
      <c r="R40" s="220">
        <v>2</v>
      </c>
      <c r="S40" s="185">
        <f t="shared" si="41"/>
        <v>1</v>
      </c>
      <c r="T40" s="186"/>
      <c r="U40" s="186">
        <f t="shared" si="5"/>
        <v>0.5</v>
      </c>
      <c r="V40" s="186">
        <f t="shared" si="6"/>
        <v>1.5</v>
      </c>
      <c r="W40" s="220">
        <v>2</v>
      </c>
      <c r="X40" s="186"/>
      <c r="Y40" s="83">
        <f>110000/12</f>
        <v>9166.6666666666661</v>
      </c>
      <c r="Z40" s="189" t="str">
        <f t="shared" si="42"/>
        <v>Bundled</v>
      </c>
      <c r="AA40" s="186"/>
      <c r="AB40" s="186"/>
      <c r="AC40" s="190"/>
      <c r="AD40" s="199"/>
      <c r="AE40" s="120"/>
      <c r="AF40" s="152" t="str">
        <f t="shared" si="8"/>
        <v/>
      </c>
      <c r="AG40" s="186"/>
      <c r="AH40" s="186"/>
      <c r="AI40" s="186"/>
      <c r="AJ40" s="186"/>
      <c r="AK40" s="186"/>
      <c r="AL40" s="181"/>
      <c r="AM40" s="83">
        <f t="shared" si="43"/>
        <v>0</v>
      </c>
      <c r="AN40" s="83">
        <f t="shared" si="10"/>
        <v>0</v>
      </c>
      <c r="AO40" s="83">
        <f t="shared" si="11"/>
        <v>0</v>
      </c>
      <c r="AP40" s="83">
        <f t="shared" si="12"/>
        <v>0</v>
      </c>
      <c r="AQ40" s="84">
        <f>(100000+100000)/12</f>
        <v>16666.666666666668</v>
      </c>
      <c r="AR40" s="85">
        <f t="shared" si="13"/>
        <v>0</v>
      </c>
      <c r="AS40" s="86">
        <f t="shared" si="14"/>
        <v>0</v>
      </c>
      <c r="AT40" s="85" t="s">
        <v>119</v>
      </c>
      <c r="AU40" s="69">
        <v>721005279</v>
      </c>
      <c r="AV40" s="191">
        <v>42965</v>
      </c>
      <c r="AW40" s="69">
        <v>1</v>
      </c>
      <c r="AX40" s="191">
        <v>43299</v>
      </c>
      <c r="AY40" s="101" t="s">
        <v>154</v>
      </c>
      <c r="AZ40" s="323"/>
      <c r="BA40" s="84">
        <f t="shared" si="15"/>
        <v>0</v>
      </c>
      <c r="BB40" s="84">
        <f t="shared" si="16"/>
        <v>0</v>
      </c>
      <c r="BC40" s="84">
        <f t="shared" si="17"/>
        <v>-13896.816000000001</v>
      </c>
      <c r="BD40" s="84">
        <f t="shared" si="18"/>
        <v>-17371.02</v>
      </c>
      <c r="BE40" s="84">
        <f t="shared" si="19"/>
        <v>-10422.612000000001</v>
      </c>
      <c r="BF40" s="84"/>
      <c r="BG40" s="90">
        <f t="shared" si="20"/>
        <v>0</v>
      </c>
      <c r="BH40" s="90">
        <f t="shared" si="21"/>
        <v>0</v>
      </c>
      <c r="BI40" s="90">
        <f t="shared" si="22"/>
        <v>0</v>
      </c>
      <c r="BJ40" s="91">
        <f t="shared" si="23"/>
        <v>20845.224000000002</v>
      </c>
      <c r="BK40" s="91">
        <f t="shared" si="24"/>
        <v>26056.530000000002</v>
      </c>
      <c r="BL40" s="91">
        <f t="shared" si="25"/>
        <v>15633.918000000001</v>
      </c>
      <c r="BM40" s="91">
        <f t="shared" si="26"/>
        <v>-20845.224000000002</v>
      </c>
      <c r="BN40" s="91">
        <f t="shared" si="27"/>
        <v>9000</v>
      </c>
      <c r="BO40" s="91">
        <f t="shared" si="28"/>
        <v>-9000</v>
      </c>
      <c r="BP40" s="91">
        <f t="shared" si="29"/>
        <v>-20845.224000000002</v>
      </c>
      <c r="BQ40" s="91">
        <f t="shared" si="30"/>
        <v>-29845.224000000002</v>
      </c>
      <c r="BR40" s="91">
        <f t="shared" si="31"/>
        <v>1.5</v>
      </c>
      <c r="BS40" s="91">
        <f t="shared" si="32"/>
        <v>-13896.816000000001</v>
      </c>
      <c r="BT40" s="91">
        <f t="shared" si="33"/>
        <v>-5211.3060000000005</v>
      </c>
      <c r="BU40" s="91">
        <f t="shared" si="34"/>
        <v>-24633.918000000001</v>
      </c>
      <c r="BV40" s="91">
        <f t="shared" si="35"/>
        <v>-29845.224000000002</v>
      </c>
      <c r="BW40" s="91">
        <f t="shared" si="36"/>
        <v>-3474.2040000000002</v>
      </c>
      <c r="BX40" s="91">
        <f t="shared" si="37"/>
        <v>-16422.612000000001</v>
      </c>
      <c r="BY40" s="91">
        <f t="shared" si="38"/>
        <v>-19896.816000000003</v>
      </c>
    </row>
    <row r="41" spans="1:77" ht="14.45">
      <c r="A41" s="178" t="s">
        <v>122</v>
      </c>
      <c r="B41" s="151" t="s">
        <v>162</v>
      </c>
      <c r="C41" s="151" t="s">
        <v>124</v>
      </c>
      <c r="D41" s="179" t="s">
        <v>130</v>
      </c>
      <c r="E41" s="151" t="s">
        <v>117</v>
      </c>
      <c r="F41" s="151" t="s">
        <v>131</v>
      </c>
      <c r="G41" s="152" t="str">
        <f t="shared" si="2"/>
        <v>No of Racks</v>
      </c>
      <c r="H41" s="151">
        <v>10</v>
      </c>
      <c r="I41" s="151">
        <v>10</v>
      </c>
      <c r="J41" s="180">
        <f t="shared" si="40"/>
        <v>0</v>
      </c>
      <c r="K41" s="151">
        <v>10</v>
      </c>
      <c r="L41" s="151"/>
      <c r="M41" s="83">
        <f>2289000/12</f>
        <v>190750</v>
      </c>
      <c r="N41" s="182">
        <f t="shared" si="39"/>
        <v>2289000</v>
      </c>
      <c r="O41" s="183" t="str">
        <f t="shared" si="3"/>
        <v>Rated</v>
      </c>
      <c r="P41" s="151" t="s">
        <v>108</v>
      </c>
      <c r="Q41" s="151">
        <v>40</v>
      </c>
      <c r="R41" s="192">
        <v>12.26</v>
      </c>
      <c r="S41" s="185">
        <f t="shared" si="41"/>
        <v>27.740000000000002</v>
      </c>
      <c r="T41" s="186"/>
      <c r="U41" s="186">
        <f t="shared" si="5"/>
        <v>13.870000000000001</v>
      </c>
      <c r="V41" s="186">
        <f t="shared" si="6"/>
        <v>20</v>
      </c>
      <c r="W41" s="202">
        <f t="shared" ref="W41:W58" si="44">R41</f>
        <v>12.26</v>
      </c>
      <c r="X41" s="186"/>
      <c r="Y41" s="83"/>
      <c r="Z41" s="189" t="str">
        <f t="shared" si="42"/>
        <v>Metered</v>
      </c>
      <c r="AA41" s="186">
        <v>1</v>
      </c>
      <c r="AB41" s="179" t="s">
        <v>145</v>
      </c>
      <c r="AC41" s="190">
        <v>17</v>
      </c>
      <c r="AD41" s="199">
        <v>8704.5910000000094</v>
      </c>
      <c r="AE41" s="120"/>
      <c r="AF41" s="152" t="str">
        <f t="shared" si="8"/>
        <v/>
      </c>
      <c r="AG41" s="186"/>
      <c r="AH41" s="186"/>
      <c r="AI41" s="186"/>
      <c r="AJ41" s="186"/>
      <c r="AK41" s="186"/>
      <c r="AL41" s="181"/>
      <c r="AM41" s="83">
        <f t="shared" si="43"/>
        <v>1907500</v>
      </c>
      <c r="AN41" s="83">
        <f t="shared" si="10"/>
        <v>0</v>
      </c>
      <c r="AO41" s="83">
        <f t="shared" si="11"/>
        <v>147978.04700000017</v>
      </c>
      <c r="AP41" s="83">
        <f t="shared" si="12"/>
        <v>0</v>
      </c>
      <c r="AQ41" s="84">
        <f>(30000+300000+165000+60000)</f>
        <v>555000</v>
      </c>
      <c r="AR41" s="85">
        <f t="shared" si="13"/>
        <v>2610478.0470000003</v>
      </c>
      <c r="AS41" s="86">
        <f t="shared" si="14"/>
        <v>31325736.564000003</v>
      </c>
      <c r="AT41" s="85" t="s">
        <v>119</v>
      </c>
      <c r="AU41" s="69"/>
      <c r="AV41" s="191">
        <v>43817</v>
      </c>
      <c r="AW41" s="69">
        <v>3</v>
      </c>
      <c r="AX41" s="191">
        <v>44521</v>
      </c>
      <c r="AY41" s="69"/>
      <c r="AZ41" s="323"/>
      <c r="BA41" s="84">
        <f t="shared" si="15"/>
        <v>261047.80470000004</v>
      </c>
      <c r="BB41" s="84">
        <f t="shared" si="16"/>
        <v>130523.90235000002</v>
      </c>
      <c r="BC41" s="84">
        <f t="shared" si="17"/>
        <v>96526.70300822788</v>
      </c>
      <c r="BD41" s="84">
        <f t="shared" si="18"/>
        <v>96526.70300822788</v>
      </c>
      <c r="BE41" s="84">
        <f t="shared" si="19"/>
        <v>97093.179799999998</v>
      </c>
      <c r="BF41" s="84"/>
      <c r="BG41" s="90">
        <f t="shared" si="20"/>
        <v>2055478.0470000003</v>
      </c>
      <c r="BH41" s="90">
        <f t="shared" si="21"/>
        <v>1907500</v>
      </c>
      <c r="BI41" s="90">
        <f t="shared" si="22"/>
        <v>147978.04700000017</v>
      </c>
      <c r="BJ41" s="91">
        <f t="shared" si="23"/>
        <v>124943.98683544277</v>
      </c>
      <c r="BK41" s="91">
        <f t="shared" si="24"/>
        <v>124943.98683544277</v>
      </c>
      <c r="BL41" s="91">
        <f t="shared" si="25"/>
        <v>177184.40400000001</v>
      </c>
      <c r="BM41" s="91">
        <f t="shared" si="26"/>
        <v>1930534.0601645575</v>
      </c>
      <c r="BN41" s="91">
        <f t="shared" si="27"/>
        <v>120000</v>
      </c>
      <c r="BO41" s="91">
        <f t="shared" si="28"/>
        <v>1787500</v>
      </c>
      <c r="BP41" s="91">
        <f t="shared" si="29"/>
        <v>23034.060164557392</v>
      </c>
      <c r="BQ41" s="91">
        <f t="shared" si="30"/>
        <v>1810534.0601645573</v>
      </c>
      <c r="BR41" s="91">
        <f t="shared" si="31"/>
        <v>20</v>
      </c>
      <c r="BS41" s="91">
        <f t="shared" si="32"/>
        <v>96526.70300822788</v>
      </c>
      <c r="BT41" s="91">
        <f t="shared" si="33"/>
        <v>23034.060164557392</v>
      </c>
      <c r="BU41" s="91">
        <f t="shared" si="34"/>
        <v>1787500</v>
      </c>
      <c r="BV41" s="91">
        <f t="shared" si="35"/>
        <v>1810534.0601645573</v>
      </c>
      <c r="BW41" s="91">
        <f t="shared" si="36"/>
        <v>1151.7030082278695</v>
      </c>
      <c r="BX41" s="91">
        <f t="shared" si="37"/>
        <v>89375</v>
      </c>
      <c r="BY41" s="91">
        <f t="shared" si="38"/>
        <v>90526.703008227865</v>
      </c>
    </row>
    <row r="42" spans="1:77" ht="14.45">
      <c r="A42" s="178" t="s">
        <v>122</v>
      </c>
      <c r="B42" s="151" t="s">
        <v>163</v>
      </c>
      <c r="C42" s="151" t="s">
        <v>124</v>
      </c>
      <c r="D42" s="179" t="s">
        <v>116</v>
      </c>
      <c r="E42" s="151" t="s">
        <v>164</v>
      </c>
      <c r="F42" s="151" t="s">
        <v>118</v>
      </c>
      <c r="G42" s="152" t="str">
        <f t="shared" si="2"/>
        <v>U Space</v>
      </c>
      <c r="H42" s="151">
        <v>22</v>
      </c>
      <c r="I42" s="151">
        <v>22</v>
      </c>
      <c r="J42" s="180">
        <f t="shared" si="40"/>
        <v>0</v>
      </c>
      <c r="K42" s="151">
        <v>22</v>
      </c>
      <c r="L42" s="151"/>
      <c r="M42" s="181">
        <f>(410000+30000)/12</f>
        <v>36666.666666666664</v>
      </c>
      <c r="N42" s="182">
        <f t="shared" si="39"/>
        <v>440000</v>
      </c>
      <c r="O42" s="183" t="str">
        <f t="shared" si="3"/>
        <v>Rated</v>
      </c>
      <c r="P42" s="151" t="s">
        <v>125</v>
      </c>
      <c r="Q42" s="151">
        <v>4.57</v>
      </c>
      <c r="R42" s="223">
        <v>0</v>
      </c>
      <c r="S42" s="185">
        <f t="shared" si="41"/>
        <v>4.57</v>
      </c>
      <c r="T42" s="151"/>
      <c r="U42" s="186">
        <f t="shared" si="5"/>
        <v>2.2850000000000001</v>
      </c>
      <c r="V42" s="186">
        <f t="shared" si="6"/>
        <v>2.2850000000000001</v>
      </c>
      <c r="W42" s="188">
        <f t="shared" si="44"/>
        <v>0</v>
      </c>
      <c r="X42" s="186">
        <f>S42*-1</f>
        <v>-4.57</v>
      </c>
      <c r="Y42" s="83">
        <f>45000/6</f>
        <v>7500</v>
      </c>
      <c r="Z42" s="189" t="str">
        <f t="shared" si="42"/>
        <v>Bundled</v>
      </c>
      <c r="AA42" s="151"/>
      <c r="AB42" s="186"/>
      <c r="AC42" s="190"/>
      <c r="AD42" s="224"/>
      <c r="AE42" s="120"/>
      <c r="AF42" s="152" t="str">
        <f t="shared" si="8"/>
        <v/>
      </c>
      <c r="AG42" s="151"/>
      <c r="AH42" s="151"/>
      <c r="AI42" s="151"/>
      <c r="AJ42" s="151"/>
      <c r="AK42" s="151"/>
      <c r="AL42" s="181"/>
      <c r="AM42" s="83">
        <f t="shared" si="43"/>
        <v>806666.66666666663</v>
      </c>
      <c r="AN42" s="83">
        <f t="shared" si="10"/>
        <v>-34275</v>
      </c>
      <c r="AO42" s="83">
        <f t="shared" si="11"/>
        <v>0</v>
      </c>
      <c r="AP42" s="83">
        <f t="shared" si="12"/>
        <v>0</v>
      </c>
      <c r="AQ42" s="84">
        <f>25000/12</f>
        <v>2083.3333333333335</v>
      </c>
      <c r="AR42" s="85">
        <f t="shared" si="13"/>
        <v>0</v>
      </c>
      <c r="AS42" s="86">
        <f t="shared" si="14"/>
        <v>0</v>
      </c>
      <c r="AT42" s="85" t="s">
        <v>119</v>
      </c>
      <c r="AU42" s="69">
        <v>721002743</v>
      </c>
      <c r="AV42" s="191">
        <v>42401</v>
      </c>
      <c r="AW42" s="69">
        <v>5</v>
      </c>
      <c r="AX42" s="191">
        <v>44228</v>
      </c>
      <c r="AY42" s="69" t="s">
        <v>121</v>
      </c>
      <c r="AZ42" s="323"/>
      <c r="BA42" s="84">
        <f t="shared" si="15"/>
        <v>0</v>
      </c>
      <c r="BB42" s="84">
        <f t="shared" si="16"/>
        <v>0</v>
      </c>
      <c r="BC42" s="84">
        <f t="shared" si="17"/>
        <v>338026.98760029173</v>
      </c>
      <c r="BD42" s="84">
        <f t="shared" si="18"/>
        <v>327604.37560029171</v>
      </c>
      <c r="BE42" s="84">
        <f t="shared" si="19"/>
        <v>327604.37560029171</v>
      </c>
      <c r="BF42" s="84"/>
      <c r="BG42" s="90">
        <f t="shared" si="20"/>
        <v>772391.66666666663</v>
      </c>
      <c r="BH42" s="90">
        <f t="shared" si="21"/>
        <v>748575.99824666663</v>
      </c>
      <c r="BI42" s="90">
        <f t="shared" si="22"/>
        <v>23815.668420000005</v>
      </c>
      <c r="BJ42" s="91">
        <f t="shared" si="23"/>
        <v>0</v>
      </c>
      <c r="BK42" s="91">
        <f t="shared" si="24"/>
        <v>23815.668420000005</v>
      </c>
      <c r="BL42" s="91">
        <f t="shared" si="25"/>
        <v>23815.668420000005</v>
      </c>
      <c r="BM42" s="91">
        <f t="shared" si="26"/>
        <v>772391.66666666663</v>
      </c>
      <c r="BN42" s="91">
        <f t="shared" si="27"/>
        <v>13710</v>
      </c>
      <c r="BO42" s="91">
        <f t="shared" si="28"/>
        <v>734865.99824666663</v>
      </c>
      <c r="BP42" s="91">
        <f t="shared" si="29"/>
        <v>23815.668420000005</v>
      </c>
      <c r="BQ42" s="91">
        <f t="shared" si="30"/>
        <v>758681.66666666663</v>
      </c>
      <c r="BR42" s="91">
        <f t="shared" si="31"/>
        <v>2.2850000000000001</v>
      </c>
      <c r="BS42" s="91">
        <f t="shared" si="32"/>
        <v>338026.98760029173</v>
      </c>
      <c r="BT42" s="91">
        <f t="shared" si="33"/>
        <v>23815.668420000005</v>
      </c>
      <c r="BU42" s="91">
        <f t="shared" si="34"/>
        <v>734865.99824666663</v>
      </c>
      <c r="BV42" s="91">
        <f t="shared" si="35"/>
        <v>758681.66666666663</v>
      </c>
      <c r="BW42" s="91">
        <f t="shared" si="36"/>
        <v>10422.612000000001</v>
      </c>
      <c r="BX42" s="91">
        <f t="shared" si="37"/>
        <v>321604.37560029171</v>
      </c>
      <c r="BY42" s="91">
        <f t="shared" si="38"/>
        <v>332026.98760029173</v>
      </c>
    </row>
    <row r="43" spans="1:77" ht="14.45">
      <c r="A43" s="178" t="s">
        <v>122</v>
      </c>
      <c r="B43" s="151" t="s">
        <v>165</v>
      </c>
      <c r="C43" s="151" t="s">
        <v>124</v>
      </c>
      <c r="D43" s="179" t="s">
        <v>116</v>
      </c>
      <c r="E43" s="151" t="s">
        <v>164</v>
      </c>
      <c r="F43" s="151" t="s">
        <v>118</v>
      </c>
      <c r="G43" s="152" t="str">
        <f t="shared" si="2"/>
        <v>U Space</v>
      </c>
      <c r="H43" s="151">
        <v>21</v>
      </c>
      <c r="I43" s="151">
        <v>21</v>
      </c>
      <c r="J43" s="180">
        <f t="shared" si="40"/>
        <v>0</v>
      </c>
      <c r="K43" s="151">
        <v>21</v>
      </c>
      <c r="L43" s="151"/>
      <c r="M43" s="181">
        <f>295000/12</f>
        <v>24583.333333333332</v>
      </c>
      <c r="N43" s="83">
        <f t="shared" si="39"/>
        <v>295000</v>
      </c>
      <c r="O43" s="183" t="str">
        <f t="shared" si="3"/>
        <v>Rated</v>
      </c>
      <c r="P43" s="151" t="s">
        <v>125</v>
      </c>
      <c r="Q43" s="151">
        <v>1.5</v>
      </c>
      <c r="R43" s="223">
        <v>3.78</v>
      </c>
      <c r="S43" s="185">
        <f t="shared" si="41"/>
        <v>-2.2799999999999998</v>
      </c>
      <c r="T43" s="151"/>
      <c r="U43" s="186">
        <f t="shared" si="5"/>
        <v>0</v>
      </c>
      <c r="V43" s="186">
        <f t="shared" si="6"/>
        <v>0.75</v>
      </c>
      <c r="W43" s="188">
        <f t="shared" si="44"/>
        <v>3.78</v>
      </c>
      <c r="X43" s="186">
        <f>S43*-1</f>
        <v>2.2799999999999998</v>
      </c>
      <c r="Y43" s="83"/>
      <c r="Z43" s="189" t="str">
        <f t="shared" si="42"/>
        <v>Bundled</v>
      </c>
      <c r="AA43" s="151"/>
      <c r="AB43" s="186"/>
      <c r="AC43" s="190"/>
      <c r="AD43" s="199"/>
      <c r="AE43" s="120"/>
      <c r="AF43" s="152" t="str">
        <f t="shared" si="8"/>
        <v/>
      </c>
      <c r="AG43" s="151"/>
      <c r="AH43" s="151"/>
      <c r="AI43" s="151"/>
      <c r="AJ43" s="151"/>
      <c r="AK43" s="151"/>
      <c r="AL43" s="181"/>
      <c r="AM43" s="83">
        <f t="shared" si="43"/>
        <v>516250</v>
      </c>
      <c r="AN43" s="83">
        <f t="shared" si="10"/>
        <v>0</v>
      </c>
      <c r="AO43" s="83">
        <f t="shared" si="11"/>
        <v>0</v>
      </c>
      <c r="AP43" s="83">
        <f t="shared" si="12"/>
        <v>0</v>
      </c>
      <c r="AQ43" s="84">
        <f>75000/12</f>
        <v>6250</v>
      </c>
      <c r="AR43" s="85">
        <f t="shared" si="13"/>
        <v>0</v>
      </c>
      <c r="AS43" s="85">
        <f t="shared" si="14"/>
        <v>0</v>
      </c>
      <c r="AT43" s="85" t="s">
        <v>119</v>
      </c>
      <c r="AU43" s="69" t="s">
        <v>166</v>
      </c>
      <c r="AV43" s="191">
        <v>43543</v>
      </c>
      <c r="AW43" s="69">
        <v>5</v>
      </c>
      <c r="AX43" s="191">
        <v>43518</v>
      </c>
      <c r="AY43" s="69" t="s">
        <v>121</v>
      </c>
      <c r="AZ43" s="323"/>
      <c r="BA43" s="84">
        <f t="shared" si="15"/>
        <v>0</v>
      </c>
      <c r="BB43" s="84">
        <f t="shared" si="16"/>
        <v>0</v>
      </c>
      <c r="BC43" s="84">
        <f t="shared" si="17"/>
        <v>635803.36885333329</v>
      </c>
      <c r="BD43" s="84">
        <f t="shared" si="18"/>
        <v>635803.36885333329</v>
      </c>
      <c r="BE43" s="84">
        <f t="shared" si="19"/>
        <v>677910.72133333341</v>
      </c>
      <c r="BF43" s="84"/>
      <c r="BG43" s="93">
        <f t="shared" si="20"/>
        <v>516250</v>
      </c>
      <c r="BH43" s="93">
        <f t="shared" si="21"/>
        <v>508433.04100000003</v>
      </c>
      <c r="BI43" s="93">
        <f t="shared" si="22"/>
        <v>7816.9590000000007</v>
      </c>
      <c r="BJ43" s="91">
        <f t="shared" si="23"/>
        <v>39397.473360000004</v>
      </c>
      <c r="BK43" s="91">
        <f t="shared" si="24"/>
        <v>39397.473360000004</v>
      </c>
      <c r="BL43" s="91">
        <f t="shared" si="25"/>
        <v>7816.9590000000007</v>
      </c>
      <c r="BM43" s="91">
        <f t="shared" si="26"/>
        <v>476852.52663999994</v>
      </c>
      <c r="BN43" s="91">
        <f t="shared" si="27"/>
        <v>4500</v>
      </c>
      <c r="BO43" s="91">
        <f t="shared" si="28"/>
        <v>503933.04100000003</v>
      </c>
      <c r="BP43" s="91">
        <f t="shared" si="29"/>
        <v>-31580.514360000001</v>
      </c>
      <c r="BQ43" s="91">
        <f t="shared" si="30"/>
        <v>472352.52664000005</v>
      </c>
      <c r="BR43" s="91">
        <f t="shared" si="31"/>
        <v>0.75</v>
      </c>
      <c r="BS43" s="91">
        <f t="shared" si="32"/>
        <v>635803.36885333329</v>
      </c>
      <c r="BT43" s="91">
        <f t="shared" si="33"/>
        <v>-31580.514360000001</v>
      </c>
      <c r="BU43" s="91">
        <f t="shared" si="34"/>
        <v>503933.04100000008</v>
      </c>
      <c r="BV43" s="91">
        <f t="shared" si="35"/>
        <v>472352.52664000005</v>
      </c>
      <c r="BW43" s="91">
        <f t="shared" si="36"/>
        <v>-42107.352480000001</v>
      </c>
      <c r="BX43" s="91">
        <f t="shared" si="37"/>
        <v>671910.72133333341</v>
      </c>
      <c r="BY43" s="91">
        <f t="shared" si="38"/>
        <v>629803.36885333341</v>
      </c>
    </row>
    <row r="44" spans="1:77" ht="24">
      <c r="A44" s="178" t="s">
        <v>122</v>
      </c>
      <c r="B44" s="151" t="s">
        <v>167</v>
      </c>
      <c r="C44" s="151" t="s">
        <v>115</v>
      </c>
      <c r="D44" s="179" t="s">
        <v>130</v>
      </c>
      <c r="E44" s="151" t="s">
        <v>117</v>
      </c>
      <c r="F44" s="151" t="s">
        <v>131</v>
      </c>
      <c r="G44" s="152" t="str">
        <f t="shared" si="2"/>
        <v>No of Racks</v>
      </c>
      <c r="H44" s="200">
        <v>40</v>
      </c>
      <c r="I44" s="151">
        <v>1</v>
      </c>
      <c r="J44" s="180">
        <f t="shared" si="40"/>
        <v>39</v>
      </c>
      <c r="K44" s="151">
        <v>40</v>
      </c>
      <c r="L44" s="151"/>
      <c r="M44" s="83">
        <f>((9684000)+(1472000))/12/40</f>
        <v>23241.666666666664</v>
      </c>
      <c r="N44" s="182">
        <f t="shared" si="39"/>
        <v>278900</v>
      </c>
      <c r="O44" s="183" t="str">
        <f t="shared" si="3"/>
        <v>Subscribed</v>
      </c>
      <c r="P44" s="151" t="s">
        <v>108</v>
      </c>
      <c r="Q44" s="153"/>
      <c r="R44" s="225">
        <v>0</v>
      </c>
      <c r="S44" s="226">
        <f t="shared" si="41"/>
        <v>0</v>
      </c>
      <c r="T44" s="186"/>
      <c r="U44" s="186">
        <f t="shared" si="5"/>
        <v>0</v>
      </c>
      <c r="V44" s="186">
        <f t="shared" si="6"/>
        <v>0</v>
      </c>
      <c r="W44" s="202">
        <f t="shared" si="44"/>
        <v>0</v>
      </c>
      <c r="X44" s="186"/>
      <c r="Y44" s="83"/>
      <c r="Z44" s="189" t="str">
        <f t="shared" si="42"/>
        <v>Metered</v>
      </c>
      <c r="AA44" s="186">
        <v>1</v>
      </c>
      <c r="AB44" s="179" t="s">
        <v>145</v>
      </c>
      <c r="AC44" s="190">
        <v>13.5</v>
      </c>
      <c r="AD44" s="227">
        <v>0</v>
      </c>
      <c r="AE44" s="120"/>
      <c r="AF44" s="152" t="str">
        <f t="shared" si="8"/>
        <v/>
      </c>
      <c r="AG44" s="153">
        <v>2</v>
      </c>
      <c r="AH44" s="153">
        <v>2</v>
      </c>
      <c r="AI44" s="151">
        <f>AG44-AH44</f>
        <v>0</v>
      </c>
      <c r="AJ44" s="153">
        <v>2</v>
      </c>
      <c r="AK44" s="186"/>
      <c r="AL44" s="83">
        <f>83000/12</f>
        <v>6916.666666666667</v>
      </c>
      <c r="AM44" s="83">
        <f t="shared" si="43"/>
        <v>929666.66666666651</v>
      </c>
      <c r="AN44" s="83">
        <f t="shared" si="10"/>
        <v>0</v>
      </c>
      <c r="AO44" s="83">
        <f t="shared" si="11"/>
        <v>0</v>
      </c>
      <c r="AP44" s="83">
        <f t="shared" si="12"/>
        <v>13833.333333333334</v>
      </c>
      <c r="AQ44" s="84"/>
      <c r="AR44" s="85">
        <f t="shared" si="13"/>
        <v>943499.99999999988</v>
      </c>
      <c r="AS44" s="86">
        <f t="shared" si="14"/>
        <v>11321999.999999998</v>
      </c>
      <c r="AT44" s="85" t="s">
        <v>168</v>
      </c>
      <c r="AU44" s="68" t="s">
        <v>169</v>
      </c>
      <c r="AV44" s="191">
        <v>42401</v>
      </c>
      <c r="AW44" s="69">
        <v>3</v>
      </c>
      <c r="AX44" s="191">
        <v>43497</v>
      </c>
      <c r="AY44" s="68" t="s">
        <v>170</v>
      </c>
      <c r="AZ44" s="323"/>
      <c r="BA44" s="84">
        <f t="shared" si="15"/>
        <v>23587.499999999996</v>
      </c>
      <c r="BB44" s="84" t="e">
        <f t="shared" si="16"/>
        <v>#DIV/0!</v>
      </c>
      <c r="BC44" s="84" t="e">
        <f t="shared" si="17"/>
        <v>#DIV/0!</v>
      </c>
      <c r="BD44" s="84" t="e">
        <f t="shared" si="18"/>
        <v>#DIV/0!</v>
      </c>
      <c r="BE44" s="84" t="e">
        <f t="shared" si="19"/>
        <v>#DIV/0!</v>
      </c>
      <c r="BF44" s="84"/>
      <c r="BG44" s="90">
        <f t="shared" si="20"/>
        <v>929666.66666666651</v>
      </c>
      <c r="BH44" s="90">
        <f t="shared" si="21"/>
        <v>929666.66666666651</v>
      </c>
      <c r="BI44" s="90">
        <f t="shared" si="22"/>
        <v>0</v>
      </c>
      <c r="BJ44" s="91">
        <f t="shared" si="23"/>
        <v>0</v>
      </c>
      <c r="BK44" s="91">
        <f t="shared" si="24"/>
        <v>0</v>
      </c>
      <c r="BL44" s="91">
        <f t="shared" si="25"/>
        <v>0</v>
      </c>
      <c r="BM44" s="91" t="e">
        <f t="shared" si="26"/>
        <v>#DIV/0!</v>
      </c>
      <c r="BN44" s="91">
        <f t="shared" si="27"/>
        <v>0</v>
      </c>
      <c r="BO44" s="91">
        <f t="shared" si="28"/>
        <v>929666.66666666651</v>
      </c>
      <c r="BP44" s="91">
        <f t="shared" si="29"/>
        <v>0</v>
      </c>
      <c r="BQ44" s="91">
        <f t="shared" si="30"/>
        <v>929666.66666666651</v>
      </c>
      <c r="BR44" s="91">
        <f t="shared" si="31"/>
        <v>0</v>
      </c>
      <c r="BS44" s="91" t="e">
        <f t="shared" si="32"/>
        <v>#DIV/0!</v>
      </c>
      <c r="BT44" s="91">
        <f t="shared" si="33"/>
        <v>0</v>
      </c>
      <c r="BU44" s="91">
        <f t="shared" si="34"/>
        <v>929666.66666666651</v>
      </c>
      <c r="BV44" s="91">
        <f t="shared" si="35"/>
        <v>929666.66666666651</v>
      </c>
      <c r="BW44" s="91" t="e">
        <f t="shared" si="36"/>
        <v>#DIV/0!</v>
      </c>
      <c r="BX44" s="91" t="e">
        <f t="shared" si="37"/>
        <v>#DIV/0!</v>
      </c>
      <c r="BY44" s="91" t="e">
        <f t="shared" si="38"/>
        <v>#DIV/0!</v>
      </c>
    </row>
    <row r="45" spans="1:77" ht="14.45">
      <c r="A45" s="178" t="s">
        <v>113</v>
      </c>
      <c r="B45" s="200" t="s">
        <v>171</v>
      </c>
      <c r="C45" s="151" t="s">
        <v>115</v>
      </c>
      <c r="D45" s="179" t="s">
        <v>130</v>
      </c>
      <c r="E45" s="151" t="s">
        <v>117</v>
      </c>
      <c r="F45" s="151" t="s">
        <v>131</v>
      </c>
      <c r="G45" s="152" t="str">
        <f t="shared" si="2"/>
        <v>No of Racks</v>
      </c>
      <c r="H45" s="200">
        <v>2</v>
      </c>
      <c r="I45" s="151">
        <v>2</v>
      </c>
      <c r="J45" s="180">
        <f t="shared" si="40"/>
        <v>0</v>
      </c>
      <c r="K45" s="151">
        <v>2</v>
      </c>
      <c r="L45" s="151"/>
      <c r="M45" s="83">
        <f>215200/12</f>
        <v>17933.333333333332</v>
      </c>
      <c r="N45" s="182">
        <f t="shared" si="39"/>
        <v>215200</v>
      </c>
      <c r="O45" s="183" t="str">
        <f t="shared" si="3"/>
        <v>Subscribed</v>
      </c>
      <c r="P45" s="151" t="s">
        <v>108</v>
      </c>
      <c r="Q45" s="153">
        <v>4</v>
      </c>
      <c r="R45" s="225">
        <v>2.17</v>
      </c>
      <c r="S45" s="226">
        <f t="shared" si="41"/>
        <v>1.83</v>
      </c>
      <c r="T45" s="186"/>
      <c r="U45" s="186">
        <f t="shared" si="5"/>
        <v>1.83</v>
      </c>
      <c r="V45" s="186">
        <f t="shared" si="6"/>
        <v>4</v>
      </c>
      <c r="W45" s="202">
        <f t="shared" si="44"/>
        <v>2.17</v>
      </c>
      <c r="X45" s="186"/>
      <c r="Y45" s="83"/>
      <c r="Z45" s="189" t="str">
        <f t="shared" si="42"/>
        <v>Metered</v>
      </c>
      <c r="AA45" s="186">
        <v>1</v>
      </c>
      <c r="AB45" s="179" t="s">
        <v>145</v>
      </c>
      <c r="AC45" s="190">
        <v>13.5</v>
      </c>
      <c r="AD45" s="146">
        <v>2716.8299999999981</v>
      </c>
      <c r="AE45" s="120"/>
      <c r="AF45" s="152"/>
      <c r="AG45" s="153"/>
      <c r="AH45" s="153"/>
      <c r="AI45" s="151"/>
      <c r="AJ45" s="153"/>
      <c r="AK45" s="186"/>
      <c r="AL45" s="83"/>
      <c r="AM45" s="83">
        <f t="shared" si="43"/>
        <v>35866.666666666664</v>
      </c>
      <c r="AN45" s="83">
        <f t="shared" si="10"/>
        <v>0</v>
      </c>
      <c r="AO45" s="83">
        <f t="shared" si="11"/>
        <v>36677.204999999973</v>
      </c>
      <c r="AP45" s="83">
        <f t="shared" si="12"/>
        <v>0</v>
      </c>
      <c r="AQ45" s="84"/>
      <c r="AR45" s="85">
        <f t="shared" si="13"/>
        <v>72543.871666666644</v>
      </c>
      <c r="AS45" s="86">
        <f t="shared" si="14"/>
        <v>870526.45999999973</v>
      </c>
      <c r="AT45" s="85" t="s">
        <v>168</v>
      </c>
      <c r="AU45" s="68">
        <v>721006353</v>
      </c>
      <c r="AV45" s="191">
        <v>43208</v>
      </c>
      <c r="AW45" s="69">
        <v>1</v>
      </c>
      <c r="AX45" s="191">
        <v>43543</v>
      </c>
      <c r="AY45" s="68" t="s">
        <v>172</v>
      </c>
      <c r="AZ45" s="323"/>
      <c r="BA45" s="84">
        <f t="shared" si="15"/>
        <v>36271.935833333322</v>
      </c>
      <c r="BB45" s="84">
        <f t="shared" si="16"/>
        <v>18135.967916666661</v>
      </c>
      <c r="BC45" s="84">
        <f t="shared" si="17"/>
        <v>8386.7570762568321</v>
      </c>
      <c r="BD45" s="84">
        <f t="shared" si="18"/>
        <v>8386.7570762568321</v>
      </c>
      <c r="BE45" s="84">
        <f t="shared" si="19"/>
        <v>8507.1464666666689</v>
      </c>
      <c r="BF45" s="84"/>
      <c r="BG45" s="90">
        <f t="shared" si="20"/>
        <v>72543.871666666644</v>
      </c>
      <c r="BH45" s="90">
        <f t="shared" si="21"/>
        <v>35866.666666666672</v>
      </c>
      <c r="BI45" s="90">
        <f t="shared" si="22"/>
        <v>36677.204999999973</v>
      </c>
      <c r="BJ45" s="91">
        <f t="shared" si="23"/>
        <v>38996.843361639316</v>
      </c>
      <c r="BK45" s="91">
        <f t="shared" si="24"/>
        <v>38996.843361639316</v>
      </c>
      <c r="BL45" s="91">
        <f t="shared" si="25"/>
        <v>35436.880799999999</v>
      </c>
      <c r="BM45" s="91">
        <f t="shared" si="26"/>
        <v>33547.028305027328</v>
      </c>
      <c r="BN45" s="91">
        <f t="shared" si="27"/>
        <v>24000</v>
      </c>
      <c r="BO45" s="91">
        <f t="shared" si="28"/>
        <v>11866.666666666672</v>
      </c>
      <c r="BP45" s="91">
        <f t="shared" si="29"/>
        <v>-2319.6383616393432</v>
      </c>
      <c r="BQ45" s="91">
        <f t="shared" si="30"/>
        <v>9547.0283050273283</v>
      </c>
      <c r="BR45" s="91">
        <f t="shared" si="31"/>
        <v>4</v>
      </c>
      <c r="BS45" s="91">
        <f t="shared" si="32"/>
        <v>8386.7570762568321</v>
      </c>
      <c r="BT45" s="91">
        <f t="shared" si="33"/>
        <v>-2319.6383616393432</v>
      </c>
      <c r="BU45" s="91">
        <f t="shared" si="34"/>
        <v>11866.666666666664</v>
      </c>
      <c r="BV45" s="91">
        <f t="shared" si="35"/>
        <v>9547.028305027321</v>
      </c>
      <c r="BW45" s="91">
        <f t="shared" si="36"/>
        <v>-579.9095904098358</v>
      </c>
      <c r="BX45" s="91">
        <f t="shared" si="37"/>
        <v>2966.6666666666661</v>
      </c>
      <c r="BY45" s="91">
        <f t="shared" si="38"/>
        <v>2386.7570762568303</v>
      </c>
    </row>
    <row r="46" spans="1:77" ht="14.45">
      <c r="A46" s="178" t="s">
        <v>113</v>
      </c>
      <c r="B46" s="200" t="s">
        <v>171</v>
      </c>
      <c r="C46" s="151" t="s">
        <v>115</v>
      </c>
      <c r="D46" s="179" t="s">
        <v>130</v>
      </c>
      <c r="E46" s="151" t="s">
        <v>117</v>
      </c>
      <c r="F46" s="151" t="s">
        <v>131</v>
      </c>
      <c r="G46" s="152" t="str">
        <f t="shared" si="2"/>
        <v>No of Racks</v>
      </c>
      <c r="H46" s="200">
        <v>3</v>
      </c>
      <c r="I46" s="151">
        <v>2</v>
      </c>
      <c r="J46" s="180">
        <f t="shared" si="40"/>
        <v>1</v>
      </c>
      <c r="K46" s="151">
        <v>2</v>
      </c>
      <c r="L46" s="151"/>
      <c r="M46" s="83"/>
      <c r="N46" s="182"/>
      <c r="O46" s="183" t="str">
        <f t="shared" si="3"/>
        <v>Subscribed</v>
      </c>
      <c r="P46" s="151" t="s">
        <v>108</v>
      </c>
      <c r="Q46" s="153">
        <v>18</v>
      </c>
      <c r="R46" s="225">
        <v>3.8</v>
      </c>
      <c r="S46" s="226">
        <f t="shared" si="41"/>
        <v>14.2</v>
      </c>
      <c r="T46" s="186"/>
      <c r="U46" s="186">
        <f t="shared" si="5"/>
        <v>14.2</v>
      </c>
      <c r="V46" s="186">
        <f t="shared" si="6"/>
        <v>18</v>
      </c>
      <c r="W46" s="202">
        <f t="shared" si="44"/>
        <v>3.8</v>
      </c>
      <c r="X46" s="186"/>
      <c r="Y46" s="83"/>
      <c r="Z46" s="189"/>
      <c r="AA46" s="186"/>
      <c r="AB46" s="186"/>
      <c r="AC46" s="190"/>
      <c r="AD46" s="228">
        <v>0</v>
      </c>
      <c r="AE46" s="120"/>
      <c r="AF46" s="152"/>
      <c r="AG46" s="153"/>
      <c r="AH46" s="153"/>
      <c r="AI46" s="151"/>
      <c r="AJ46" s="153"/>
      <c r="AK46" s="186"/>
      <c r="AL46" s="83"/>
      <c r="AM46" s="83"/>
      <c r="AN46" s="83"/>
      <c r="AO46" s="83"/>
      <c r="AP46" s="83"/>
      <c r="AQ46" s="84"/>
      <c r="AR46" s="85"/>
      <c r="AS46" s="86"/>
      <c r="AT46" s="85"/>
      <c r="AU46" s="68"/>
      <c r="AV46" s="191"/>
      <c r="AW46" s="69"/>
      <c r="AX46" s="191"/>
      <c r="AY46" s="69"/>
      <c r="AZ46" s="323"/>
      <c r="BA46" s="84"/>
      <c r="BB46" s="84"/>
      <c r="BC46" s="84"/>
      <c r="BD46" s="84"/>
      <c r="BE46" s="84"/>
      <c r="BF46" s="84"/>
      <c r="BG46" s="90"/>
      <c r="BH46" s="90"/>
      <c r="BI46" s="90"/>
      <c r="BJ46" s="91">
        <f t="shared" si="23"/>
        <v>39605.925600000002</v>
      </c>
      <c r="BK46" s="91">
        <f t="shared" si="24"/>
        <v>187607.016</v>
      </c>
      <c r="BL46" s="91"/>
      <c r="BM46" s="91"/>
      <c r="BN46" s="91"/>
      <c r="BO46" s="91"/>
      <c r="BP46" s="91"/>
      <c r="BQ46" s="91"/>
      <c r="BR46" s="91"/>
      <c r="BS46" s="91"/>
      <c r="BT46" s="91"/>
      <c r="BU46" s="91"/>
      <c r="BV46" s="91"/>
      <c r="BW46" s="91"/>
      <c r="BX46" s="91"/>
      <c r="BY46" s="91"/>
    </row>
    <row r="47" spans="1:77" ht="14.45">
      <c r="A47" s="178" t="s">
        <v>122</v>
      </c>
      <c r="B47" s="151" t="s">
        <v>167</v>
      </c>
      <c r="C47" s="151" t="s">
        <v>115</v>
      </c>
      <c r="D47" s="179" t="s">
        <v>130</v>
      </c>
      <c r="E47" s="151" t="s">
        <v>117</v>
      </c>
      <c r="F47" s="151" t="s">
        <v>131</v>
      </c>
      <c r="G47" s="152" t="str">
        <f t="shared" si="2"/>
        <v>No of Racks</v>
      </c>
      <c r="H47" s="200">
        <v>16</v>
      </c>
      <c r="I47" s="151">
        <v>16</v>
      </c>
      <c r="J47" s="180">
        <v>0</v>
      </c>
      <c r="K47" s="151">
        <v>16</v>
      </c>
      <c r="L47" s="151"/>
      <c r="M47" s="83">
        <f>((269000*14)+(368000*2))/12/16</f>
        <v>23447.916666666668</v>
      </c>
      <c r="N47" s="182">
        <f t="shared" ref="N47:N64" si="45">M47*12</f>
        <v>281375</v>
      </c>
      <c r="O47" s="183" t="str">
        <f t="shared" si="3"/>
        <v>Subscribed</v>
      </c>
      <c r="P47" s="151" t="s">
        <v>108</v>
      </c>
      <c r="Q47" s="153"/>
      <c r="R47" s="225">
        <v>31.1</v>
      </c>
      <c r="S47" s="226">
        <f t="shared" si="41"/>
        <v>-31.1</v>
      </c>
      <c r="T47" s="186"/>
      <c r="U47" s="186">
        <f t="shared" si="5"/>
        <v>0</v>
      </c>
      <c r="V47" s="186">
        <f t="shared" si="6"/>
        <v>0</v>
      </c>
      <c r="W47" s="202">
        <f t="shared" si="44"/>
        <v>31.1</v>
      </c>
      <c r="X47" s="186"/>
      <c r="Y47" s="83"/>
      <c r="Z47" s="189" t="str">
        <f t="shared" ref="Z47:Z64" si="46">D47</f>
        <v>Metered</v>
      </c>
      <c r="AA47" s="186">
        <v>1</v>
      </c>
      <c r="AB47" s="179" t="s">
        <v>145</v>
      </c>
      <c r="AC47" s="190">
        <v>13.5</v>
      </c>
      <c r="AD47" s="227">
        <v>0</v>
      </c>
      <c r="AE47" s="120"/>
      <c r="AF47" s="152"/>
      <c r="AG47" s="153"/>
      <c r="AH47" s="153"/>
      <c r="AI47" s="151"/>
      <c r="AJ47" s="153"/>
      <c r="AK47" s="186"/>
      <c r="AL47" s="83"/>
      <c r="AM47" s="83">
        <f t="shared" ref="AM47:AM64" si="47">M47*K47</f>
        <v>375166.66666666669</v>
      </c>
      <c r="AN47" s="83">
        <f t="shared" ref="AN47:AN62" si="48">Y47*X47</f>
        <v>0</v>
      </c>
      <c r="AO47" s="83">
        <f t="shared" ref="AO47:AO62" si="49">AD47*AC47*AA47</f>
        <v>0</v>
      </c>
      <c r="AP47" s="83">
        <f t="shared" ref="AP47:AP62" si="50">AL47*AJ47</f>
        <v>0</v>
      </c>
      <c r="AQ47" s="84"/>
      <c r="AR47" s="85">
        <f t="shared" ref="AR47:AR64" si="51">SUBTOTAL(9,AM47:AQ47)</f>
        <v>375166.66666666669</v>
      </c>
      <c r="AS47" s="86">
        <f t="shared" ref="AS47:AS64" si="52">AR47*12</f>
        <v>4502000</v>
      </c>
      <c r="AT47" s="85" t="s">
        <v>119</v>
      </c>
      <c r="AU47" s="68"/>
      <c r="AV47" s="191">
        <v>42783</v>
      </c>
      <c r="AW47" s="69">
        <v>3</v>
      </c>
      <c r="AX47" s="191">
        <v>43849</v>
      </c>
      <c r="AY47" s="68" t="s">
        <v>173</v>
      </c>
      <c r="AZ47" s="323"/>
      <c r="BA47" s="84">
        <f t="shared" ref="BA47:BA61" si="53">IF(E47="Rack",AR47/H47,0)+IF(E47="U Space",AR47*40/H47,0)+IF(E47="Space",AR47*30/H47,0)</f>
        <v>23447.916666666668</v>
      </c>
      <c r="BB47" s="84" t="e">
        <f t="shared" ref="BB47:BB61" si="54">+AR47/V47</f>
        <v>#DIV/0!</v>
      </c>
      <c r="BC47" s="84" t="e">
        <f t="shared" ref="BC47:BC64" si="55">+($AM47+$AN47+$AO47-BJ47)/$V47</f>
        <v>#DIV/0!</v>
      </c>
      <c r="BD47" s="84" t="e">
        <f t="shared" ref="BD47:BD64" si="56">+($AM47+$AN47+$AO47-BK47)/$V47</f>
        <v>#DIV/0!</v>
      </c>
      <c r="BE47" s="84" t="e">
        <f t="shared" ref="BE47:BE64" si="57">+($AM47+$AN47+IF(D47="Bundled",0,V47*0.85*AA47*AC47*30.5*24)-BL47)/$V47</f>
        <v>#DIV/0!</v>
      </c>
      <c r="BF47" s="84"/>
      <c r="BG47" s="90">
        <f t="shared" ref="BG47:BG64" si="58">+AM47+AN47+AO47</f>
        <v>375166.66666666669</v>
      </c>
      <c r="BH47" s="90">
        <f t="shared" ref="BH47:BH64" si="59">+BG47-BI47</f>
        <v>375166.66666666669</v>
      </c>
      <c r="BI47" s="90">
        <f t="shared" ref="BI47:BI64" si="60">IF(D47="Bundled",MIN(V47*$AD$20*(1+$K$2),BG47),AO47)</f>
        <v>0</v>
      </c>
      <c r="BJ47" s="91">
        <f t="shared" si="23"/>
        <v>324143.23320000002</v>
      </c>
      <c r="BK47" s="91">
        <f t="shared" si="24"/>
        <v>324143.23320000002</v>
      </c>
      <c r="BL47" s="91">
        <f t="shared" ref="BL47:BL74" si="61">IF(D47="Bundled",$AD$20*V47,$AD$20*V47*0.85)</f>
        <v>0</v>
      </c>
      <c r="BM47" s="91" t="e">
        <f t="shared" ref="BM47:BM64" si="62">+BC47*V47</f>
        <v>#DIV/0!</v>
      </c>
      <c r="BN47" s="91">
        <f t="shared" ref="BN47:BN74" si="63">+$J$2*V47</f>
        <v>0</v>
      </c>
      <c r="BO47" s="91">
        <f t="shared" ref="BO47:BO64" si="64">+BH47-BN47</f>
        <v>375166.66666666669</v>
      </c>
      <c r="BP47" s="91">
        <f t="shared" ref="BP47:BP64" si="65">+BI47-BJ47</f>
        <v>-324143.23320000002</v>
      </c>
      <c r="BQ47" s="91">
        <f t="shared" ref="BQ47:BQ64" si="66">+BO47+BP47</f>
        <v>51023.433466666669</v>
      </c>
      <c r="BR47" s="91">
        <f t="shared" ref="BR47:BR74" si="67">+V47</f>
        <v>0</v>
      </c>
      <c r="BS47" s="91" t="e">
        <f t="shared" ref="BS47:BS64" si="68">+BC47</f>
        <v>#DIV/0!</v>
      </c>
      <c r="BT47" s="91">
        <f t="shared" ref="BT47:BT64" si="69">IF(D47="Bundled",BL47-BJ47,AO47-BJ47)</f>
        <v>-324143.23320000002</v>
      </c>
      <c r="BU47" s="91">
        <f t="shared" ref="BU47:BU64" si="70">IF(D47="Bundled",+(BE47-$J$2)*V47,(AM47+AN47)-V47*$J$2)</f>
        <v>375166.66666666669</v>
      </c>
      <c r="BV47" s="91">
        <f t="shared" ref="BV47:BV64" si="71">+BT47+BU47</f>
        <v>51023.433466666669</v>
      </c>
      <c r="BW47" s="91" t="e">
        <f t="shared" ref="BW47:BW64" si="72">+BT47/$BR47</f>
        <v>#DIV/0!</v>
      </c>
      <c r="BX47" s="91" t="e">
        <f t="shared" ref="BX47:BX64" si="73">+BU47/$BR47</f>
        <v>#DIV/0!</v>
      </c>
      <c r="BY47" s="91" t="e">
        <f t="shared" ref="BY47:BY64" si="74">+BV47/$BR47</f>
        <v>#DIV/0!</v>
      </c>
    </row>
    <row r="48" spans="1:77" ht="14.45">
      <c r="A48" s="178" t="s">
        <v>136</v>
      </c>
      <c r="B48" s="151" t="s">
        <v>167</v>
      </c>
      <c r="C48" s="151" t="s">
        <v>115</v>
      </c>
      <c r="D48" s="179" t="s">
        <v>130</v>
      </c>
      <c r="E48" s="151" t="s">
        <v>117</v>
      </c>
      <c r="F48" s="151" t="s">
        <v>131</v>
      </c>
      <c r="G48" s="152" t="str">
        <f t="shared" si="2"/>
        <v>No of Racks</v>
      </c>
      <c r="H48" s="200">
        <v>2</v>
      </c>
      <c r="I48" s="151">
        <v>2</v>
      </c>
      <c r="J48" s="180">
        <f>H48-I48</f>
        <v>0</v>
      </c>
      <c r="K48" s="151">
        <v>2</v>
      </c>
      <c r="L48" s="151"/>
      <c r="M48" s="83">
        <f>195000/12</f>
        <v>16250</v>
      </c>
      <c r="N48" s="83">
        <f t="shared" si="45"/>
        <v>195000</v>
      </c>
      <c r="O48" s="183" t="str">
        <f t="shared" si="3"/>
        <v>Subscribed</v>
      </c>
      <c r="P48" s="151" t="s">
        <v>108</v>
      </c>
      <c r="Q48" s="153">
        <v>6</v>
      </c>
      <c r="R48" s="225">
        <v>5.7</v>
      </c>
      <c r="S48" s="226">
        <f t="shared" si="41"/>
        <v>0.29999999999999982</v>
      </c>
      <c r="T48" s="186"/>
      <c r="U48" s="186">
        <f t="shared" si="5"/>
        <v>0.29999999999999982</v>
      </c>
      <c r="V48" s="186">
        <f t="shared" si="6"/>
        <v>6</v>
      </c>
      <c r="W48" s="202">
        <f t="shared" si="44"/>
        <v>5.7</v>
      </c>
      <c r="X48" s="186"/>
      <c r="Y48" s="83"/>
      <c r="Z48" s="189" t="str">
        <f t="shared" si="46"/>
        <v>Metered</v>
      </c>
      <c r="AA48" s="186">
        <v>1</v>
      </c>
      <c r="AB48" s="179" t="s">
        <v>145</v>
      </c>
      <c r="AC48" s="190">
        <v>14.5</v>
      </c>
      <c r="AD48">
        <v>4264.8999999999996</v>
      </c>
      <c r="AE48" s="120"/>
      <c r="AF48" s="152"/>
      <c r="AG48" s="153"/>
      <c r="AH48" s="153"/>
      <c r="AI48" s="151"/>
      <c r="AJ48" s="153"/>
      <c r="AK48" s="186"/>
      <c r="AL48" s="83"/>
      <c r="AM48" s="83">
        <f t="shared" si="47"/>
        <v>32500</v>
      </c>
      <c r="AN48" s="83">
        <f t="shared" si="48"/>
        <v>0</v>
      </c>
      <c r="AO48" s="83">
        <f t="shared" si="49"/>
        <v>61841.049999999996</v>
      </c>
      <c r="AP48" s="83">
        <f t="shared" si="50"/>
        <v>0</v>
      </c>
      <c r="AQ48" s="84"/>
      <c r="AR48" s="85">
        <f t="shared" si="51"/>
        <v>94341.049999999988</v>
      </c>
      <c r="AS48" s="86">
        <f t="shared" si="52"/>
        <v>1132092.5999999999</v>
      </c>
      <c r="AT48" s="85" t="s">
        <v>168</v>
      </c>
      <c r="AU48" s="68">
        <v>721003964</v>
      </c>
      <c r="AV48" s="191">
        <v>42964</v>
      </c>
      <c r="AW48" s="69">
        <v>1</v>
      </c>
      <c r="AX48" s="191">
        <v>43299</v>
      </c>
      <c r="AY48" s="69"/>
      <c r="AZ48" s="323"/>
      <c r="BA48" s="84">
        <f t="shared" si="53"/>
        <v>47170.524999999994</v>
      </c>
      <c r="BB48" s="84">
        <f t="shared" si="54"/>
        <v>15723.508333333331</v>
      </c>
      <c r="BC48" s="84">
        <f t="shared" si="55"/>
        <v>5520.5857327868844</v>
      </c>
      <c r="BD48" s="84">
        <f t="shared" si="56"/>
        <v>5520.5857327868844</v>
      </c>
      <c r="BE48" s="84">
        <f t="shared" si="57"/>
        <v>5579.346466666665</v>
      </c>
      <c r="BF48" s="84"/>
      <c r="BG48" s="93">
        <f t="shared" si="58"/>
        <v>94341.049999999988</v>
      </c>
      <c r="BH48" s="93">
        <f t="shared" si="59"/>
        <v>32499.999999999993</v>
      </c>
      <c r="BI48" s="93">
        <f t="shared" si="60"/>
        <v>61841.049999999996</v>
      </c>
      <c r="BJ48" s="91">
        <f t="shared" si="23"/>
        <v>61217.53560327868</v>
      </c>
      <c r="BK48" s="91">
        <f t="shared" si="24"/>
        <v>61217.53560327868</v>
      </c>
      <c r="BL48" s="91">
        <f t="shared" si="61"/>
        <v>53155.321200000006</v>
      </c>
      <c r="BM48" s="91">
        <f t="shared" si="62"/>
        <v>33123.514396721308</v>
      </c>
      <c r="BN48" s="91">
        <f t="shared" si="63"/>
        <v>36000</v>
      </c>
      <c r="BO48" s="91">
        <f t="shared" si="64"/>
        <v>-3500.0000000000073</v>
      </c>
      <c r="BP48" s="91">
        <f t="shared" si="65"/>
        <v>623.51439672131528</v>
      </c>
      <c r="BQ48" s="91">
        <f t="shared" si="66"/>
        <v>-2876.485603278692</v>
      </c>
      <c r="BR48" s="91">
        <f t="shared" si="67"/>
        <v>6</v>
      </c>
      <c r="BS48" s="91">
        <f t="shared" si="68"/>
        <v>5520.5857327868844</v>
      </c>
      <c r="BT48" s="91">
        <f t="shared" si="69"/>
        <v>623.51439672131528</v>
      </c>
      <c r="BU48" s="91">
        <f t="shared" si="70"/>
        <v>-3500</v>
      </c>
      <c r="BV48" s="91">
        <f t="shared" si="71"/>
        <v>-2876.4856032786847</v>
      </c>
      <c r="BW48" s="91">
        <f t="shared" si="72"/>
        <v>103.91906612021921</v>
      </c>
      <c r="BX48" s="91">
        <f t="shared" si="73"/>
        <v>-583.33333333333337</v>
      </c>
      <c r="BY48" s="91">
        <f t="shared" si="74"/>
        <v>-479.4142672131141</v>
      </c>
    </row>
    <row r="49" spans="1:77" ht="14.45">
      <c r="A49" s="178" t="s">
        <v>138</v>
      </c>
      <c r="B49" s="151" t="s">
        <v>167</v>
      </c>
      <c r="C49" s="151" t="s">
        <v>115</v>
      </c>
      <c r="D49" s="179" t="s">
        <v>130</v>
      </c>
      <c r="E49" s="151" t="s">
        <v>117</v>
      </c>
      <c r="F49" s="151" t="s">
        <v>131</v>
      </c>
      <c r="G49" s="152" t="str">
        <f t="shared" si="2"/>
        <v>No of Racks</v>
      </c>
      <c r="H49" s="200">
        <v>50</v>
      </c>
      <c r="I49" s="151">
        <v>50</v>
      </c>
      <c r="J49" s="180">
        <v>0</v>
      </c>
      <c r="K49" s="151">
        <v>50</v>
      </c>
      <c r="L49" s="151"/>
      <c r="M49" s="83">
        <f>325000/12</f>
        <v>27083.333333333332</v>
      </c>
      <c r="N49" s="83">
        <f t="shared" si="45"/>
        <v>325000</v>
      </c>
      <c r="O49" s="183" t="str">
        <f t="shared" si="3"/>
        <v>Subscribed</v>
      </c>
      <c r="P49" s="151" t="s">
        <v>108</v>
      </c>
      <c r="Q49" s="153">
        <v>226</v>
      </c>
      <c r="R49" s="225">
        <v>126.44</v>
      </c>
      <c r="S49" s="226">
        <f t="shared" si="41"/>
        <v>99.56</v>
      </c>
      <c r="T49" s="186"/>
      <c r="U49" s="186">
        <f t="shared" si="5"/>
        <v>99.56</v>
      </c>
      <c r="V49" s="186">
        <f t="shared" si="6"/>
        <v>226</v>
      </c>
      <c r="W49" s="202">
        <f t="shared" si="44"/>
        <v>126.44</v>
      </c>
      <c r="X49" s="186"/>
      <c r="Y49" s="83"/>
      <c r="Z49" s="189" t="str">
        <f t="shared" si="46"/>
        <v>Metered</v>
      </c>
      <c r="AA49" s="186">
        <v>1</v>
      </c>
      <c r="AB49" s="179" t="s">
        <v>145</v>
      </c>
      <c r="AC49" s="190">
        <v>14</v>
      </c>
      <c r="AD49" s="229">
        <v>0</v>
      </c>
      <c r="AE49" s="120"/>
      <c r="AF49" s="152"/>
      <c r="AG49" s="153"/>
      <c r="AH49" s="153"/>
      <c r="AI49" s="151"/>
      <c r="AJ49" s="153"/>
      <c r="AK49" s="186"/>
      <c r="AL49" s="83"/>
      <c r="AM49" s="83">
        <f t="shared" si="47"/>
        <v>1354166.6666666665</v>
      </c>
      <c r="AN49" s="83">
        <f t="shared" si="48"/>
        <v>0</v>
      </c>
      <c r="AO49" s="83">
        <f t="shared" si="49"/>
        <v>0</v>
      </c>
      <c r="AP49" s="83">
        <f t="shared" si="50"/>
        <v>0</v>
      </c>
      <c r="AQ49" s="84"/>
      <c r="AR49" s="85">
        <f t="shared" si="51"/>
        <v>1354166.6666666665</v>
      </c>
      <c r="AS49" s="86">
        <f t="shared" si="52"/>
        <v>16249999.999999998</v>
      </c>
      <c r="AT49" s="85" t="s">
        <v>119</v>
      </c>
      <c r="AU49" s="68">
        <v>721007019</v>
      </c>
      <c r="AV49" s="191">
        <v>43361</v>
      </c>
      <c r="AW49" s="69">
        <v>1</v>
      </c>
      <c r="AX49" s="191">
        <v>43695</v>
      </c>
      <c r="AY49" s="69"/>
      <c r="AZ49" s="323"/>
      <c r="BA49" s="84">
        <f t="shared" si="53"/>
        <v>27083.333333333328</v>
      </c>
      <c r="BB49" s="84">
        <f t="shared" si="54"/>
        <v>5991.887905604719</v>
      </c>
      <c r="BC49" s="84">
        <f t="shared" si="55"/>
        <v>160.75931587020571</v>
      </c>
      <c r="BD49" s="84">
        <f t="shared" si="56"/>
        <v>-4430.7240943952829</v>
      </c>
      <c r="BE49" s="84">
        <f t="shared" si="57"/>
        <v>5843.4677056047167</v>
      </c>
      <c r="BF49" s="84"/>
      <c r="BG49" s="93">
        <f t="shared" si="58"/>
        <v>1354166.6666666665</v>
      </c>
      <c r="BH49" s="93">
        <f t="shared" si="59"/>
        <v>1354166.6666666665</v>
      </c>
      <c r="BI49" s="93">
        <f t="shared" si="60"/>
        <v>0</v>
      </c>
      <c r="BJ49" s="91">
        <f t="shared" si="23"/>
        <v>1317835.06128</v>
      </c>
      <c r="BK49" s="91">
        <f t="shared" si="24"/>
        <v>2355510.3120000004</v>
      </c>
      <c r="BL49" s="91">
        <f t="shared" si="61"/>
        <v>2002183.7652000003</v>
      </c>
      <c r="BM49" s="91">
        <f t="shared" si="62"/>
        <v>36331.605386666488</v>
      </c>
      <c r="BN49" s="91">
        <f t="shared" si="63"/>
        <v>1356000</v>
      </c>
      <c r="BO49" s="91">
        <f t="shared" si="64"/>
        <v>-1833.3333333334886</v>
      </c>
      <c r="BP49" s="91">
        <f t="shared" si="65"/>
        <v>-1317835.06128</v>
      </c>
      <c r="BQ49" s="91">
        <f t="shared" si="66"/>
        <v>-1319668.3946133335</v>
      </c>
      <c r="BR49" s="91">
        <f t="shared" si="67"/>
        <v>226</v>
      </c>
      <c r="BS49" s="91">
        <f t="shared" si="68"/>
        <v>160.75931587020571</v>
      </c>
      <c r="BT49" s="91">
        <f t="shared" si="69"/>
        <v>-1317835.06128</v>
      </c>
      <c r="BU49" s="91">
        <f t="shared" si="70"/>
        <v>-1833.3333333334886</v>
      </c>
      <c r="BV49" s="91">
        <f t="shared" si="71"/>
        <v>-1319668.3946133335</v>
      </c>
      <c r="BW49" s="91">
        <f t="shared" si="72"/>
        <v>-5831.1285897345133</v>
      </c>
      <c r="BX49" s="91">
        <f t="shared" si="73"/>
        <v>-8.1120943952809235</v>
      </c>
      <c r="BY49" s="91">
        <f t="shared" si="74"/>
        <v>-5839.2406841297943</v>
      </c>
    </row>
    <row r="50" spans="1:77" ht="14.45">
      <c r="A50" s="178" t="s">
        <v>122</v>
      </c>
      <c r="B50" s="151" t="s">
        <v>174</v>
      </c>
      <c r="C50" s="151" t="s">
        <v>124</v>
      </c>
      <c r="D50" s="179" t="s">
        <v>116</v>
      </c>
      <c r="E50" s="151" t="s">
        <v>117</v>
      </c>
      <c r="F50" s="151" t="s">
        <v>118</v>
      </c>
      <c r="G50" s="152" t="str">
        <f t="shared" si="2"/>
        <v>No of Racks</v>
      </c>
      <c r="H50" s="151">
        <v>1</v>
      </c>
      <c r="I50" s="151">
        <v>1</v>
      </c>
      <c r="J50" s="180">
        <f t="shared" ref="J50:J83" si="75">H50-I50</f>
        <v>0</v>
      </c>
      <c r="K50" s="151">
        <v>1</v>
      </c>
      <c r="L50" s="151"/>
      <c r="M50" s="181">
        <f>400000/12</f>
        <v>33333.333333333336</v>
      </c>
      <c r="N50" s="182">
        <f t="shared" si="45"/>
        <v>400000</v>
      </c>
      <c r="O50" s="183" t="str">
        <f t="shared" si="3"/>
        <v>Rated</v>
      </c>
      <c r="P50" s="151" t="s">
        <v>125</v>
      </c>
      <c r="Q50" s="151">
        <v>4</v>
      </c>
      <c r="R50" s="230">
        <v>5.17</v>
      </c>
      <c r="S50" s="185">
        <f t="shared" si="41"/>
        <v>-1.17</v>
      </c>
      <c r="T50" s="151"/>
      <c r="U50" s="186">
        <f t="shared" si="5"/>
        <v>0</v>
      </c>
      <c r="V50" s="186">
        <f t="shared" si="6"/>
        <v>2</v>
      </c>
      <c r="W50" s="231">
        <f t="shared" si="44"/>
        <v>5.17</v>
      </c>
      <c r="X50" s="186"/>
      <c r="Y50" s="83">
        <f>90000/12</f>
        <v>7500</v>
      </c>
      <c r="Z50" s="189" t="str">
        <f t="shared" si="46"/>
        <v>Bundled</v>
      </c>
      <c r="AA50" s="151"/>
      <c r="AB50" s="186"/>
      <c r="AC50" s="190"/>
      <c r="AD50" s="232"/>
      <c r="AE50" s="120"/>
      <c r="AF50" s="152" t="str">
        <f>IF(AE50="No of Seats","No of Seats",(IF(AE50="Space","Sq Ft","")))</f>
        <v/>
      </c>
      <c r="AG50" s="151"/>
      <c r="AH50" s="151"/>
      <c r="AI50" s="151"/>
      <c r="AJ50" s="151"/>
      <c r="AK50" s="151"/>
      <c r="AL50" s="181"/>
      <c r="AM50" s="83">
        <f t="shared" si="47"/>
        <v>33333.333333333336</v>
      </c>
      <c r="AN50" s="83">
        <f t="shared" si="48"/>
        <v>0</v>
      </c>
      <c r="AO50" s="83">
        <f t="shared" si="49"/>
        <v>0</v>
      </c>
      <c r="AP50" s="83">
        <f t="shared" si="50"/>
        <v>0</v>
      </c>
      <c r="AQ50" s="84"/>
      <c r="AR50" s="85">
        <f t="shared" si="51"/>
        <v>0</v>
      </c>
      <c r="AS50" s="86">
        <f t="shared" si="52"/>
        <v>0</v>
      </c>
      <c r="AT50" s="85" t="s">
        <v>119</v>
      </c>
      <c r="AU50" s="69">
        <v>721003150</v>
      </c>
      <c r="AV50" s="191">
        <v>42401</v>
      </c>
      <c r="AW50" s="69">
        <v>5</v>
      </c>
      <c r="AX50" s="191">
        <v>44228</v>
      </c>
      <c r="AY50" s="69"/>
      <c r="AZ50" s="323"/>
      <c r="BA50" s="84">
        <f t="shared" si="53"/>
        <v>0</v>
      </c>
      <c r="BB50" s="84">
        <f t="shared" si="54"/>
        <v>0</v>
      </c>
      <c r="BC50" s="84">
        <f t="shared" si="55"/>
        <v>-10275.785353333333</v>
      </c>
      <c r="BD50" s="84">
        <f t="shared" si="56"/>
        <v>-10275.785353333333</v>
      </c>
      <c r="BE50" s="84">
        <f t="shared" si="57"/>
        <v>6244.0546666666669</v>
      </c>
      <c r="BF50" s="84"/>
      <c r="BG50" s="90">
        <f t="shared" si="58"/>
        <v>33333.333333333336</v>
      </c>
      <c r="BH50" s="90">
        <f t="shared" si="59"/>
        <v>12488.109333333334</v>
      </c>
      <c r="BI50" s="90">
        <f t="shared" si="60"/>
        <v>20845.224000000002</v>
      </c>
      <c r="BJ50" s="91">
        <f t="shared" si="23"/>
        <v>53884.904040000001</v>
      </c>
      <c r="BK50" s="91">
        <f t="shared" si="24"/>
        <v>53884.904040000001</v>
      </c>
      <c r="BL50" s="91">
        <f t="shared" si="61"/>
        <v>20845.224000000002</v>
      </c>
      <c r="BM50" s="91">
        <f t="shared" si="62"/>
        <v>-20551.570706666666</v>
      </c>
      <c r="BN50" s="91">
        <f t="shared" si="63"/>
        <v>12000</v>
      </c>
      <c r="BO50" s="91">
        <f t="shared" si="64"/>
        <v>488.10933333333378</v>
      </c>
      <c r="BP50" s="91">
        <f t="shared" si="65"/>
        <v>-33039.680039999999</v>
      </c>
      <c r="BQ50" s="91">
        <f t="shared" si="66"/>
        <v>-32551.570706666666</v>
      </c>
      <c r="BR50" s="91">
        <f t="shared" si="67"/>
        <v>2</v>
      </c>
      <c r="BS50" s="91">
        <f t="shared" si="68"/>
        <v>-10275.785353333333</v>
      </c>
      <c r="BT50" s="91">
        <f t="shared" si="69"/>
        <v>-33039.680039999999</v>
      </c>
      <c r="BU50" s="91">
        <f t="shared" si="70"/>
        <v>488.10933333333378</v>
      </c>
      <c r="BV50" s="91">
        <f t="shared" si="71"/>
        <v>-32551.570706666666</v>
      </c>
      <c r="BW50" s="91">
        <f t="shared" si="72"/>
        <v>-16519.84002</v>
      </c>
      <c r="BX50" s="91">
        <f t="shared" si="73"/>
        <v>244.05466666666689</v>
      </c>
      <c r="BY50" s="91">
        <f t="shared" si="74"/>
        <v>-16275.785353333333</v>
      </c>
    </row>
    <row r="51" spans="1:77" ht="14.45">
      <c r="A51" s="178" t="s">
        <v>136</v>
      </c>
      <c r="B51" s="151" t="s">
        <v>167</v>
      </c>
      <c r="C51" s="151" t="s">
        <v>115</v>
      </c>
      <c r="D51" s="179" t="s">
        <v>130</v>
      </c>
      <c r="E51" s="151" t="s">
        <v>117</v>
      </c>
      <c r="F51" s="151" t="s">
        <v>131</v>
      </c>
      <c r="G51" s="152" t="str">
        <f t="shared" si="2"/>
        <v>No of Racks</v>
      </c>
      <c r="H51" s="151">
        <v>1</v>
      </c>
      <c r="I51" s="151">
        <v>1</v>
      </c>
      <c r="J51" s="180">
        <f t="shared" si="75"/>
        <v>0</v>
      </c>
      <c r="K51" s="151">
        <v>1</v>
      </c>
      <c r="L51" s="151"/>
      <c r="M51" s="83">
        <f>195000/12</f>
        <v>16250</v>
      </c>
      <c r="N51" s="83">
        <f t="shared" si="45"/>
        <v>195000</v>
      </c>
      <c r="O51" s="183" t="str">
        <f t="shared" si="3"/>
        <v>Subscribed</v>
      </c>
      <c r="P51" s="151" t="s">
        <v>108</v>
      </c>
      <c r="Q51" s="153">
        <v>3</v>
      </c>
      <c r="R51" s="225">
        <v>1.98</v>
      </c>
      <c r="S51" s="226">
        <f t="shared" si="41"/>
        <v>1.02</v>
      </c>
      <c r="T51" s="186"/>
      <c r="U51" s="186">
        <f t="shared" si="5"/>
        <v>1.02</v>
      </c>
      <c r="V51" s="186">
        <f t="shared" si="6"/>
        <v>3</v>
      </c>
      <c r="W51" s="202">
        <f t="shared" si="44"/>
        <v>1.98</v>
      </c>
      <c r="X51" s="186"/>
      <c r="Y51" s="83"/>
      <c r="Z51" s="189" t="str">
        <f t="shared" si="46"/>
        <v>Metered</v>
      </c>
      <c r="AA51" s="186">
        <v>1</v>
      </c>
      <c r="AB51" s="179" t="s">
        <v>145</v>
      </c>
      <c r="AC51" s="190">
        <v>14.5</v>
      </c>
      <c r="AD51" s="146">
        <v>4322</v>
      </c>
      <c r="AE51" s="120"/>
      <c r="AF51" s="152" t="str">
        <f>IF(AE51="No of Seats","No of Seats",(IF(AE51="Space","Sq Ft","")))</f>
        <v/>
      </c>
      <c r="AG51" s="153"/>
      <c r="AH51" s="153"/>
      <c r="AI51" s="151"/>
      <c r="AJ51" s="153"/>
      <c r="AK51" s="186"/>
      <c r="AL51" s="83"/>
      <c r="AM51" s="83">
        <f t="shared" si="47"/>
        <v>16250</v>
      </c>
      <c r="AN51" s="83">
        <f t="shared" si="48"/>
        <v>0</v>
      </c>
      <c r="AO51" s="83">
        <f t="shared" si="49"/>
        <v>62669</v>
      </c>
      <c r="AP51" s="83">
        <f t="shared" si="50"/>
        <v>0</v>
      </c>
      <c r="AQ51" s="84"/>
      <c r="AR51" s="85">
        <f t="shared" si="51"/>
        <v>78919</v>
      </c>
      <c r="AS51" s="86">
        <f t="shared" si="52"/>
        <v>947028</v>
      </c>
      <c r="AT51" s="85" t="s">
        <v>168</v>
      </c>
      <c r="AU51" s="68">
        <v>721005437</v>
      </c>
      <c r="AV51" s="191">
        <v>42995</v>
      </c>
      <c r="AW51" s="69">
        <v>1</v>
      </c>
      <c r="AX51" s="191">
        <v>43330</v>
      </c>
      <c r="AY51" s="69"/>
      <c r="AZ51" s="323"/>
      <c r="BA51" s="84">
        <f t="shared" si="53"/>
        <v>78919</v>
      </c>
      <c r="BB51" s="84">
        <f t="shared" si="54"/>
        <v>26306.333333333332</v>
      </c>
      <c r="BC51" s="84">
        <f t="shared" si="55"/>
        <v>5627.2874098360653</v>
      </c>
      <c r="BD51" s="84">
        <f t="shared" si="56"/>
        <v>5627.2874098360653</v>
      </c>
      <c r="BE51" s="84">
        <f t="shared" si="57"/>
        <v>5579.346466666665</v>
      </c>
      <c r="BF51" s="84"/>
      <c r="BG51" s="93">
        <f t="shared" si="58"/>
        <v>78919</v>
      </c>
      <c r="BH51" s="93">
        <f t="shared" si="59"/>
        <v>16250</v>
      </c>
      <c r="BI51" s="93">
        <f t="shared" si="60"/>
        <v>62669</v>
      </c>
      <c r="BJ51" s="91">
        <f t="shared" si="23"/>
        <v>62037.137770491805</v>
      </c>
      <c r="BK51" s="91">
        <f t="shared" si="24"/>
        <v>62037.137770491805</v>
      </c>
      <c r="BL51" s="91">
        <f t="shared" si="61"/>
        <v>26577.660600000003</v>
      </c>
      <c r="BM51" s="91">
        <f t="shared" si="62"/>
        <v>16881.862229508195</v>
      </c>
      <c r="BN51" s="91">
        <f t="shared" si="63"/>
        <v>18000</v>
      </c>
      <c r="BO51" s="91">
        <f t="shared" si="64"/>
        <v>-1750</v>
      </c>
      <c r="BP51" s="91">
        <f t="shared" si="65"/>
        <v>631.86222950819501</v>
      </c>
      <c r="BQ51" s="91">
        <f t="shared" si="66"/>
        <v>-1118.137770491805</v>
      </c>
      <c r="BR51" s="91">
        <f t="shared" si="67"/>
        <v>3</v>
      </c>
      <c r="BS51" s="91">
        <f t="shared" si="68"/>
        <v>5627.2874098360653</v>
      </c>
      <c r="BT51" s="91">
        <f t="shared" si="69"/>
        <v>631.86222950819501</v>
      </c>
      <c r="BU51" s="91">
        <f t="shared" si="70"/>
        <v>-1750</v>
      </c>
      <c r="BV51" s="91">
        <f t="shared" si="71"/>
        <v>-1118.137770491805</v>
      </c>
      <c r="BW51" s="91">
        <f t="shared" si="72"/>
        <v>210.62074316939834</v>
      </c>
      <c r="BX51" s="91">
        <f t="shared" si="73"/>
        <v>-583.33333333333337</v>
      </c>
      <c r="BY51" s="91">
        <f t="shared" si="74"/>
        <v>-372.71259016393498</v>
      </c>
    </row>
    <row r="52" spans="1:77" ht="14.45">
      <c r="A52" s="178" t="s">
        <v>122</v>
      </c>
      <c r="B52" s="200" t="s">
        <v>175</v>
      </c>
      <c r="C52" s="151" t="s">
        <v>124</v>
      </c>
      <c r="D52" s="179" t="s">
        <v>116</v>
      </c>
      <c r="E52" s="151" t="s">
        <v>164</v>
      </c>
      <c r="F52" s="151" t="s">
        <v>118</v>
      </c>
      <c r="G52" s="152" t="str">
        <f t="shared" si="2"/>
        <v>U Space</v>
      </c>
      <c r="H52" s="151">
        <v>2</v>
      </c>
      <c r="I52" s="151">
        <v>2</v>
      </c>
      <c r="J52" s="180">
        <f t="shared" si="75"/>
        <v>0</v>
      </c>
      <c r="K52" s="151">
        <v>2</v>
      </c>
      <c r="L52" s="151"/>
      <c r="M52" s="181">
        <f>30000/12</f>
        <v>2500</v>
      </c>
      <c r="N52" s="182">
        <f t="shared" si="45"/>
        <v>30000</v>
      </c>
      <c r="O52" s="183" t="str">
        <f t="shared" si="3"/>
        <v>Rated</v>
      </c>
      <c r="P52" s="151" t="s">
        <v>125</v>
      </c>
      <c r="Q52" s="151">
        <v>0.5</v>
      </c>
      <c r="R52" s="233">
        <v>0.27</v>
      </c>
      <c r="S52" s="185">
        <f t="shared" si="41"/>
        <v>0.22999999999999998</v>
      </c>
      <c r="T52" s="151"/>
      <c r="U52" s="186">
        <f t="shared" si="5"/>
        <v>0.11499999999999999</v>
      </c>
      <c r="V52" s="186">
        <f t="shared" si="6"/>
        <v>0.25</v>
      </c>
      <c r="W52" s="231">
        <f t="shared" si="44"/>
        <v>0.27</v>
      </c>
      <c r="X52" s="151"/>
      <c r="Y52" s="83"/>
      <c r="Z52" s="189" t="str">
        <f t="shared" si="46"/>
        <v>Bundled</v>
      </c>
      <c r="AA52" s="151"/>
      <c r="AB52" s="186"/>
      <c r="AC52" s="190"/>
      <c r="AD52" s="232"/>
      <c r="AE52" s="120"/>
      <c r="AF52" s="152" t="str">
        <f>IF(AE52="No of Seats","No of Seats",(IF(AE52="Space","Sq Ft","")))</f>
        <v/>
      </c>
      <c r="AG52" s="151"/>
      <c r="AH52" s="151"/>
      <c r="AI52" s="151"/>
      <c r="AJ52" s="151"/>
      <c r="AK52" s="151"/>
      <c r="AL52" s="181"/>
      <c r="AM52" s="83">
        <f t="shared" si="47"/>
        <v>5000</v>
      </c>
      <c r="AN52" s="83">
        <f t="shared" si="48"/>
        <v>0</v>
      </c>
      <c r="AO52" s="83">
        <f t="shared" si="49"/>
        <v>0</v>
      </c>
      <c r="AP52" s="83">
        <f t="shared" si="50"/>
        <v>0</v>
      </c>
      <c r="AQ52" s="84">
        <f>20000/12</f>
        <v>1666.6666666666667</v>
      </c>
      <c r="AR52" s="85">
        <f t="shared" si="51"/>
        <v>0</v>
      </c>
      <c r="AS52" s="86">
        <f t="shared" si="52"/>
        <v>0</v>
      </c>
      <c r="AT52" s="85" t="s">
        <v>119</v>
      </c>
      <c r="AU52" s="69">
        <v>721005181</v>
      </c>
      <c r="AV52" s="191">
        <v>42964</v>
      </c>
      <c r="AW52" s="69">
        <v>1</v>
      </c>
      <c r="AX52" s="191">
        <v>43282</v>
      </c>
      <c r="AY52" s="69"/>
      <c r="AZ52" s="323"/>
      <c r="BA52" s="84">
        <f t="shared" si="53"/>
        <v>0</v>
      </c>
      <c r="BB52" s="84">
        <f t="shared" si="54"/>
        <v>0</v>
      </c>
      <c r="BC52" s="84">
        <f t="shared" si="55"/>
        <v>8743.5790399999987</v>
      </c>
      <c r="BD52" s="84">
        <f t="shared" si="56"/>
        <v>3949.1775199999975</v>
      </c>
      <c r="BE52" s="84">
        <f t="shared" si="57"/>
        <v>9577.387999999999</v>
      </c>
      <c r="BF52" s="84"/>
      <c r="BG52" s="90">
        <f t="shared" si="58"/>
        <v>5000</v>
      </c>
      <c r="BH52" s="90">
        <f t="shared" si="59"/>
        <v>2394.3469999999998</v>
      </c>
      <c r="BI52" s="90">
        <f t="shared" si="60"/>
        <v>2605.6530000000002</v>
      </c>
      <c r="BJ52" s="91">
        <f t="shared" si="23"/>
        <v>2814.1052400000003</v>
      </c>
      <c r="BK52" s="91">
        <f t="shared" si="24"/>
        <v>4012.7056200000006</v>
      </c>
      <c r="BL52" s="91">
        <f t="shared" si="61"/>
        <v>2605.6530000000002</v>
      </c>
      <c r="BM52" s="91">
        <f t="shared" si="62"/>
        <v>2185.8947599999997</v>
      </c>
      <c r="BN52" s="91">
        <f t="shared" si="63"/>
        <v>1500</v>
      </c>
      <c r="BO52" s="91">
        <f t="shared" si="64"/>
        <v>894.34699999999975</v>
      </c>
      <c r="BP52" s="91">
        <f t="shared" si="65"/>
        <v>-208.45224000000007</v>
      </c>
      <c r="BQ52" s="91">
        <f t="shared" si="66"/>
        <v>685.89475999999968</v>
      </c>
      <c r="BR52" s="91">
        <f t="shared" si="67"/>
        <v>0.25</v>
      </c>
      <c r="BS52" s="91">
        <f t="shared" si="68"/>
        <v>8743.5790399999987</v>
      </c>
      <c r="BT52" s="91">
        <f t="shared" si="69"/>
        <v>-208.45224000000007</v>
      </c>
      <c r="BU52" s="91">
        <f t="shared" si="70"/>
        <v>894.34699999999975</v>
      </c>
      <c r="BV52" s="91">
        <f t="shared" si="71"/>
        <v>685.89475999999968</v>
      </c>
      <c r="BW52" s="91">
        <f t="shared" si="72"/>
        <v>-833.8089600000003</v>
      </c>
      <c r="BX52" s="91">
        <f t="shared" si="73"/>
        <v>3577.387999999999</v>
      </c>
      <c r="BY52" s="91">
        <f t="shared" si="74"/>
        <v>2743.5790399999987</v>
      </c>
    </row>
    <row r="53" spans="1:77" ht="14.45">
      <c r="A53" s="178" t="s">
        <v>122</v>
      </c>
      <c r="B53" s="200" t="s">
        <v>176</v>
      </c>
      <c r="C53" s="151" t="s">
        <v>115</v>
      </c>
      <c r="D53" s="179" t="s">
        <v>116</v>
      </c>
      <c r="E53" s="151" t="s">
        <v>44</v>
      </c>
      <c r="F53" s="151" t="s">
        <v>131</v>
      </c>
      <c r="G53" s="152" t="str">
        <f t="shared" si="2"/>
        <v>Sq Ft</v>
      </c>
      <c r="H53" s="151">
        <v>600</v>
      </c>
      <c r="I53" s="151">
        <v>600</v>
      </c>
      <c r="J53" s="180">
        <f t="shared" si="75"/>
        <v>0</v>
      </c>
      <c r="K53" s="151">
        <v>600</v>
      </c>
      <c r="L53" s="151"/>
      <c r="M53" s="181">
        <f>6218/12</f>
        <v>518.16666666666663</v>
      </c>
      <c r="N53" s="182">
        <f t="shared" si="45"/>
        <v>6218</v>
      </c>
      <c r="O53" s="183" t="str">
        <f t="shared" si="3"/>
        <v>Subscribed</v>
      </c>
      <c r="P53" s="151" t="s">
        <v>125</v>
      </c>
      <c r="Q53" s="151">
        <v>60</v>
      </c>
      <c r="R53" s="225">
        <v>35</v>
      </c>
      <c r="S53" s="185">
        <f t="shared" si="41"/>
        <v>25</v>
      </c>
      <c r="T53" s="151"/>
      <c r="U53" s="186">
        <f t="shared" si="5"/>
        <v>25</v>
      </c>
      <c r="V53" s="186">
        <f t="shared" si="6"/>
        <v>60</v>
      </c>
      <c r="W53" s="202">
        <f t="shared" si="44"/>
        <v>35</v>
      </c>
      <c r="X53" s="186"/>
      <c r="Y53" s="83"/>
      <c r="Z53" s="189" t="str">
        <f t="shared" si="46"/>
        <v>Bundled</v>
      </c>
      <c r="AA53" s="186">
        <v>1</v>
      </c>
      <c r="AB53" s="179" t="s">
        <v>132</v>
      </c>
      <c r="AC53" s="190">
        <v>8.1999999999999993</v>
      </c>
      <c r="AD53">
        <v>23257.978265625025</v>
      </c>
      <c r="AE53" s="198" t="s">
        <v>133</v>
      </c>
      <c r="AF53" s="152" t="str">
        <f>IF(AE53="No of Seats","No of Seats",(IF(AE53="Space","Sq Ft","")))</f>
        <v>No of Seats</v>
      </c>
      <c r="AG53" s="151">
        <v>7</v>
      </c>
      <c r="AH53" s="151">
        <v>7</v>
      </c>
      <c r="AI53" s="151">
        <f>AG53-AH53</f>
        <v>0</v>
      </c>
      <c r="AJ53" s="151">
        <v>7</v>
      </c>
      <c r="AK53" s="151"/>
      <c r="AL53" s="181">
        <f>91800/12</f>
        <v>7650</v>
      </c>
      <c r="AM53" s="83">
        <f t="shared" si="47"/>
        <v>310900</v>
      </c>
      <c r="AN53" s="83">
        <f t="shared" si="48"/>
        <v>0</v>
      </c>
      <c r="AO53" s="83">
        <f t="shared" si="49"/>
        <v>190715.42177812519</v>
      </c>
      <c r="AP53" s="83">
        <f t="shared" si="50"/>
        <v>53550</v>
      </c>
      <c r="AQ53" s="84"/>
      <c r="AR53" s="85">
        <f t="shared" si="51"/>
        <v>0</v>
      </c>
      <c r="AS53" s="86">
        <f t="shared" si="52"/>
        <v>0</v>
      </c>
      <c r="AT53" s="102" t="s">
        <v>134</v>
      </c>
      <c r="AU53" s="69">
        <v>721002807</v>
      </c>
      <c r="AV53" s="191">
        <v>42370</v>
      </c>
      <c r="AW53" s="69">
        <v>10</v>
      </c>
      <c r="AX53" s="191">
        <v>46023</v>
      </c>
      <c r="AY53" s="69"/>
      <c r="AZ53" s="323"/>
      <c r="BA53" s="84">
        <f t="shared" si="53"/>
        <v>0</v>
      </c>
      <c r="BB53" s="84">
        <f t="shared" si="54"/>
        <v>0</v>
      </c>
      <c r="BC53" s="84">
        <f t="shared" si="55"/>
        <v>2796.2496182221716</v>
      </c>
      <c r="BD53" s="84">
        <f t="shared" si="56"/>
        <v>2796.2496182221716</v>
      </c>
      <c r="BE53" s="84">
        <f t="shared" si="57"/>
        <v>-5240.9453333333349</v>
      </c>
      <c r="BF53" s="84"/>
      <c r="BG53" s="90">
        <f t="shared" si="58"/>
        <v>501615.42177812522</v>
      </c>
      <c r="BH53" s="90">
        <f t="shared" si="59"/>
        <v>0</v>
      </c>
      <c r="BI53" s="90">
        <f t="shared" si="60"/>
        <v>501615.42177812522</v>
      </c>
      <c r="BJ53" s="91">
        <f t="shared" si="23"/>
        <v>333840.44468479493</v>
      </c>
      <c r="BK53" s="91">
        <f t="shared" si="24"/>
        <v>333840.44468479493</v>
      </c>
      <c r="BL53" s="91">
        <f t="shared" si="61"/>
        <v>625356.72000000009</v>
      </c>
      <c r="BM53" s="91">
        <f t="shared" si="62"/>
        <v>167774.97709333029</v>
      </c>
      <c r="BN53" s="91">
        <f t="shared" si="63"/>
        <v>360000</v>
      </c>
      <c r="BO53" s="91">
        <f t="shared" si="64"/>
        <v>-360000</v>
      </c>
      <c r="BP53" s="91">
        <f t="shared" si="65"/>
        <v>167774.97709333029</v>
      </c>
      <c r="BQ53" s="91">
        <f t="shared" si="66"/>
        <v>-192225.02290666971</v>
      </c>
      <c r="BR53" s="91">
        <f t="shared" si="67"/>
        <v>60</v>
      </c>
      <c r="BS53" s="91">
        <f t="shared" si="68"/>
        <v>2796.2496182221716</v>
      </c>
      <c r="BT53" s="91">
        <f t="shared" si="69"/>
        <v>291516.27531520516</v>
      </c>
      <c r="BU53" s="91">
        <f t="shared" si="70"/>
        <v>-674456.72000000009</v>
      </c>
      <c r="BV53" s="91">
        <f t="shared" si="71"/>
        <v>-382940.44468479493</v>
      </c>
      <c r="BW53" s="91">
        <f t="shared" si="72"/>
        <v>4858.6045885867525</v>
      </c>
      <c r="BX53" s="91">
        <f t="shared" si="73"/>
        <v>-11240.945333333335</v>
      </c>
      <c r="BY53" s="91">
        <f t="shared" si="74"/>
        <v>-6382.3407447465825</v>
      </c>
    </row>
    <row r="54" spans="1:77" ht="14.45">
      <c r="A54" s="178" t="s">
        <v>122</v>
      </c>
      <c r="B54" s="151" t="s">
        <v>177</v>
      </c>
      <c r="C54" s="151" t="s">
        <v>115</v>
      </c>
      <c r="D54" s="179" t="s">
        <v>116</v>
      </c>
      <c r="E54" s="151" t="s">
        <v>117</v>
      </c>
      <c r="F54" s="151" t="s">
        <v>118</v>
      </c>
      <c r="G54" s="152" t="str">
        <f t="shared" si="2"/>
        <v>No of Racks</v>
      </c>
      <c r="H54" s="151">
        <v>2</v>
      </c>
      <c r="I54" s="151">
        <v>1</v>
      </c>
      <c r="J54" s="180">
        <f t="shared" si="75"/>
        <v>1</v>
      </c>
      <c r="K54" s="151">
        <v>0</v>
      </c>
      <c r="L54" s="151"/>
      <c r="M54" s="181">
        <f>2900*68</f>
        <v>197200</v>
      </c>
      <c r="N54" s="182">
        <f t="shared" si="45"/>
        <v>2366400</v>
      </c>
      <c r="O54" s="183" t="str">
        <f t="shared" si="3"/>
        <v>Subscribed</v>
      </c>
      <c r="P54" s="151" t="s">
        <v>125</v>
      </c>
      <c r="Q54" s="151">
        <v>12</v>
      </c>
      <c r="R54" s="225">
        <v>14.78</v>
      </c>
      <c r="S54" s="185">
        <f t="shared" si="41"/>
        <v>-2.7799999999999994</v>
      </c>
      <c r="T54" s="151"/>
      <c r="U54" s="186">
        <f t="shared" si="5"/>
        <v>0</v>
      </c>
      <c r="V54" s="186">
        <f t="shared" si="6"/>
        <v>12</v>
      </c>
      <c r="W54" s="202">
        <f t="shared" si="44"/>
        <v>14.78</v>
      </c>
      <c r="X54" s="151"/>
      <c r="Y54" s="83">
        <f>280*68</f>
        <v>19040</v>
      </c>
      <c r="Z54" s="189" t="str">
        <f t="shared" si="46"/>
        <v>Bundled</v>
      </c>
      <c r="AA54" s="186"/>
      <c r="AB54" s="186"/>
      <c r="AC54" s="190"/>
      <c r="AD54" s="228"/>
      <c r="AE54" s="120"/>
      <c r="AF54" s="152"/>
      <c r="AG54" s="151"/>
      <c r="AH54" s="151"/>
      <c r="AI54" s="151"/>
      <c r="AJ54" s="151"/>
      <c r="AK54" s="151"/>
      <c r="AL54" s="181"/>
      <c r="AM54" s="83">
        <f t="shared" si="47"/>
        <v>0</v>
      </c>
      <c r="AN54" s="83">
        <f t="shared" si="48"/>
        <v>0</v>
      </c>
      <c r="AO54" s="83">
        <f t="shared" si="49"/>
        <v>0</v>
      </c>
      <c r="AP54" s="83">
        <f t="shared" si="50"/>
        <v>0</v>
      </c>
      <c r="AQ54" s="84">
        <f>750*68</f>
        <v>51000</v>
      </c>
      <c r="AR54" s="85">
        <f t="shared" si="51"/>
        <v>0</v>
      </c>
      <c r="AS54" s="86">
        <f t="shared" si="52"/>
        <v>0</v>
      </c>
      <c r="AT54" s="102" t="s">
        <v>119</v>
      </c>
      <c r="AU54" s="69">
        <v>121000378</v>
      </c>
      <c r="AV54" s="191"/>
      <c r="AW54" s="69">
        <v>1</v>
      </c>
      <c r="AX54" s="191"/>
      <c r="AY54" s="69"/>
      <c r="AZ54" s="323"/>
      <c r="BA54" s="84">
        <f t="shared" si="53"/>
        <v>0</v>
      </c>
      <c r="BB54" s="84">
        <f t="shared" si="54"/>
        <v>0</v>
      </c>
      <c r="BC54" s="84">
        <f t="shared" si="55"/>
        <v>-12837.183780000001</v>
      </c>
      <c r="BD54" s="84">
        <f t="shared" si="56"/>
        <v>-12837.183780000001</v>
      </c>
      <c r="BE54" s="84">
        <f t="shared" si="57"/>
        <v>-10422.612000000001</v>
      </c>
      <c r="BF54" s="84"/>
      <c r="BG54" s="90">
        <f t="shared" si="58"/>
        <v>0</v>
      </c>
      <c r="BH54" s="90">
        <f t="shared" si="59"/>
        <v>0</v>
      </c>
      <c r="BI54" s="90">
        <f t="shared" si="60"/>
        <v>0</v>
      </c>
      <c r="BJ54" s="91">
        <f t="shared" si="23"/>
        <v>154046.20536000002</v>
      </c>
      <c r="BK54" s="91">
        <f t="shared" si="24"/>
        <v>154046.20536000002</v>
      </c>
      <c r="BL54" s="91">
        <f t="shared" si="61"/>
        <v>125071.34400000001</v>
      </c>
      <c r="BM54" s="91">
        <f t="shared" si="62"/>
        <v>-154046.20536000002</v>
      </c>
      <c r="BN54" s="91">
        <f t="shared" si="63"/>
        <v>72000</v>
      </c>
      <c r="BO54" s="91">
        <f t="shared" si="64"/>
        <v>-72000</v>
      </c>
      <c r="BP54" s="91">
        <f t="shared" si="65"/>
        <v>-154046.20536000002</v>
      </c>
      <c r="BQ54" s="91">
        <f t="shared" si="66"/>
        <v>-226046.20536000002</v>
      </c>
      <c r="BR54" s="91">
        <f t="shared" si="67"/>
        <v>12</v>
      </c>
      <c r="BS54" s="91">
        <f t="shared" si="68"/>
        <v>-12837.183780000001</v>
      </c>
      <c r="BT54" s="91">
        <f t="shared" si="69"/>
        <v>-28974.86136000001</v>
      </c>
      <c r="BU54" s="91">
        <f t="shared" si="70"/>
        <v>-197071.34400000001</v>
      </c>
      <c r="BV54" s="91">
        <f t="shared" si="71"/>
        <v>-226046.20536000002</v>
      </c>
      <c r="BW54" s="91">
        <f t="shared" si="72"/>
        <v>-2414.5717800000007</v>
      </c>
      <c r="BX54" s="91">
        <f t="shared" si="73"/>
        <v>-16422.612000000001</v>
      </c>
      <c r="BY54" s="91">
        <f t="shared" si="74"/>
        <v>-18837.183780000003</v>
      </c>
    </row>
    <row r="55" spans="1:77" ht="14.45">
      <c r="A55" s="178" t="s">
        <v>136</v>
      </c>
      <c r="B55" s="151" t="s">
        <v>178</v>
      </c>
      <c r="C55" s="151" t="s">
        <v>124</v>
      </c>
      <c r="D55" s="179" t="s">
        <v>116</v>
      </c>
      <c r="E55" s="151" t="s">
        <v>117</v>
      </c>
      <c r="F55" s="151" t="s">
        <v>118</v>
      </c>
      <c r="G55" s="152" t="str">
        <f t="shared" ref="G55:G74" si="76">IF(E55="Rack","No of Racks",(IF(E55="Space","Sq Ft","U Space")))</f>
        <v>No of Racks</v>
      </c>
      <c r="H55" s="151">
        <v>2</v>
      </c>
      <c r="I55" s="151">
        <v>2</v>
      </c>
      <c r="J55" s="180">
        <f t="shared" si="75"/>
        <v>0</v>
      </c>
      <c r="K55" s="151">
        <v>2</v>
      </c>
      <c r="L55" s="151"/>
      <c r="M55" s="181">
        <f>545000/12</f>
        <v>45416.666666666664</v>
      </c>
      <c r="N55" s="182">
        <f t="shared" si="45"/>
        <v>545000</v>
      </c>
      <c r="O55" s="183" t="str">
        <f t="shared" si="3"/>
        <v>Rated</v>
      </c>
      <c r="P55" s="151" t="s">
        <v>125</v>
      </c>
      <c r="Q55" s="151">
        <v>12</v>
      </c>
      <c r="R55" s="223">
        <v>11.093</v>
      </c>
      <c r="S55" s="185">
        <f t="shared" si="41"/>
        <v>0.90700000000000003</v>
      </c>
      <c r="T55" s="151"/>
      <c r="U55" s="186">
        <f t="shared" si="5"/>
        <v>0.45350000000000001</v>
      </c>
      <c r="V55" s="186">
        <f t="shared" si="6"/>
        <v>6</v>
      </c>
      <c r="W55" s="234">
        <f t="shared" si="44"/>
        <v>11.093</v>
      </c>
      <c r="X55" s="186">
        <f>S55*-1</f>
        <v>-0.90700000000000003</v>
      </c>
      <c r="Y55" s="83"/>
      <c r="Z55" s="189" t="str">
        <f t="shared" si="46"/>
        <v>Bundled</v>
      </c>
      <c r="AA55" s="151"/>
      <c r="AB55" s="186"/>
      <c r="AC55" s="190"/>
      <c r="AD55" s="199"/>
      <c r="AE55" s="120"/>
      <c r="AF55" s="152" t="str">
        <f>IF(AE55="No of Seats","No of Seats",(IF(AE55="Space","Sq Ft","")))</f>
        <v/>
      </c>
      <c r="AG55" s="151">
        <v>1</v>
      </c>
      <c r="AH55" s="151">
        <v>1</v>
      </c>
      <c r="AI55" s="151">
        <f>AG55-AH55</f>
        <v>0</v>
      </c>
      <c r="AJ55" s="151">
        <v>1</v>
      </c>
      <c r="AK55" s="151"/>
      <c r="AL55" s="181">
        <f>100000/12</f>
        <v>8333.3333333333339</v>
      </c>
      <c r="AM55" s="83">
        <f t="shared" si="47"/>
        <v>90833.333333333328</v>
      </c>
      <c r="AN55" s="83">
        <f t="shared" si="48"/>
        <v>0</v>
      </c>
      <c r="AO55" s="83">
        <f t="shared" si="49"/>
        <v>0</v>
      </c>
      <c r="AP55" s="83">
        <f t="shared" si="50"/>
        <v>8333.3333333333339</v>
      </c>
      <c r="AQ55" s="84"/>
      <c r="AR55" s="85">
        <f t="shared" si="51"/>
        <v>0</v>
      </c>
      <c r="AS55" s="86">
        <f t="shared" si="52"/>
        <v>0</v>
      </c>
      <c r="AT55" s="85" t="s">
        <v>119</v>
      </c>
      <c r="AU55" s="69">
        <v>721003774</v>
      </c>
      <c r="AV55" s="191">
        <v>42522</v>
      </c>
      <c r="AW55" s="101"/>
      <c r="AX55" s="191"/>
      <c r="AY55" s="69" t="s">
        <v>121</v>
      </c>
      <c r="AZ55" s="323"/>
      <c r="BA55" s="84">
        <f t="shared" si="53"/>
        <v>0</v>
      </c>
      <c r="BB55" s="84">
        <f t="shared" si="54"/>
        <v>0</v>
      </c>
      <c r="BC55" s="84">
        <f t="shared" si="55"/>
        <v>-4130.7835971111126</v>
      </c>
      <c r="BD55" s="84">
        <f t="shared" si="56"/>
        <v>-4918.559354111113</v>
      </c>
      <c r="BE55" s="84">
        <f t="shared" si="57"/>
        <v>4716.2768888888868</v>
      </c>
      <c r="BF55" s="84"/>
      <c r="BG55" s="90">
        <f t="shared" si="58"/>
        <v>90833.333333333328</v>
      </c>
      <c r="BH55" s="90">
        <f t="shared" si="59"/>
        <v>28297.661333333323</v>
      </c>
      <c r="BI55" s="90">
        <f t="shared" si="60"/>
        <v>62535.672000000006</v>
      </c>
      <c r="BJ55" s="91">
        <f t="shared" si="23"/>
        <v>115618.034916</v>
      </c>
      <c r="BK55" s="91">
        <f t="shared" si="24"/>
        <v>120344.68945800001</v>
      </c>
      <c r="BL55" s="91">
        <f t="shared" si="61"/>
        <v>62535.672000000006</v>
      </c>
      <c r="BM55" s="91">
        <f t="shared" si="62"/>
        <v>-24784.701582666676</v>
      </c>
      <c r="BN55" s="91">
        <f t="shared" si="63"/>
        <v>36000</v>
      </c>
      <c r="BO55" s="91">
        <f t="shared" si="64"/>
        <v>-7702.3386666666775</v>
      </c>
      <c r="BP55" s="91">
        <f t="shared" si="65"/>
        <v>-53082.362915999998</v>
      </c>
      <c r="BQ55" s="91">
        <f t="shared" si="66"/>
        <v>-60784.701582666676</v>
      </c>
      <c r="BR55" s="91">
        <f t="shared" si="67"/>
        <v>6</v>
      </c>
      <c r="BS55" s="91">
        <f t="shared" si="68"/>
        <v>-4130.7835971111126</v>
      </c>
      <c r="BT55" s="91">
        <f t="shared" si="69"/>
        <v>-53082.362915999998</v>
      </c>
      <c r="BU55" s="91">
        <f t="shared" si="70"/>
        <v>-7702.3386666666793</v>
      </c>
      <c r="BV55" s="91">
        <f t="shared" si="71"/>
        <v>-60784.701582666676</v>
      </c>
      <c r="BW55" s="91">
        <f t="shared" si="72"/>
        <v>-8847.0604860000003</v>
      </c>
      <c r="BX55" s="91">
        <f t="shared" si="73"/>
        <v>-1283.7231111111132</v>
      </c>
      <c r="BY55" s="91">
        <f t="shared" si="74"/>
        <v>-10130.783597111113</v>
      </c>
    </row>
    <row r="56" spans="1:77" ht="14.45">
      <c r="A56" s="178" t="s">
        <v>136</v>
      </c>
      <c r="B56" s="151" t="s">
        <v>179</v>
      </c>
      <c r="C56" s="151" t="s">
        <v>124</v>
      </c>
      <c r="D56" s="179" t="s">
        <v>116</v>
      </c>
      <c r="E56" s="151" t="s">
        <v>117</v>
      </c>
      <c r="F56" s="151" t="s">
        <v>118</v>
      </c>
      <c r="G56" s="152" t="str">
        <f t="shared" si="76"/>
        <v>No of Racks</v>
      </c>
      <c r="H56" s="151">
        <v>2</v>
      </c>
      <c r="I56" s="151">
        <v>2</v>
      </c>
      <c r="J56" s="180">
        <f t="shared" si="75"/>
        <v>0</v>
      </c>
      <c r="K56" s="151">
        <v>2</v>
      </c>
      <c r="L56" s="151"/>
      <c r="M56" s="181">
        <f>860000/12</f>
        <v>71666.666666666672</v>
      </c>
      <c r="N56" s="83">
        <f t="shared" si="45"/>
        <v>860000</v>
      </c>
      <c r="O56" s="183" t="s">
        <v>124</v>
      </c>
      <c r="P56" s="151" t="s">
        <v>108</v>
      </c>
      <c r="Q56" s="151">
        <v>4</v>
      </c>
      <c r="R56" s="223">
        <v>20.265000000000001</v>
      </c>
      <c r="S56" s="185">
        <f t="shared" si="41"/>
        <v>-16.265000000000001</v>
      </c>
      <c r="T56" s="151"/>
      <c r="U56" s="186">
        <f t="shared" si="5"/>
        <v>0</v>
      </c>
      <c r="V56" s="186">
        <f t="shared" si="6"/>
        <v>2</v>
      </c>
      <c r="W56" s="234">
        <f t="shared" si="44"/>
        <v>20.265000000000001</v>
      </c>
      <c r="X56" s="186"/>
      <c r="Y56" s="83">
        <f>205000/12</f>
        <v>17083.333333333332</v>
      </c>
      <c r="Z56" s="189" t="str">
        <f t="shared" si="46"/>
        <v>Bundled</v>
      </c>
      <c r="AA56" s="151"/>
      <c r="AB56" s="186"/>
      <c r="AC56" s="190"/>
      <c r="AD56" s="199"/>
      <c r="AE56" s="198" t="s">
        <v>133</v>
      </c>
      <c r="AF56" s="152" t="str">
        <f>IF(AE56="No of Seats","No of Seats",(IF(AE56="Space","Sq Ft","")))</f>
        <v>No of Seats</v>
      </c>
      <c r="AG56" s="151">
        <v>2</v>
      </c>
      <c r="AH56" s="151"/>
      <c r="AI56" s="151">
        <v>2</v>
      </c>
      <c r="AJ56" s="151"/>
      <c r="AK56" s="151"/>
      <c r="AL56" s="181">
        <f>190000/12</f>
        <v>15833.333333333334</v>
      </c>
      <c r="AM56" s="83">
        <f t="shared" si="47"/>
        <v>143333.33333333334</v>
      </c>
      <c r="AN56" s="83">
        <f t="shared" si="48"/>
        <v>0</v>
      </c>
      <c r="AO56" s="83">
        <f t="shared" si="49"/>
        <v>0</v>
      </c>
      <c r="AP56" s="83">
        <f t="shared" si="50"/>
        <v>0</v>
      </c>
      <c r="AQ56" s="84">
        <f>12500+10000+100000</f>
        <v>122500</v>
      </c>
      <c r="AR56" s="85">
        <f t="shared" si="51"/>
        <v>0</v>
      </c>
      <c r="AS56" s="85">
        <f t="shared" si="52"/>
        <v>0</v>
      </c>
      <c r="AT56" s="85" t="s">
        <v>134</v>
      </c>
      <c r="AU56" s="69"/>
      <c r="AV56" s="191">
        <v>43484</v>
      </c>
      <c r="AW56" s="69">
        <v>1</v>
      </c>
      <c r="AX56" s="191">
        <v>43818</v>
      </c>
      <c r="AY56" s="69"/>
      <c r="AZ56" s="323"/>
      <c r="BA56" s="84">
        <f t="shared" si="53"/>
        <v>0</v>
      </c>
      <c r="BB56" s="84">
        <f t="shared" si="54"/>
        <v>0</v>
      </c>
      <c r="BC56" s="84">
        <f t="shared" si="55"/>
        <v>-33940.449423333339</v>
      </c>
      <c r="BD56" s="84">
        <f t="shared" si="56"/>
        <v>-33940.449423333339</v>
      </c>
      <c r="BE56" s="84">
        <f t="shared" si="57"/>
        <v>61244.054666666671</v>
      </c>
      <c r="BF56" s="84"/>
      <c r="BG56" s="93">
        <f t="shared" si="58"/>
        <v>143333.33333333334</v>
      </c>
      <c r="BH56" s="93">
        <f t="shared" si="59"/>
        <v>122488.10933333334</v>
      </c>
      <c r="BI56" s="93">
        <f t="shared" si="60"/>
        <v>20845.224000000002</v>
      </c>
      <c r="BJ56" s="91">
        <f t="shared" si="23"/>
        <v>211214.23218000002</v>
      </c>
      <c r="BK56" s="91">
        <f t="shared" si="24"/>
        <v>211214.23218000002</v>
      </c>
      <c r="BL56" s="91">
        <f t="shared" si="61"/>
        <v>20845.224000000002</v>
      </c>
      <c r="BM56" s="91">
        <f t="shared" si="62"/>
        <v>-67880.898846666678</v>
      </c>
      <c r="BN56" s="91">
        <f t="shared" si="63"/>
        <v>12000</v>
      </c>
      <c r="BO56" s="91">
        <f t="shared" si="64"/>
        <v>110488.10933333334</v>
      </c>
      <c r="BP56" s="91">
        <f t="shared" si="65"/>
        <v>-190369.00818</v>
      </c>
      <c r="BQ56" s="91">
        <f t="shared" si="66"/>
        <v>-79880.898846666663</v>
      </c>
      <c r="BR56" s="91">
        <f t="shared" si="67"/>
        <v>2</v>
      </c>
      <c r="BS56" s="91">
        <f t="shared" si="68"/>
        <v>-33940.449423333339</v>
      </c>
      <c r="BT56" s="91">
        <f t="shared" si="69"/>
        <v>-190369.00818</v>
      </c>
      <c r="BU56" s="91">
        <f t="shared" si="70"/>
        <v>110488.10933333334</v>
      </c>
      <c r="BV56" s="91">
        <f t="shared" si="71"/>
        <v>-79880.898846666663</v>
      </c>
      <c r="BW56" s="91">
        <f t="shared" si="72"/>
        <v>-95184.504090000002</v>
      </c>
      <c r="BX56" s="91">
        <f t="shared" si="73"/>
        <v>55244.054666666671</v>
      </c>
      <c r="BY56" s="91">
        <f t="shared" si="74"/>
        <v>-39940.449423333332</v>
      </c>
    </row>
    <row r="57" spans="1:77" ht="14.45">
      <c r="A57" s="178" t="s">
        <v>136</v>
      </c>
      <c r="B57" s="151" t="s">
        <v>180</v>
      </c>
      <c r="C57" s="151" t="s">
        <v>115</v>
      </c>
      <c r="D57" s="179" t="s">
        <v>116</v>
      </c>
      <c r="E57" s="151" t="s">
        <v>117</v>
      </c>
      <c r="F57" s="151" t="s">
        <v>118</v>
      </c>
      <c r="G57" s="152" t="str">
        <f t="shared" si="76"/>
        <v>No of Racks</v>
      </c>
      <c r="H57" s="151">
        <v>1</v>
      </c>
      <c r="I57" s="151">
        <v>1</v>
      </c>
      <c r="J57" s="180">
        <f t="shared" si="75"/>
        <v>0</v>
      </c>
      <c r="K57" s="151">
        <v>1</v>
      </c>
      <c r="L57" s="151"/>
      <c r="M57" s="181">
        <f>600000/12</f>
        <v>50000</v>
      </c>
      <c r="N57" s="182">
        <f t="shared" si="45"/>
        <v>600000</v>
      </c>
      <c r="O57" s="183" t="str">
        <f t="shared" ref="O57:O72" si="77">C57</f>
        <v>Subscribed</v>
      </c>
      <c r="P57" s="151" t="s">
        <v>125</v>
      </c>
      <c r="Q57" s="151">
        <v>6</v>
      </c>
      <c r="R57" s="235">
        <v>13.03</v>
      </c>
      <c r="S57" s="185">
        <f t="shared" si="41"/>
        <v>-7.0299999999999994</v>
      </c>
      <c r="T57" s="151"/>
      <c r="U57" s="186">
        <f t="shared" si="5"/>
        <v>0</v>
      </c>
      <c r="V57" s="186">
        <f t="shared" si="6"/>
        <v>6</v>
      </c>
      <c r="W57" s="236">
        <f t="shared" si="44"/>
        <v>13.03</v>
      </c>
      <c r="X57" s="186">
        <f>S57*-1</f>
        <v>7.0299999999999994</v>
      </c>
      <c r="Y57" s="83">
        <f>90000/12</f>
        <v>7500</v>
      </c>
      <c r="Z57" s="189" t="str">
        <f t="shared" si="46"/>
        <v>Bundled</v>
      </c>
      <c r="AA57" s="151"/>
      <c r="AB57" s="186"/>
      <c r="AC57" s="190"/>
      <c r="AD57" s="147">
        <v>1237.8</v>
      </c>
      <c r="AE57" s="120"/>
      <c r="AF57" s="152" t="str">
        <f>IF(AE57="No of Seats","No of Seats",(IF(AE57="Space","Sq Ft","")))</f>
        <v/>
      </c>
      <c r="AG57" s="151"/>
      <c r="AH57" s="151"/>
      <c r="AI57" s="151"/>
      <c r="AJ57" s="151"/>
      <c r="AK57" s="151"/>
      <c r="AL57" s="181"/>
      <c r="AM57" s="83">
        <f t="shared" si="47"/>
        <v>50000</v>
      </c>
      <c r="AN57" s="83">
        <f t="shared" si="48"/>
        <v>52724.999999999993</v>
      </c>
      <c r="AO57" s="83">
        <f t="shared" si="49"/>
        <v>0</v>
      </c>
      <c r="AP57" s="83">
        <f t="shared" si="50"/>
        <v>0</v>
      </c>
      <c r="AQ57" s="84"/>
      <c r="AR57" s="85">
        <f t="shared" si="51"/>
        <v>0</v>
      </c>
      <c r="AS57" s="86">
        <f t="shared" si="52"/>
        <v>0</v>
      </c>
      <c r="AT57" s="85" t="s">
        <v>119</v>
      </c>
      <c r="AU57" s="69">
        <v>721004242</v>
      </c>
      <c r="AV57" s="191">
        <v>42720</v>
      </c>
      <c r="AW57" s="69">
        <v>3</v>
      </c>
      <c r="AX57" s="191">
        <v>43770</v>
      </c>
      <c r="AY57" s="69"/>
      <c r="AZ57" s="323"/>
      <c r="BA57" s="84">
        <f t="shared" si="53"/>
        <v>0</v>
      </c>
      <c r="BB57" s="84">
        <f t="shared" si="54"/>
        <v>0</v>
      </c>
      <c r="BC57" s="84">
        <f t="shared" si="55"/>
        <v>14159.643716939891</v>
      </c>
      <c r="BD57" s="84">
        <f t="shared" si="56"/>
        <v>14159.643716939891</v>
      </c>
      <c r="BE57" s="84">
        <f t="shared" si="57"/>
        <v>6698.221333333332</v>
      </c>
      <c r="BF57" s="84"/>
      <c r="BG57" s="90">
        <f t="shared" si="58"/>
        <v>102725</v>
      </c>
      <c r="BH57" s="90">
        <f t="shared" si="59"/>
        <v>40189.327999999994</v>
      </c>
      <c r="BI57" s="90">
        <f t="shared" si="60"/>
        <v>62535.672000000006</v>
      </c>
      <c r="BJ57" s="91">
        <f t="shared" si="23"/>
        <v>17767.137698360657</v>
      </c>
      <c r="BK57" s="91">
        <f t="shared" si="24"/>
        <v>17767.137698360657</v>
      </c>
      <c r="BL57" s="91">
        <f t="shared" si="61"/>
        <v>62535.672000000006</v>
      </c>
      <c r="BM57" s="91">
        <f t="shared" si="62"/>
        <v>84957.862301639339</v>
      </c>
      <c r="BN57" s="91">
        <f t="shared" si="63"/>
        <v>36000</v>
      </c>
      <c r="BO57" s="91">
        <f t="shared" si="64"/>
        <v>4189.3279999999941</v>
      </c>
      <c r="BP57" s="91">
        <f t="shared" si="65"/>
        <v>44768.534301639345</v>
      </c>
      <c r="BQ57" s="91">
        <f t="shared" si="66"/>
        <v>48957.862301639339</v>
      </c>
      <c r="BR57" s="91">
        <f t="shared" si="67"/>
        <v>6</v>
      </c>
      <c r="BS57" s="91">
        <f t="shared" si="68"/>
        <v>14159.643716939891</v>
      </c>
      <c r="BT57" s="91">
        <f t="shared" si="69"/>
        <v>44768.534301639345</v>
      </c>
      <c r="BU57" s="91">
        <f t="shared" si="70"/>
        <v>4189.3279999999922</v>
      </c>
      <c r="BV57" s="91">
        <f t="shared" si="71"/>
        <v>48957.862301639339</v>
      </c>
      <c r="BW57" s="91">
        <f t="shared" si="72"/>
        <v>7461.4223836065576</v>
      </c>
      <c r="BX57" s="91">
        <f t="shared" si="73"/>
        <v>698.22133333333204</v>
      </c>
      <c r="BY57" s="91">
        <f t="shared" si="74"/>
        <v>8159.6437169398896</v>
      </c>
    </row>
    <row r="58" spans="1:77" ht="14.45">
      <c r="A58" s="178" t="s">
        <v>136</v>
      </c>
      <c r="B58" s="200" t="s">
        <v>181</v>
      </c>
      <c r="C58" s="151" t="s">
        <v>115</v>
      </c>
      <c r="D58" s="179" t="s">
        <v>130</v>
      </c>
      <c r="E58" s="151" t="s">
        <v>117</v>
      </c>
      <c r="F58" s="151" t="s">
        <v>131</v>
      </c>
      <c r="G58" s="152" t="str">
        <f t="shared" si="76"/>
        <v>No of Racks</v>
      </c>
      <c r="H58" s="151">
        <v>6</v>
      </c>
      <c r="I58" s="151">
        <v>6</v>
      </c>
      <c r="J58" s="180">
        <f t="shared" si="75"/>
        <v>0</v>
      </c>
      <c r="K58" s="151">
        <v>6</v>
      </c>
      <c r="L58" s="151"/>
      <c r="M58" s="181">
        <f>225000/12</f>
        <v>18750</v>
      </c>
      <c r="N58" s="182">
        <f t="shared" si="45"/>
        <v>225000</v>
      </c>
      <c r="O58" s="183" t="str">
        <f t="shared" si="77"/>
        <v>Subscribed</v>
      </c>
      <c r="P58" s="151" t="s">
        <v>108</v>
      </c>
      <c r="Q58" s="151">
        <v>15</v>
      </c>
      <c r="R58" s="209">
        <v>13.04</v>
      </c>
      <c r="S58" s="185">
        <f t="shared" si="41"/>
        <v>1.9600000000000009</v>
      </c>
      <c r="T58" s="151"/>
      <c r="U58" s="186">
        <f t="shared" si="5"/>
        <v>1.9600000000000009</v>
      </c>
      <c r="V58" s="186">
        <f t="shared" si="6"/>
        <v>15</v>
      </c>
      <c r="W58" s="202">
        <f t="shared" si="44"/>
        <v>13.04</v>
      </c>
      <c r="X58" s="186">
        <f>S58*-1</f>
        <v>-1.9600000000000009</v>
      </c>
      <c r="Y58" s="83"/>
      <c r="Z58" s="189" t="str">
        <f t="shared" si="46"/>
        <v>Metered</v>
      </c>
      <c r="AA58" s="151"/>
      <c r="AB58" s="179" t="s">
        <v>145</v>
      </c>
      <c r="AC58" s="190">
        <v>16</v>
      </c>
      <c r="AD58" s="147">
        <v>9618.2000000000007</v>
      </c>
      <c r="AE58" s="120"/>
      <c r="AF58" s="152" t="str">
        <f>IF(AE58="No of Seats","No of Seats",(IF(AE58="Space","Sq Ft","")))</f>
        <v/>
      </c>
      <c r="AG58" s="151">
        <v>1</v>
      </c>
      <c r="AH58" s="151">
        <v>1</v>
      </c>
      <c r="AI58" s="151">
        <f>AG58-AH58</f>
        <v>0</v>
      </c>
      <c r="AJ58" s="151">
        <v>1</v>
      </c>
      <c r="AK58" s="151"/>
      <c r="AL58" s="181">
        <f>40000/12</f>
        <v>3333.3333333333335</v>
      </c>
      <c r="AM58" s="83">
        <f t="shared" si="47"/>
        <v>112500</v>
      </c>
      <c r="AN58" s="83">
        <f t="shared" si="48"/>
        <v>0</v>
      </c>
      <c r="AO58" s="83">
        <f t="shared" si="49"/>
        <v>0</v>
      </c>
      <c r="AP58" s="83">
        <f t="shared" si="50"/>
        <v>3333.3333333333335</v>
      </c>
      <c r="AQ58" s="84"/>
      <c r="AR58" s="85">
        <f t="shared" si="51"/>
        <v>115833.33333333333</v>
      </c>
      <c r="AS58" s="86">
        <f t="shared" si="52"/>
        <v>1390000</v>
      </c>
      <c r="AT58" s="85" t="s">
        <v>134</v>
      </c>
      <c r="AU58" s="69">
        <v>721005779</v>
      </c>
      <c r="AV58" s="191">
        <v>43118</v>
      </c>
      <c r="AW58" s="69">
        <v>4.5</v>
      </c>
      <c r="AX58" s="191">
        <v>43242</v>
      </c>
      <c r="AY58" s="69"/>
      <c r="AZ58" s="323"/>
      <c r="BA58" s="84">
        <f t="shared" si="53"/>
        <v>19305.555555555555</v>
      </c>
      <c r="BB58" s="84">
        <f t="shared" si="54"/>
        <v>7722.2222222222217</v>
      </c>
      <c r="BC58" s="84">
        <f t="shared" si="55"/>
        <v>-1703.8500463387986</v>
      </c>
      <c r="BD58" s="84">
        <f t="shared" si="56"/>
        <v>-1703.8500463387986</v>
      </c>
      <c r="BE58" s="84">
        <f t="shared" si="57"/>
        <v>-1359.2202000000009</v>
      </c>
      <c r="BF58" s="84"/>
      <c r="BG58" s="90">
        <f t="shared" si="58"/>
        <v>112500</v>
      </c>
      <c r="BH58" s="90">
        <f t="shared" si="59"/>
        <v>112500</v>
      </c>
      <c r="BI58" s="90">
        <f t="shared" si="60"/>
        <v>0</v>
      </c>
      <c r="BJ58" s="91">
        <f t="shared" si="23"/>
        <v>138057.75069508198</v>
      </c>
      <c r="BK58" s="91">
        <f t="shared" si="24"/>
        <v>138057.75069508198</v>
      </c>
      <c r="BL58" s="91">
        <f t="shared" si="61"/>
        <v>132888.30300000001</v>
      </c>
      <c r="BM58" s="91">
        <f t="shared" si="62"/>
        <v>-25557.750695081981</v>
      </c>
      <c r="BN58" s="91">
        <f t="shared" si="63"/>
        <v>90000</v>
      </c>
      <c r="BO58" s="91">
        <f t="shared" si="64"/>
        <v>22500</v>
      </c>
      <c r="BP58" s="91">
        <f t="shared" si="65"/>
        <v>-138057.75069508198</v>
      </c>
      <c r="BQ58" s="91">
        <f t="shared" si="66"/>
        <v>-115557.75069508198</v>
      </c>
      <c r="BR58" s="91">
        <f t="shared" si="67"/>
        <v>15</v>
      </c>
      <c r="BS58" s="91">
        <f t="shared" si="68"/>
        <v>-1703.8500463387986</v>
      </c>
      <c r="BT58" s="91">
        <f t="shared" si="69"/>
        <v>-138057.75069508198</v>
      </c>
      <c r="BU58" s="91">
        <f t="shared" si="70"/>
        <v>22500</v>
      </c>
      <c r="BV58" s="91">
        <f t="shared" si="71"/>
        <v>-115557.75069508198</v>
      </c>
      <c r="BW58" s="91">
        <f t="shared" si="72"/>
        <v>-9203.8500463387991</v>
      </c>
      <c r="BX58" s="91">
        <f t="shared" si="73"/>
        <v>1500</v>
      </c>
      <c r="BY58" s="91">
        <f t="shared" si="74"/>
        <v>-7703.8500463387991</v>
      </c>
    </row>
    <row r="59" spans="1:77" ht="14.45">
      <c r="A59" s="151" t="s">
        <v>158</v>
      </c>
      <c r="B59" s="151" t="s">
        <v>182</v>
      </c>
      <c r="C59" s="151" t="s">
        <v>124</v>
      </c>
      <c r="D59" s="179" t="s">
        <v>116</v>
      </c>
      <c r="E59" s="151" t="s">
        <v>117</v>
      </c>
      <c r="F59" s="151" t="s">
        <v>118</v>
      </c>
      <c r="G59" s="152" t="str">
        <f t="shared" si="76"/>
        <v>No of Racks</v>
      </c>
      <c r="H59" s="151">
        <v>2</v>
      </c>
      <c r="I59" s="151">
        <v>2</v>
      </c>
      <c r="J59" s="180">
        <f t="shared" si="75"/>
        <v>0</v>
      </c>
      <c r="K59" s="151">
        <v>2</v>
      </c>
      <c r="L59" s="151"/>
      <c r="M59" s="181">
        <f>600000/12</f>
        <v>50000</v>
      </c>
      <c r="N59" s="182">
        <f t="shared" si="45"/>
        <v>600000</v>
      </c>
      <c r="O59" s="183" t="str">
        <f t="shared" si="77"/>
        <v>Rated</v>
      </c>
      <c r="P59" s="151" t="s">
        <v>125</v>
      </c>
      <c r="Q59" s="151">
        <v>7</v>
      </c>
      <c r="R59" s="223">
        <v>1</v>
      </c>
      <c r="S59" s="185">
        <f t="shared" si="41"/>
        <v>6</v>
      </c>
      <c r="T59" s="151"/>
      <c r="U59" s="186">
        <f t="shared" si="5"/>
        <v>3</v>
      </c>
      <c r="V59" s="186">
        <f t="shared" si="6"/>
        <v>3.5</v>
      </c>
      <c r="W59" s="151">
        <v>1</v>
      </c>
      <c r="X59" s="186"/>
      <c r="Y59" s="83"/>
      <c r="Z59" s="189" t="str">
        <f t="shared" si="46"/>
        <v>Bundled</v>
      </c>
      <c r="AA59" s="151"/>
      <c r="AB59" s="186"/>
      <c r="AC59" s="190"/>
      <c r="AD59" s="237">
        <v>158430</v>
      </c>
      <c r="AE59" s="120"/>
      <c r="AF59" s="152"/>
      <c r="AG59" s="151"/>
      <c r="AH59" s="151"/>
      <c r="AI59" s="151"/>
      <c r="AJ59" s="151"/>
      <c r="AK59" s="151"/>
      <c r="AL59" s="181"/>
      <c r="AM59" s="83">
        <f t="shared" si="47"/>
        <v>100000</v>
      </c>
      <c r="AN59" s="83">
        <f t="shared" si="48"/>
        <v>0</v>
      </c>
      <c r="AO59" s="83">
        <f t="shared" si="49"/>
        <v>0</v>
      </c>
      <c r="AP59" s="83">
        <f t="shared" si="50"/>
        <v>0</v>
      </c>
      <c r="AQ59" s="84"/>
      <c r="AR59" s="85">
        <f t="shared" si="51"/>
        <v>0</v>
      </c>
      <c r="AS59" s="86">
        <f t="shared" si="52"/>
        <v>0</v>
      </c>
      <c r="AT59" s="85" t="s">
        <v>134</v>
      </c>
      <c r="AU59" s="69">
        <v>721004950</v>
      </c>
      <c r="AV59" s="191">
        <v>42783</v>
      </c>
      <c r="AW59" s="69">
        <v>3</v>
      </c>
      <c r="AX59" s="191">
        <v>43848</v>
      </c>
      <c r="AY59" s="69" t="s">
        <v>183</v>
      </c>
      <c r="AZ59" s="323"/>
      <c r="BA59" s="84">
        <f t="shared" si="53"/>
        <v>0</v>
      </c>
      <c r="BB59" s="84">
        <f t="shared" si="54"/>
        <v>0</v>
      </c>
      <c r="BC59" s="84">
        <f t="shared" si="55"/>
        <v>-621163.72955503513</v>
      </c>
      <c r="BD59" s="84">
        <f t="shared" si="56"/>
        <v>-621163.72955503513</v>
      </c>
      <c r="BE59" s="84">
        <f t="shared" si="57"/>
        <v>18148.816571428568</v>
      </c>
      <c r="BF59" s="84"/>
      <c r="BG59" s="90">
        <f t="shared" si="58"/>
        <v>100000</v>
      </c>
      <c r="BH59" s="90">
        <f t="shared" si="59"/>
        <v>63520.857999999993</v>
      </c>
      <c r="BI59" s="90">
        <f t="shared" si="60"/>
        <v>36479.142000000007</v>
      </c>
      <c r="BJ59" s="91">
        <f t="shared" si="23"/>
        <v>2274073.053442623</v>
      </c>
      <c r="BK59" s="91">
        <f t="shared" si="24"/>
        <v>2274073.053442623</v>
      </c>
      <c r="BL59" s="91">
        <f t="shared" si="61"/>
        <v>36479.142000000007</v>
      </c>
      <c r="BM59" s="91">
        <f t="shared" si="62"/>
        <v>-2174073.053442623</v>
      </c>
      <c r="BN59" s="91">
        <f t="shared" si="63"/>
        <v>21000</v>
      </c>
      <c r="BO59" s="91">
        <f t="shared" si="64"/>
        <v>42520.857999999993</v>
      </c>
      <c r="BP59" s="91">
        <f t="shared" si="65"/>
        <v>-2237593.911442623</v>
      </c>
      <c r="BQ59" s="91">
        <f t="shared" si="66"/>
        <v>-2195073.053442623</v>
      </c>
      <c r="BR59" s="91">
        <f t="shared" si="67"/>
        <v>3.5</v>
      </c>
      <c r="BS59" s="91">
        <f t="shared" si="68"/>
        <v>-621163.72955503513</v>
      </c>
      <c r="BT59" s="91">
        <f t="shared" si="69"/>
        <v>-2237593.911442623</v>
      </c>
      <c r="BU59" s="91">
        <f t="shared" si="70"/>
        <v>42520.857999999986</v>
      </c>
      <c r="BV59" s="91">
        <f t="shared" si="71"/>
        <v>-2195073.053442623</v>
      </c>
      <c r="BW59" s="91">
        <f t="shared" si="72"/>
        <v>-639312.54612646368</v>
      </c>
      <c r="BX59" s="91">
        <f t="shared" si="73"/>
        <v>12148.816571428568</v>
      </c>
      <c r="BY59" s="91">
        <f t="shared" si="74"/>
        <v>-627163.72955503513</v>
      </c>
    </row>
    <row r="60" spans="1:77" ht="14.45">
      <c r="A60" s="178" t="s">
        <v>136</v>
      </c>
      <c r="B60" s="200" t="s">
        <v>184</v>
      </c>
      <c r="C60" s="151" t="s">
        <v>124</v>
      </c>
      <c r="D60" s="179" t="s">
        <v>116</v>
      </c>
      <c r="E60" s="151" t="s">
        <v>117</v>
      </c>
      <c r="F60" s="151" t="s">
        <v>118</v>
      </c>
      <c r="G60" s="152" t="str">
        <f t="shared" si="76"/>
        <v>No of Racks</v>
      </c>
      <c r="H60" s="151">
        <v>2</v>
      </c>
      <c r="I60" s="151">
        <v>2</v>
      </c>
      <c r="J60" s="180">
        <f t="shared" si="75"/>
        <v>0</v>
      </c>
      <c r="K60" s="151">
        <v>2</v>
      </c>
      <c r="L60" s="151"/>
      <c r="M60" s="181">
        <f>(620000)/12</f>
        <v>51666.666666666664</v>
      </c>
      <c r="N60" s="182">
        <f t="shared" si="45"/>
        <v>620000</v>
      </c>
      <c r="O60" s="183" t="str">
        <f t="shared" si="77"/>
        <v>Rated</v>
      </c>
      <c r="P60" s="151" t="s">
        <v>125</v>
      </c>
      <c r="Q60" s="151">
        <v>12</v>
      </c>
      <c r="R60" s="238">
        <v>0</v>
      </c>
      <c r="S60" s="185">
        <f t="shared" si="41"/>
        <v>12</v>
      </c>
      <c r="T60" s="151"/>
      <c r="U60" s="186">
        <f t="shared" si="5"/>
        <v>6</v>
      </c>
      <c r="V60" s="186">
        <f t="shared" si="6"/>
        <v>6</v>
      </c>
      <c r="W60" s="236">
        <f>R60</f>
        <v>0</v>
      </c>
      <c r="X60" s="186">
        <f>S60*-1</f>
        <v>-12</v>
      </c>
      <c r="Y60" s="83">
        <f>95000/12</f>
        <v>7916.666666666667</v>
      </c>
      <c r="Z60" s="189" t="str">
        <f t="shared" si="46"/>
        <v>Bundled</v>
      </c>
      <c r="AA60" s="151"/>
      <c r="AB60" s="186"/>
      <c r="AC60" s="190"/>
      <c r="AD60" s="199"/>
      <c r="AE60" s="120"/>
      <c r="AF60" s="152"/>
      <c r="AG60" s="151"/>
      <c r="AH60" s="151"/>
      <c r="AI60" s="151"/>
      <c r="AJ60" s="151"/>
      <c r="AK60" s="151"/>
      <c r="AL60" s="181"/>
      <c r="AM60" s="83">
        <f t="shared" si="47"/>
        <v>103333.33333333333</v>
      </c>
      <c r="AN60" s="83">
        <f t="shared" si="48"/>
        <v>-95000</v>
      </c>
      <c r="AO60" s="83">
        <f t="shared" si="49"/>
        <v>0</v>
      </c>
      <c r="AP60" s="83">
        <f t="shared" si="50"/>
        <v>0</v>
      </c>
      <c r="AQ60" s="84">
        <f>(32000+120000+12000+200000)/12</f>
        <v>30333.333333333332</v>
      </c>
      <c r="AR60" s="85">
        <f t="shared" si="51"/>
        <v>0</v>
      </c>
      <c r="AS60" s="86">
        <f t="shared" si="52"/>
        <v>0</v>
      </c>
      <c r="AT60" s="85" t="s">
        <v>134</v>
      </c>
      <c r="AU60" s="69" t="s">
        <v>185</v>
      </c>
      <c r="AV60" s="191">
        <v>42811</v>
      </c>
      <c r="AW60" s="69">
        <v>1</v>
      </c>
      <c r="AX60" s="191">
        <v>43149</v>
      </c>
      <c r="AY60" s="69" t="s">
        <v>186</v>
      </c>
      <c r="AZ60" s="323"/>
      <c r="BA60" s="84">
        <f t="shared" si="53"/>
        <v>0</v>
      </c>
      <c r="BB60" s="84">
        <f t="shared" si="54"/>
        <v>0</v>
      </c>
      <c r="BC60" s="84">
        <f t="shared" si="55"/>
        <v>1388.888888888888</v>
      </c>
      <c r="BD60" s="84">
        <f t="shared" si="56"/>
        <v>-9033.7231111111123</v>
      </c>
      <c r="BE60" s="84">
        <f t="shared" si="57"/>
        <v>-9033.7231111111123</v>
      </c>
      <c r="BF60" s="84"/>
      <c r="BG60" s="90">
        <f t="shared" si="58"/>
        <v>8333.3333333333285</v>
      </c>
      <c r="BH60" s="90">
        <f t="shared" si="59"/>
        <v>0</v>
      </c>
      <c r="BI60" s="90">
        <f t="shared" si="60"/>
        <v>8333.3333333333285</v>
      </c>
      <c r="BJ60" s="91">
        <f t="shared" si="23"/>
        <v>0</v>
      </c>
      <c r="BK60" s="91">
        <f t="shared" si="24"/>
        <v>62535.672000000006</v>
      </c>
      <c r="BL60" s="91">
        <f t="shared" si="61"/>
        <v>62535.672000000006</v>
      </c>
      <c r="BM60" s="91">
        <f t="shared" si="62"/>
        <v>8333.3333333333285</v>
      </c>
      <c r="BN60" s="91">
        <f t="shared" si="63"/>
        <v>36000</v>
      </c>
      <c r="BO60" s="91">
        <f t="shared" si="64"/>
        <v>-36000</v>
      </c>
      <c r="BP60" s="91">
        <f t="shared" si="65"/>
        <v>8333.3333333333285</v>
      </c>
      <c r="BQ60" s="91">
        <f t="shared" si="66"/>
        <v>-27666.666666666672</v>
      </c>
      <c r="BR60" s="91">
        <f t="shared" si="67"/>
        <v>6</v>
      </c>
      <c r="BS60" s="91">
        <f t="shared" si="68"/>
        <v>1388.888888888888</v>
      </c>
      <c r="BT60" s="91">
        <f t="shared" si="69"/>
        <v>62535.672000000006</v>
      </c>
      <c r="BU60" s="91">
        <f t="shared" si="70"/>
        <v>-90202.338666666677</v>
      </c>
      <c r="BV60" s="91">
        <f t="shared" si="71"/>
        <v>-27666.666666666672</v>
      </c>
      <c r="BW60" s="91">
        <f t="shared" si="72"/>
        <v>10422.612000000001</v>
      </c>
      <c r="BX60" s="91">
        <f t="shared" si="73"/>
        <v>-15033.723111111112</v>
      </c>
      <c r="BY60" s="91">
        <f t="shared" si="74"/>
        <v>-4611.1111111111122</v>
      </c>
    </row>
    <row r="61" spans="1:77" ht="14.45">
      <c r="A61" s="178" t="s">
        <v>136</v>
      </c>
      <c r="B61" s="178" t="s">
        <v>187</v>
      </c>
      <c r="C61" s="151" t="s">
        <v>124</v>
      </c>
      <c r="D61" s="179" t="s">
        <v>116</v>
      </c>
      <c r="E61" s="151" t="s">
        <v>117</v>
      </c>
      <c r="F61" s="151" t="s">
        <v>131</v>
      </c>
      <c r="G61" s="152" t="str">
        <f t="shared" si="76"/>
        <v>No of Racks</v>
      </c>
      <c r="H61" s="151">
        <v>6</v>
      </c>
      <c r="I61" s="151">
        <v>6</v>
      </c>
      <c r="J61" s="180">
        <f t="shared" si="75"/>
        <v>0</v>
      </c>
      <c r="K61" s="151">
        <v>6</v>
      </c>
      <c r="L61" s="151"/>
      <c r="M61" s="181">
        <f>(600000)/12</f>
        <v>50000</v>
      </c>
      <c r="N61" s="182">
        <f t="shared" si="45"/>
        <v>600000</v>
      </c>
      <c r="O61" s="183" t="str">
        <f t="shared" si="77"/>
        <v>Rated</v>
      </c>
      <c r="P61" s="151" t="s">
        <v>125</v>
      </c>
      <c r="Q61" s="151">
        <v>36</v>
      </c>
      <c r="R61" s="223">
        <v>49.5</v>
      </c>
      <c r="S61" s="185">
        <f t="shared" si="41"/>
        <v>-13.5</v>
      </c>
      <c r="T61" s="151"/>
      <c r="U61" s="186">
        <f t="shared" si="5"/>
        <v>0</v>
      </c>
      <c r="V61" s="186">
        <f t="shared" si="6"/>
        <v>18</v>
      </c>
      <c r="W61" s="236">
        <f>R61</f>
        <v>49.5</v>
      </c>
      <c r="X61" s="186">
        <f>S61*-1</f>
        <v>13.5</v>
      </c>
      <c r="Y61" s="83">
        <f>90000/12</f>
        <v>7500</v>
      </c>
      <c r="Z61" s="189" t="str">
        <f t="shared" si="46"/>
        <v>Bundled</v>
      </c>
      <c r="AA61" s="151"/>
      <c r="AB61" s="186"/>
      <c r="AC61" s="190"/>
      <c r="AD61" s="199"/>
      <c r="AE61" s="120"/>
      <c r="AF61" s="152"/>
      <c r="AG61" s="151"/>
      <c r="AH61" s="151"/>
      <c r="AI61" s="151"/>
      <c r="AJ61" s="151"/>
      <c r="AK61" s="151"/>
      <c r="AL61" s="181"/>
      <c r="AM61" s="83">
        <f t="shared" si="47"/>
        <v>300000</v>
      </c>
      <c r="AN61" s="83">
        <f t="shared" si="48"/>
        <v>101250</v>
      </c>
      <c r="AO61" s="83">
        <f t="shared" si="49"/>
        <v>0</v>
      </c>
      <c r="AP61" s="83">
        <f t="shared" si="50"/>
        <v>0</v>
      </c>
      <c r="AQ61" s="84">
        <f>10000+10000/12</f>
        <v>10833.333333333334</v>
      </c>
      <c r="AR61" s="85">
        <f t="shared" si="51"/>
        <v>0</v>
      </c>
      <c r="AS61" s="86">
        <f t="shared" si="52"/>
        <v>0</v>
      </c>
      <c r="AT61" s="85" t="s">
        <v>134</v>
      </c>
      <c r="AU61" s="69">
        <v>721005411</v>
      </c>
      <c r="AV61" s="191">
        <v>42995</v>
      </c>
      <c r="AW61" s="69">
        <v>5</v>
      </c>
      <c r="AX61" s="191">
        <v>44774</v>
      </c>
      <c r="AY61" s="69" t="s">
        <v>188</v>
      </c>
      <c r="AZ61" s="323"/>
      <c r="BA61" s="84">
        <f t="shared" si="53"/>
        <v>0</v>
      </c>
      <c r="BB61" s="84">
        <f t="shared" si="54"/>
        <v>0</v>
      </c>
      <c r="BC61" s="84">
        <f t="shared" si="55"/>
        <v>-6370.5163333333367</v>
      </c>
      <c r="BD61" s="84">
        <f t="shared" si="56"/>
        <v>-6370.5163333333367</v>
      </c>
      <c r="BE61" s="84">
        <f t="shared" si="57"/>
        <v>11869.054666666667</v>
      </c>
      <c r="BF61" s="84"/>
      <c r="BG61" s="90">
        <f t="shared" si="58"/>
        <v>401250</v>
      </c>
      <c r="BH61" s="90">
        <f t="shared" si="59"/>
        <v>213642.984</v>
      </c>
      <c r="BI61" s="90">
        <f t="shared" si="60"/>
        <v>187607.016</v>
      </c>
      <c r="BJ61" s="91">
        <f t="shared" si="23"/>
        <v>515919.29400000005</v>
      </c>
      <c r="BK61" s="91">
        <f t="shared" si="24"/>
        <v>515919.29400000005</v>
      </c>
      <c r="BL61" s="91">
        <f t="shared" si="61"/>
        <v>187607.016</v>
      </c>
      <c r="BM61" s="91">
        <f t="shared" si="62"/>
        <v>-114669.29400000005</v>
      </c>
      <c r="BN61" s="91">
        <f t="shared" si="63"/>
        <v>108000</v>
      </c>
      <c r="BO61" s="91">
        <f t="shared" si="64"/>
        <v>105642.984</v>
      </c>
      <c r="BP61" s="91">
        <f t="shared" si="65"/>
        <v>-328312.27800000005</v>
      </c>
      <c r="BQ61" s="91">
        <f t="shared" si="66"/>
        <v>-222669.29400000005</v>
      </c>
      <c r="BR61" s="91">
        <f t="shared" si="67"/>
        <v>18</v>
      </c>
      <c r="BS61" s="91">
        <f t="shared" si="68"/>
        <v>-6370.5163333333367</v>
      </c>
      <c r="BT61" s="91">
        <f t="shared" si="69"/>
        <v>-328312.27800000005</v>
      </c>
      <c r="BU61" s="91">
        <f t="shared" si="70"/>
        <v>105642.984</v>
      </c>
      <c r="BV61" s="91">
        <f t="shared" si="71"/>
        <v>-222669.29400000005</v>
      </c>
      <c r="BW61" s="91">
        <f t="shared" si="72"/>
        <v>-18239.571000000004</v>
      </c>
      <c r="BX61" s="91">
        <f t="shared" si="73"/>
        <v>5869.0546666666669</v>
      </c>
      <c r="BY61" s="91">
        <f t="shared" si="74"/>
        <v>-12370.516333333337</v>
      </c>
    </row>
    <row r="62" spans="1:77" ht="14.45">
      <c r="A62" s="151" t="s">
        <v>158</v>
      </c>
      <c r="B62" s="151" t="s">
        <v>189</v>
      </c>
      <c r="C62" s="151" t="s">
        <v>124</v>
      </c>
      <c r="D62" s="179" t="s">
        <v>116</v>
      </c>
      <c r="E62" s="151" t="s">
        <v>117</v>
      </c>
      <c r="F62" s="151" t="s">
        <v>118</v>
      </c>
      <c r="G62" s="152" t="str">
        <f t="shared" si="76"/>
        <v>No of Racks</v>
      </c>
      <c r="H62" s="151">
        <v>1</v>
      </c>
      <c r="I62" s="151">
        <v>1</v>
      </c>
      <c r="J62" s="180">
        <f t="shared" si="75"/>
        <v>0</v>
      </c>
      <c r="K62" s="151">
        <v>1</v>
      </c>
      <c r="L62" s="151"/>
      <c r="M62" s="181">
        <f>425000/12</f>
        <v>35416.666666666664</v>
      </c>
      <c r="N62" s="182">
        <f t="shared" si="45"/>
        <v>425000</v>
      </c>
      <c r="O62" s="183" t="str">
        <f t="shared" si="77"/>
        <v>Rated</v>
      </c>
      <c r="P62" s="151" t="s">
        <v>125</v>
      </c>
      <c r="Q62" s="151">
        <v>3</v>
      </c>
      <c r="R62" s="151">
        <v>0.6</v>
      </c>
      <c r="S62" s="185">
        <f t="shared" si="41"/>
        <v>2.4</v>
      </c>
      <c r="T62" s="151"/>
      <c r="U62" s="186">
        <f t="shared" si="5"/>
        <v>1.2</v>
      </c>
      <c r="V62" s="186">
        <f t="shared" si="6"/>
        <v>1.5</v>
      </c>
      <c r="W62" s="151">
        <v>0.6</v>
      </c>
      <c r="X62" s="186"/>
      <c r="Y62" s="83">
        <f>110000/12</f>
        <v>9166.6666666666661</v>
      </c>
      <c r="Z62" s="189" t="str">
        <f t="shared" si="46"/>
        <v>Bundled</v>
      </c>
      <c r="AA62" s="151"/>
      <c r="AB62" s="186"/>
      <c r="AC62" s="190"/>
      <c r="AD62" s="199"/>
      <c r="AE62" s="120"/>
      <c r="AF62" s="152"/>
      <c r="AG62" s="151"/>
      <c r="AH62" s="151"/>
      <c r="AI62" s="151"/>
      <c r="AJ62" s="151"/>
      <c r="AK62" s="151"/>
      <c r="AL62" s="181"/>
      <c r="AM62" s="83">
        <f t="shared" si="47"/>
        <v>35416.666666666664</v>
      </c>
      <c r="AN62" s="83">
        <f t="shared" si="48"/>
        <v>0</v>
      </c>
      <c r="AO62" s="83">
        <f t="shared" si="49"/>
        <v>0</v>
      </c>
      <c r="AP62" s="83">
        <f t="shared" si="50"/>
        <v>0</v>
      </c>
      <c r="AQ62" s="84"/>
      <c r="AR62" s="85">
        <f t="shared" si="51"/>
        <v>0</v>
      </c>
      <c r="AS62" s="86">
        <f t="shared" si="52"/>
        <v>0</v>
      </c>
      <c r="AT62" s="85" t="s">
        <v>190</v>
      </c>
      <c r="AU62" s="69">
        <v>721004131</v>
      </c>
      <c r="AV62" s="191">
        <v>43602</v>
      </c>
      <c r="AW62" s="69">
        <v>1</v>
      </c>
      <c r="AX62" s="191">
        <v>43969</v>
      </c>
      <c r="AY62" s="69"/>
      <c r="AZ62" s="323"/>
      <c r="BA62" s="84"/>
      <c r="BB62" s="84"/>
      <c r="BC62" s="84">
        <f t="shared" si="55"/>
        <v>19442.06631111111</v>
      </c>
      <c r="BD62" s="84">
        <f t="shared" si="56"/>
        <v>11103.976711111109</v>
      </c>
      <c r="BE62" s="84">
        <f t="shared" si="57"/>
        <v>13188.499111111109</v>
      </c>
      <c r="BF62" s="84"/>
      <c r="BG62" s="90">
        <f t="shared" si="58"/>
        <v>35416.666666666664</v>
      </c>
      <c r="BH62" s="90">
        <f t="shared" si="59"/>
        <v>19782.748666666663</v>
      </c>
      <c r="BI62" s="90">
        <f t="shared" si="60"/>
        <v>15633.918000000001</v>
      </c>
      <c r="BJ62" s="91">
        <f t="shared" si="23"/>
        <v>6253.5672000000004</v>
      </c>
      <c r="BK62" s="91">
        <f t="shared" si="24"/>
        <v>18760.7016</v>
      </c>
      <c r="BL62" s="91">
        <f t="shared" si="61"/>
        <v>15633.918000000001</v>
      </c>
      <c r="BM62" s="91">
        <f t="shared" si="62"/>
        <v>29163.099466666667</v>
      </c>
      <c r="BN62" s="91">
        <f t="shared" si="63"/>
        <v>9000</v>
      </c>
      <c r="BO62" s="91">
        <f t="shared" si="64"/>
        <v>10782.748666666663</v>
      </c>
      <c r="BP62" s="91">
        <f t="shared" si="65"/>
        <v>9380.3508000000002</v>
      </c>
      <c r="BQ62" s="91">
        <f t="shared" si="66"/>
        <v>20163.099466666663</v>
      </c>
      <c r="BR62" s="91">
        <f t="shared" si="67"/>
        <v>1.5</v>
      </c>
      <c r="BS62" s="91">
        <f t="shared" si="68"/>
        <v>19442.06631111111</v>
      </c>
      <c r="BT62" s="91">
        <f t="shared" si="69"/>
        <v>9380.3508000000002</v>
      </c>
      <c r="BU62" s="91">
        <f t="shared" si="70"/>
        <v>10782.748666666663</v>
      </c>
      <c r="BV62" s="91">
        <f t="shared" si="71"/>
        <v>20163.099466666663</v>
      </c>
      <c r="BW62" s="91">
        <f t="shared" si="72"/>
        <v>6253.5672000000004</v>
      </c>
      <c r="BX62" s="91">
        <f t="shared" si="73"/>
        <v>7188.4991111111085</v>
      </c>
      <c r="BY62" s="91">
        <f t="shared" si="74"/>
        <v>13442.066311111108</v>
      </c>
    </row>
    <row r="63" spans="1:77" ht="18">
      <c r="A63" s="178" t="s">
        <v>136</v>
      </c>
      <c r="B63" s="151" t="s">
        <v>191</v>
      </c>
      <c r="C63" s="151" t="s">
        <v>115</v>
      </c>
      <c r="D63" s="179" t="s">
        <v>130</v>
      </c>
      <c r="E63" s="151" t="s">
        <v>117</v>
      </c>
      <c r="F63" s="151" t="s">
        <v>131</v>
      </c>
      <c r="G63" s="152" t="str">
        <f t="shared" si="76"/>
        <v>No of Racks</v>
      </c>
      <c r="H63" s="151">
        <v>16</v>
      </c>
      <c r="I63" s="151">
        <v>16</v>
      </c>
      <c r="J63" s="180">
        <f t="shared" si="75"/>
        <v>0</v>
      </c>
      <c r="K63" s="151">
        <v>16</v>
      </c>
      <c r="L63" s="151"/>
      <c r="M63" s="181">
        <f>(18200000/65/16)</f>
        <v>17500</v>
      </c>
      <c r="N63" s="83">
        <f t="shared" si="45"/>
        <v>210000</v>
      </c>
      <c r="O63" s="183" t="str">
        <f t="shared" si="77"/>
        <v>Subscribed</v>
      </c>
      <c r="P63" s="151" t="s">
        <v>108</v>
      </c>
      <c r="Q63" s="151">
        <v>48</v>
      </c>
      <c r="R63" s="225">
        <v>49.1</v>
      </c>
      <c r="S63" s="185">
        <f t="shared" si="41"/>
        <v>-1.1000000000000014</v>
      </c>
      <c r="T63" s="151"/>
      <c r="U63" s="186">
        <f t="shared" si="5"/>
        <v>0</v>
      </c>
      <c r="V63" s="186">
        <f t="shared" si="6"/>
        <v>48</v>
      </c>
      <c r="W63" s="202">
        <f>R63</f>
        <v>49.1</v>
      </c>
      <c r="X63" s="186"/>
      <c r="Y63" s="239" t="s">
        <v>192</v>
      </c>
      <c r="Z63" s="189" t="str">
        <f t="shared" si="46"/>
        <v>Metered</v>
      </c>
      <c r="AA63" s="151"/>
      <c r="AB63" s="179" t="s">
        <v>145</v>
      </c>
      <c r="AC63" s="190">
        <v>15</v>
      </c>
      <c r="AD63" s="240">
        <v>0</v>
      </c>
      <c r="AE63" s="120"/>
      <c r="AF63" s="152" t="s">
        <v>133</v>
      </c>
      <c r="AG63" s="151">
        <v>20</v>
      </c>
      <c r="AH63" s="151">
        <v>20</v>
      </c>
      <c r="AI63" s="151">
        <v>0</v>
      </c>
      <c r="AJ63" s="151">
        <v>20</v>
      </c>
      <c r="AK63" s="151"/>
      <c r="AL63" s="181">
        <f>((4333333/10/65)+(80000/12))</f>
        <v>13333.33282051282</v>
      </c>
      <c r="AM63" s="83">
        <f t="shared" si="47"/>
        <v>280000</v>
      </c>
      <c r="AN63" s="83"/>
      <c r="AO63" s="83"/>
      <c r="AP63" s="83"/>
      <c r="AQ63" s="84"/>
      <c r="AR63" s="85">
        <f t="shared" si="51"/>
        <v>280000</v>
      </c>
      <c r="AS63" s="86">
        <f t="shared" si="52"/>
        <v>3360000</v>
      </c>
      <c r="AT63" s="85" t="s">
        <v>168</v>
      </c>
      <c r="AU63" s="69">
        <v>721005781</v>
      </c>
      <c r="AV63" s="191">
        <v>43025</v>
      </c>
      <c r="AW63" s="69">
        <v>6</v>
      </c>
      <c r="AX63" s="191">
        <v>45192</v>
      </c>
      <c r="AY63" s="69"/>
      <c r="AZ63" s="323"/>
      <c r="BA63" s="84">
        <f>IF(E63="Rack",AR63/H63,0)+IF(E63="U Space",AR63*40/H63,0)+IF(E63="Space",AR63*30/H63,0)</f>
        <v>17500</v>
      </c>
      <c r="BB63" s="84">
        <f>+AR63/V63</f>
        <v>5833.333333333333</v>
      </c>
      <c r="BC63" s="84">
        <f t="shared" si="55"/>
        <v>-4828.130191666668</v>
      </c>
      <c r="BD63" s="84">
        <f t="shared" si="56"/>
        <v>-4828.130191666668</v>
      </c>
      <c r="BE63" s="84">
        <f t="shared" si="57"/>
        <v>-3025.8868666666676</v>
      </c>
      <c r="BF63" s="84"/>
      <c r="BG63" s="90">
        <f t="shared" si="58"/>
        <v>280000</v>
      </c>
      <c r="BH63" s="90">
        <f t="shared" si="59"/>
        <v>280000</v>
      </c>
      <c r="BI63" s="90">
        <f t="shared" si="60"/>
        <v>0</v>
      </c>
      <c r="BJ63" s="91">
        <f t="shared" si="23"/>
        <v>511750.24920000008</v>
      </c>
      <c r="BK63" s="91">
        <f t="shared" si="24"/>
        <v>511750.24920000008</v>
      </c>
      <c r="BL63" s="91">
        <f t="shared" si="61"/>
        <v>425242.56960000005</v>
      </c>
      <c r="BM63" s="91">
        <f t="shared" si="62"/>
        <v>-231750.24920000008</v>
      </c>
      <c r="BN63" s="91">
        <f t="shared" si="63"/>
        <v>288000</v>
      </c>
      <c r="BO63" s="91">
        <f t="shared" si="64"/>
        <v>-8000</v>
      </c>
      <c r="BP63" s="91">
        <f t="shared" si="65"/>
        <v>-511750.24920000008</v>
      </c>
      <c r="BQ63" s="91">
        <f t="shared" si="66"/>
        <v>-519750.24920000008</v>
      </c>
      <c r="BR63" s="91">
        <f t="shared" si="67"/>
        <v>48</v>
      </c>
      <c r="BS63" s="91">
        <f t="shared" si="68"/>
        <v>-4828.130191666668</v>
      </c>
      <c r="BT63" s="91">
        <f t="shared" si="69"/>
        <v>-511750.24920000008</v>
      </c>
      <c r="BU63" s="91">
        <f t="shared" si="70"/>
        <v>-8000</v>
      </c>
      <c r="BV63" s="91">
        <f t="shared" si="71"/>
        <v>-519750.24920000008</v>
      </c>
      <c r="BW63" s="91">
        <f t="shared" si="72"/>
        <v>-10661.463525000001</v>
      </c>
      <c r="BX63" s="91">
        <f t="shared" si="73"/>
        <v>-166.66666666666666</v>
      </c>
      <c r="BY63" s="91">
        <f t="shared" si="74"/>
        <v>-10828.130191666669</v>
      </c>
    </row>
    <row r="64" spans="1:77" ht="15.6">
      <c r="A64" s="178" t="s">
        <v>136</v>
      </c>
      <c r="B64" s="151" t="s">
        <v>191</v>
      </c>
      <c r="C64" s="151" t="s">
        <v>115</v>
      </c>
      <c r="D64" s="179" t="s">
        <v>130</v>
      </c>
      <c r="E64" s="151" t="s">
        <v>117</v>
      </c>
      <c r="F64" s="151" t="s">
        <v>131</v>
      </c>
      <c r="G64" s="152" t="str">
        <f t="shared" si="76"/>
        <v>No of Racks</v>
      </c>
      <c r="H64" s="151">
        <v>1</v>
      </c>
      <c r="I64" s="151">
        <v>1</v>
      </c>
      <c r="J64" s="180">
        <f t="shared" si="75"/>
        <v>0</v>
      </c>
      <c r="K64" s="151">
        <v>1</v>
      </c>
      <c r="L64" s="151"/>
      <c r="M64" s="181">
        <f>(18200000/65/16)</f>
        <v>17500</v>
      </c>
      <c r="N64" s="83">
        <f t="shared" si="45"/>
        <v>210000</v>
      </c>
      <c r="O64" s="183" t="str">
        <f t="shared" si="77"/>
        <v>Subscribed</v>
      </c>
      <c r="P64" s="151" t="s">
        <v>108</v>
      </c>
      <c r="Q64" s="151">
        <v>3</v>
      </c>
      <c r="R64" s="225">
        <v>1.0900000000000001</v>
      </c>
      <c r="S64" s="185">
        <f t="shared" si="41"/>
        <v>1.91</v>
      </c>
      <c r="T64" s="151"/>
      <c r="U64" s="186">
        <f t="shared" si="5"/>
        <v>1.91</v>
      </c>
      <c r="V64" s="186">
        <f t="shared" si="6"/>
        <v>3</v>
      </c>
      <c r="W64" s="202">
        <f>R64</f>
        <v>1.0900000000000001</v>
      </c>
      <c r="X64" s="186"/>
      <c r="Y64" s="239" t="s">
        <v>192</v>
      </c>
      <c r="Z64" s="189" t="str">
        <f t="shared" si="46"/>
        <v>Metered</v>
      </c>
      <c r="AA64" s="151"/>
      <c r="AB64" s="179" t="s">
        <v>145</v>
      </c>
      <c r="AC64" s="190">
        <v>15</v>
      </c>
      <c r="AD64" s="241">
        <v>0</v>
      </c>
      <c r="AE64" s="120"/>
      <c r="AF64" s="152" t="s">
        <v>133</v>
      </c>
      <c r="AG64" s="151"/>
      <c r="AH64" s="151"/>
      <c r="AI64" s="151"/>
      <c r="AJ64" s="151"/>
      <c r="AK64" s="151"/>
      <c r="AL64" s="181"/>
      <c r="AM64" s="83">
        <f t="shared" si="47"/>
        <v>17500</v>
      </c>
      <c r="AN64" s="83"/>
      <c r="AO64" s="83"/>
      <c r="AP64" s="83"/>
      <c r="AQ64" s="84"/>
      <c r="AR64" s="85">
        <f t="shared" si="51"/>
        <v>17500</v>
      </c>
      <c r="AS64" s="86">
        <f t="shared" si="52"/>
        <v>210000</v>
      </c>
      <c r="AT64" s="85" t="s">
        <v>168</v>
      </c>
      <c r="AU64" s="69" t="s">
        <v>193</v>
      </c>
      <c r="AV64" s="191">
        <v>43269</v>
      </c>
      <c r="AW64" s="69">
        <v>1</v>
      </c>
      <c r="AX64" s="191">
        <v>43604</v>
      </c>
      <c r="AY64" s="69"/>
      <c r="AZ64" s="323"/>
      <c r="BA64" s="84">
        <f>IF(E64="Rack",AR64/H64,0)+IF(E64="U Space",AR64*40/H64,0)+IF(E64="Space",AR64*30/H64,0)</f>
        <v>17500</v>
      </c>
      <c r="BB64" s="84">
        <f>+AR64/V64</f>
        <v>5833.333333333333</v>
      </c>
      <c r="BC64" s="84">
        <f t="shared" si="55"/>
        <v>2046.4509733333325</v>
      </c>
      <c r="BD64" s="84">
        <f t="shared" si="56"/>
        <v>-4589.278666666668</v>
      </c>
      <c r="BE64" s="84">
        <f t="shared" si="57"/>
        <v>-3025.8868666666676</v>
      </c>
      <c r="BF64" s="84"/>
      <c r="BG64" s="90">
        <f t="shared" si="58"/>
        <v>17500</v>
      </c>
      <c r="BH64" s="90">
        <f t="shared" si="59"/>
        <v>17500</v>
      </c>
      <c r="BI64" s="90">
        <f t="shared" si="60"/>
        <v>0</v>
      </c>
      <c r="BJ64" s="91">
        <f t="shared" si="23"/>
        <v>11360.647080000002</v>
      </c>
      <c r="BK64" s="91">
        <f t="shared" si="24"/>
        <v>31267.836000000003</v>
      </c>
      <c r="BL64" s="91">
        <f t="shared" si="61"/>
        <v>26577.660600000003</v>
      </c>
      <c r="BM64" s="91">
        <f t="shared" si="62"/>
        <v>6139.3529199999975</v>
      </c>
      <c r="BN64" s="91">
        <f t="shared" si="63"/>
        <v>18000</v>
      </c>
      <c r="BO64" s="91">
        <f t="shared" si="64"/>
        <v>-500</v>
      </c>
      <c r="BP64" s="91">
        <f t="shared" si="65"/>
        <v>-11360.647080000002</v>
      </c>
      <c r="BQ64" s="91">
        <f t="shared" si="66"/>
        <v>-11860.647080000002</v>
      </c>
      <c r="BR64" s="91">
        <f t="shared" si="67"/>
        <v>3</v>
      </c>
      <c r="BS64" s="91">
        <f t="shared" si="68"/>
        <v>2046.4509733333325</v>
      </c>
      <c r="BT64" s="91">
        <f t="shared" si="69"/>
        <v>-11360.647080000002</v>
      </c>
      <c r="BU64" s="91">
        <f t="shared" si="70"/>
        <v>-500</v>
      </c>
      <c r="BV64" s="91">
        <f t="shared" si="71"/>
        <v>-11860.647080000002</v>
      </c>
      <c r="BW64" s="91">
        <f t="shared" si="72"/>
        <v>-3786.882360000001</v>
      </c>
      <c r="BX64" s="91">
        <f t="shared" si="73"/>
        <v>-166.66666666666666</v>
      </c>
      <c r="BY64" s="91">
        <f t="shared" si="74"/>
        <v>-3953.5490266666675</v>
      </c>
    </row>
    <row r="65" spans="1:256" ht="14.45">
      <c r="A65" s="178" t="s">
        <v>136</v>
      </c>
      <c r="B65" s="151" t="s">
        <v>191</v>
      </c>
      <c r="C65" s="151" t="s">
        <v>115</v>
      </c>
      <c r="D65" s="179" t="s">
        <v>130</v>
      </c>
      <c r="E65" s="151" t="s">
        <v>117</v>
      </c>
      <c r="F65" s="151" t="s">
        <v>131</v>
      </c>
      <c r="G65" s="152" t="str">
        <f t="shared" si="76"/>
        <v>No of Racks</v>
      </c>
      <c r="H65" s="151">
        <v>1</v>
      </c>
      <c r="I65" s="151">
        <v>1</v>
      </c>
      <c r="J65" s="180">
        <f t="shared" si="75"/>
        <v>0</v>
      </c>
      <c r="K65" s="151">
        <v>1</v>
      </c>
      <c r="L65" s="151"/>
      <c r="M65" s="181"/>
      <c r="N65" s="83"/>
      <c r="O65" s="183" t="str">
        <f t="shared" si="77"/>
        <v>Subscribed</v>
      </c>
      <c r="P65" s="151" t="s">
        <v>108</v>
      </c>
      <c r="Q65" s="151">
        <v>3</v>
      </c>
      <c r="R65" s="225">
        <v>0.4</v>
      </c>
      <c r="S65" s="185">
        <f t="shared" si="41"/>
        <v>2.6</v>
      </c>
      <c r="T65" s="151"/>
      <c r="U65" s="186"/>
      <c r="V65" s="186">
        <f t="shared" si="6"/>
        <v>3</v>
      </c>
      <c r="W65" s="202"/>
      <c r="X65" s="186"/>
      <c r="Y65" s="83"/>
      <c r="Z65" s="189"/>
      <c r="AA65" s="151"/>
      <c r="AB65" s="186"/>
      <c r="AC65" s="190"/>
      <c r="AD65" s="228"/>
      <c r="AE65" s="120"/>
      <c r="AF65" s="152"/>
      <c r="AG65" s="151"/>
      <c r="AH65" s="151"/>
      <c r="AI65" s="151"/>
      <c r="AJ65" s="151"/>
      <c r="AK65" s="151"/>
      <c r="AL65" s="181"/>
      <c r="AM65" s="83"/>
      <c r="AN65" s="83"/>
      <c r="AO65" s="83"/>
      <c r="AP65" s="83"/>
      <c r="AQ65" s="84"/>
      <c r="AR65" s="103"/>
      <c r="AS65" s="86"/>
      <c r="AT65" s="85"/>
      <c r="AU65" s="69"/>
      <c r="AV65" s="191"/>
      <c r="AW65" s="69"/>
      <c r="AX65" s="191"/>
      <c r="AY65" s="69"/>
      <c r="AZ65" s="323"/>
      <c r="BA65" s="84"/>
      <c r="BB65" s="84"/>
      <c r="BC65" s="84"/>
      <c r="BD65" s="84"/>
      <c r="BE65" s="84"/>
      <c r="BF65" s="84"/>
      <c r="BG65" s="90"/>
      <c r="BH65" s="90"/>
      <c r="BI65" s="90"/>
      <c r="BJ65" s="91"/>
      <c r="BK65" s="91"/>
      <c r="BL65" s="91">
        <f t="shared" si="61"/>
        <v>26577.660600000003</v>
      </c>
      <c r="BM65" s="91"/>
      <c r="BN65" s="91">
        <f t="shared" si="63"/>
        <v>18000</v>
      </c>
      <c r="BO65" s="91"/>
      <c r="BP65" s="91"/>
      <c r="BQ65" s="91"/>
      <c r="BR65" s="91">
        <f t="shared" si="67"/>
        <v>3</v>
      </c>
      <c r="BS65" s="91"/>
      <c r="BT65" s="91"/>
      <c r="BU65" s="91"/>
      <c r="BV65" s="91"/>
      <c r="BW65" s="91"/>
      <c r="BX65" s="91"/>
      <c r="BY65" s="91"/>
      <c r="BZ65" s="323"/>
      <c r="CA65" s="323"/>
      <c r="CB65" s="323"/>
      <c r="CC65" s="323"/>
      <c r="CD65" s="323"/>
      <c r="CE65" s="323"/>
      <c r="CF65" s="323"/>
      <c r="CG65" s="323"/>
      <c r="CH65" s="323"/>
      <c r="CI65" s="323"/>
      <c r="CJ65" s="323"/>
      <c r="CK65" s="323"/>
      <c r="CL65" s="323"/>
      <c r="CM65" s="323"/>
      <c r="CN65" s="323"/>
      <c r="CO65" s="323"/>
      <c r="CP65" s="323"/>
      <c r="CQ65" s="323"/>
      <c r="CR65" s="323"/>
      <c r="CS65" s="323"/>
      <c r="CT65" s="323"/>
      <c r="CU65" s="323"/>
      <c r="CV65" s="323"/>
      <c r="CW65" s="323"/>
      <c r="CX65" s="323"/>
      <c r="CY65" s="323"/>
      <c r="CZ65" s="323"/>
      <c r="DA65" s="323"/>
      <c r="DB65" s="323"/>
      <c r="DC65" s="323"/>
      <c r="DD65" s="323"/>
      <c r="DE65" s="323"/>
      <c r="DF65" s="323"/>
      <c r="DG65" s="323"/>
      <c r="DH65" s="323"/>
      <c r="DI65" s="323"/>
      <c r="DJ65" s="323"/>
      <c r="DK65" s="323"/>
      <c r="DL65" s="323"/>
      <c r="DM65" s="323"/>
      <c r="DN65" s="323"/>
      <c r="DO65" s="323"/>
      <c r="DP65" s="323"/>
      <c r="DQ65" s="323"/>
      <c r="DR65" s="323"/>
      <c r="DS65" s="323"/>
      <c r="DT65" s="323"/>
      <c r="DU65" s="323"/>
      <c r="DV65" s="323"/>
      <c r="DW65" s="323"/>
      <c r="DX65" s="323"/>
      <c r="DY65" s="323"/>
      <c r="DZ65" s="323"/>
      <c r="EA65" s="323"/>
      <c r="EB65" s="323"/>
      <c r="EC65" s="323"/>
      <c r="ED65" s="323"/>
      <c r="EE65" s="323"/>
      <c r="EF65" s="323"/>
      <c r="EG65" s="323"/>
      <c r="EH65" s="323"/>
      <c r="EI65" s="323"/>
      <c r="EJ65" s="323"/>
      <c r="EK65" s="323"/>
      <c r="EL65" s="323"/>
      <c r="EM65" s="323"/>
      <c r="EN65" s="323"/>
      <c r="EO65" s="323"/>
      <c r="EP65" s="323"/>
      <c r="EQ65" s="323"/>
      <c r="ER65" s="323"/>
      <c r="ES65" s="323"/>
      <c r="ET65" s="323"/>
      <c r="EU65" s="323"/>
      <c r="EV65" s="323"/>
      <c r="EW65" s="323"/>
      <c r="EX65" s="323"/>
      <c r="EY65" s="323"/>
      <c r="EZ65" s="323"/>
      <c r="FA65" s="323"/>
      <c r="FB65" s="323"/>
      <c r="FC65" s="323"/>
      <c r="FD65" s="323"/>
      <c r="FE65" s="323"/>
      <c r="FF65" s="323"/>
      <c r="FG65" s="323"/>
      <c r="FH65" s="323"/>
      <c r="FI65" s="323"/>
      <c r="FJ65" s="323"/>
      <c r="FK65" s="323"/>
      <c r="FL65" s="323"/>
      <c r="FM65" s="323"/>
      <c r="FN65" s="323"/>
      <c r="FO65" s="323"/>
      <c r="FP65" s="323"/>
      <c r="FQ65" s="323"/>
      <c r="FR65" s="323"/>
      <c r="FS65" s="323"/>
      <c r="FT65" s="323"/>
      <c r="FU65" s="323"/>
      <c r="FV65" s="323"/>
      <c r="FW65" s="323"/>
      <c r="FX65" s="323"/>
      <c r="FY65" s="323"/>
      <c r="FZ65" s="323"/>
      <c r="GA65" s="323"/>
      <c r="GB65" s="323"/>
      <c r="GC65" s="323"/>
      <c r="GD65" s="323"/>
      <c r="GE65" s="323"/>
      <c r="GF65" s="323"/>
      <c r="GG65" s="323"/>
      <c r="GH65" s="323"/>
      <c r="GI65" s="323"/>
      <c r="GJ65" s="323"/>
      <c r="GK65" s="323"/>
      <c r="GL65" s="323"/>
      <c r="GM65" s="323"/>
      <c r="GN65" s="323"/>
      <c r="GO65" s="323"/>
      <c r="GP65" s="323"/>
      <c r="GQ65" s="323"/>
      <c r="GR65" s="323"/>
      <c r="GS65" s="323"/>
      <c r="GT65" s="323"/>
      <c r="GU65" s="323"/>
      <c r="GV65" s="323"/>
      <c r="GW65" s="323"/>
      <c r="GX65" s="323"/>
      <c r="GY65" s="323"/>
      <c r="GZ65" s="323"/>
      <c r="HA65" s="323"/>
      <c r="HB65" s="323"/>
      <c r="HC65" s="323"/>
      <c r="HD65" s="323"/>
      <c r="HE65" s="323"/>
      <c r="HF65" s="323"/>
      <c r="HG65" s="323"/>
      <c r="HH65" s="323"/>
      <c r="HI65" s="323"/>
      <c r="HJ65" s="323"/>
      <c r="HK65" s="323"/>
      <c r="HL65" s="323"/>
      <c r="HM65" s="323"/>
      <c r="HN65" s="323"/>
      <c r="HO65" s="323"/>
      <c r="HP65" s="323"/>
      <c r="HQ65" s="323"/>
      <c r="HR65" s="323"/>
      <c r="HS65" s="323"/>
      <c r="HT65" s="323"/>
      <c r="HU65" s="323"/>
      <c r="HV65" s="323"/>
      <c r="HW65" s="323"/>
      <c r="HX65" s="323"/>
      <c r="HY65" s="323"/>
      <c r="HZ65" s="323"/>
      <c r="IA65" s="323"/>
      <c r="IB65" s="323"/>
      <c r="IC65" s="323"/>
      <c r="ID65" s="323"/>
      <c r="IE65" s="323"/>
      <c r="IF65" s="323"/>
      <c r="IG65" s="323"/>
      <c r="IH65" s="323"/>
      <c r="II65" s="323"/>
      <c r="IJ65" s="323"/>
      <c r="IK65" s="323"/>
      <c r="IL65" s="323"/>
      <c r="IM65" s="323"/>
      <c r="IN65" s="323"/>
      <c r="IO65" s="323"/>
      <c r="IP65" s="323"/>
      <c r="IQ65" s="323"/>
      <c r="IR65" s="323"/>
      <c r="IS65" s="323"/>
      <c r="IT65" s="323"/>
      <c r="IU65" s="323"/>
      <c r="IV65" s="323"/>
    </row>
    <row r="66" spans="1:256" ht="14.45">
      <c r="A66" s="178" t="s">
        <v>136</v>
      </c>
      <c r="B66" s="200" t="s">
        <v>194</v>
      </c>
      <c r="C66" s="151" t="s">
        <v>115</v>
      </c>
      <c r="D66" s="179" t="s">
        <v>130</v>
      </c>
      <c r="E66" s="151" t="s">
        <v>117</v>
      </c>
      <c r="F66" s="151" t="s">
        <v>131</v>
      </c>
      <c r="G66" s="152" t="str">
        <f t="shared" si="76"/>
        <v>No of Racks</v>
      </c>
      <c r="H66" s="151">
        <v>18</v>
      </c>
      <c r="I66" s="151">
        <v>18</v>
      </c>
      <c r="J66" s="180">
        <f t="shared" si="75"/>
        <v>0</v>
      </c>
      <c r="K66" s="151">
        <v>18</v>
      </c>
      <c r="L66" s="151"/>
      <c r="M66" s="181">
        <f>288889/12</f>
        <v>24074.083333333332</v>
      </c>
      <c r="N66" s="182">
        <f t="shared" ref="N66:N74" si="78">M66*12</f>
        <v>288889</v>
      </c>
      <c r="O66" s="183" t="str">
        <f t="shared" si="77"/>
        <v>Subscribed</v>
      </c>
      <c r="P66" s="151" t="s">
        <v>108</v>
      </c>
      <c r="Q66" s="151">
        <v>80</v>
      </c>
      <c r="R66" s="209">
        <v>52.7</v>
      </c>
      <c r="S66" s="185">
        <f t="shared" si="41"/>
        <v>27.299999999999997</v>
      </c>
      <c r="T66" s="151"/>
      <c r="U66" s="186">
        <f t="shared" ref="U66:U74" si="79">IF(S66&lt;=0,0,(IF(O66="Rated",(S66+T66)*$U$20,(S66+T66))))</f>
        <v>27.299999999999997</v>
      </c>
      <c r="V66" s="186">
        <f t="shared" si="6"/>
        <v>80</v>
      </c>
      <c r="W66" s="202">
        <f>R66</f>
        <v>52.7</v>
      </c>
      <c r="X66" s="186"/>
      <c r="Y66" s="83">
        <v>0</v>
      </c>
      <c r="Z66" s="189" t="str">
        <f t="shared" ref="Z66:Z71" si="80">D66</f>
        <v>Metered</v>
      </c>
      <c r="AA66" s="151">
        <v>1.7</v>
      </c>
      <c r="AB66" s="179" t="s">
        <v>132</v>
      </c>
      <c r="AC66" s="190">
        <v>8.1999999999999993</v>
      </c>
      <c r="AD66" s="147">
        <v>37508.599609375</v>
      </c>
      <c r="AE66" s="120"/>
      <c r="AF66" s="152" t="str">
        <f>IF(AE66="No of Seats","No of Seats",(IF(AE66="Space","Sq Ft","")))</f>
        <v/>
      </c>
      <c r="AG66" s="151">
        <v>3</v>
      </c>
      <c r="AH66" s="151">
        <v>3</v>
      </c>
      <c r="AI66" s="151">
        <v>0</v>
      </c>
      <c r="AJ66" s="151">
        <v>3</v>
      </c>
      <c r="AK66" s="151"/>
      <c r="AL66" s="181">
        <f>50000/12</f>
        <v>4166.666666666667</v>
      </c>
      <c r="AM66" s="83">
        <f t="shared" ref="AM66:AM74" si="81">M66*K66</f>
        <v>433333.5</v>
      </c>
      <c r="AN66" s="83">
        <f t="shared" ref="AN66:AN74" si="82">Y66*X66</f>
        <v>0</v>
      </c>
      <c r="AO66" s="83">
        <f t="shared" ref="AO66:AO74" si="83">AD66*AC66*AA66</f>
        <v>522869.87855468749</v>
      </c>
      <c r="AP66" s="83">
        <f t="shared" ref="AP66:AP74" si="84">AL66*AJ66</f>
        <v>12500</v>
      </c>
      <c r="AQ66" s="84"/>
      <c r="AR66" s="103">
        <f t="shared" ref="AR66:AR74" si="85">SUBTOTAL(9,AM66:AQ66)</f>
        <v>968703.37855468749</v>
      </c>
      <c r="AS66" s="86">
        <f t="shared" ref="AS66:AS74" si="86">AR66*12</f>
        <v>11624440.54265625</v>
      </c>
      <c r="AT66" s="85" t="s">
        <v>134</v>
      </c>
      <c r="AU66" s="69">
        <v>721004444</v>
      </c>
      <c r="AV66" s="191">
        <v>42783</v>
      </c>
      <c r="AW66" s="69">
        <v>5</v>
      </c>
      <c r="AX66" s="191">
        <v>44583</v>
      </c>
      <c r="AY66" s="69"/>
      <c r="AZ66" s="323"/>
      <c r="BA66" s="84">
        <f t="shared" ref="BA66:BA74" si="87">IF(E66="Rack",AR66/H66,0)+IF(E66="U Space",AR66*40/H66,0)+IF(E66="Space",AR66*30/H66,0)</f>
        <v>53816.854364149302</v>
      </c>
      <c r="BB66" s="84">
        <f t="shared" ref="BB66:BB74" si="88">+AR66/V66</f>
        <v>12108.792231933594</v>
      </c>
      <c r="BC66" s="84">
        <f t="shared" ref="BC66:BC74" si="89">+($AM66+$AN66+$AO66-BJ66)/$V66</f>
        <v>5222.6539812828169</v>
      </c>
      <c r="BD66" s="84">
        <f t="shared" ref="BD66:BD74" si="90">+($AM66+$AN66+$AO66-BK66)/$V66</f>
        <v>5222.6539812828169</v>
      </c>
      <c r="BE66" s="84">
        <f t="shared" ref="BE66:BE74" si="91">+($AM66+$AN66+IF(D66="Bundled",0,V66*0.85*AA66*AC66*30.5*24)-BL66)/$V66</f>
        <v>5230.916549999999</v>
      </c>
      <c r="BF66" s="84"/>
      <c r="BG66" s="90">
        <f t="shared" ref="BG66:BG74" si="92">+AM66+AN66+AO66</f>
        <v>956203.37855468749</v>
      </c>
      <c r="BH66" s="90">
        <f t="shared" ref="BH66:BH74" si="93">+BG66-BI66</f>
        <v>433333.5</v>
      </c>
      <c r="BI66" s="90">
        <f t="shared" ref="BI66:BI74" si="94">IF(D66="Bundled",MIN(V66*$AD$20*(1+$K$2),BG66),AO66)</f>
        <v>522869.87855468749</v>
      </c>
      <c r="BJ66" s="91">
        <f t="shared" ref="BJ66:BJ74" si="95">IF($AD66&gt;0,$AD66*$AA$20*$AC$20*(1+$AF$20*(20/$AC$20)/732),$AD$20*W66)</f>
        <v>538391.06005206215</v>
      </c>
      <c r="BK66" s="91">
        <f t="shared" ref="BK66:BK74" si="96">IF($AD66&gt;0,$AD66*$AA$20*$AC$20*(1+$AF$20*(20/$AC$20)/732),+$AD$20*(W66+U66))</f>
        <v>538391.06005206215</v>
      </c>
      <c r="BL66" s="91">
        <f t="shared" si="61"/>
        <v>708737.61600000004</v>
      </c>
      <c r="BM66" s="91">
        <f t="shared" ref="BM66:BM74" si="97">+BC66*V66</f>
        <v>417812.31850262533</v>
      </c>
      <c r="BN66" s="91">
        <f t="shared" si="63"/>
        <v>480000</v>
      </c>
      <c r="BO66" s="91">
        <f t="shared" ref="BO66:BO74" si="98">+BH66-BN66</f>
        <v>-46666.5</v>
      </c>
      <c r="BP66" s="91">
        <f t="shared" ref="BP66:BP74" si="99">+BI66-BJ66</f>
        <v>-15521.181497374666</v>
      </c>
      <c r="BQ66" s="91">
        <f t="shared" ref="BQ66:BQ74" si="100">+BO66+BP66</f>
        <v>-62187.681497374666</v>
      </c>
      <c r="BR66" s="91">
        <f t="shared" si="67"/>
        <v>80</v>
      </c>
      <c r="BS66" s="91">
        <f t="shared" ref="BS66:BS74" si="101">+BC66</f>
        <v>5222.6539812828169</v>
      </c>
      <c r="BT66" s="91">
        <f t="shared" ref="BT66:BT74" si="102">IF(D66="Bundled",BL66-BJ66,AO66-BJ66)</f>
        <v>-15521.181497374666</v>
      </c>
      <c r="BU66" s="91">
        <f t="shared" ref="BU66:BU74" si="103">IF(D66="Bundled",+(BE66-$J$2)*V66,(AM66+AN66)-V66*$J$2)</f>
        <v>-46666.5</v>
      </c>
      <c r="BV66" s="91">
        <f t="shared" ref="BV66:BV74" si="104">+BT66+BU66</f>
        <v>-62187.681497374666</v>
      </c>
      <c r="BW66" s="91">
        <f t="shared" ref="BW66:BW74" si="105">+BT66/$BR66</f>
        <v>-194.01476871718333</v>
      </c>
      <c r="BX66" s="91">
        <f t="shared" ref="BX66:BX74" si="106">+BU66/$BR66</f>
        <v>-583.33124999999995</v>
      </c>
      <c r="BY66" s="91">
        <f t="shared" ref="BY66:BY74" si="107">+BV66/$BR66</f>
        <v>-777.34601871718337</v>
      </c>
      <c r="BZ66" s="323"/>
      <c r="CA66" s="323"/>
      <c r="CB66" s="323"/>
      <c r="CC66" s="323"/>
      <c r="CD66" s="323"/>
      <c r="CE66" s="323"/>
      <c r="CF66" s="323"/>
      <c r="CG66" s="323"/>
      <c r="CH66" s="323"/>
      <c r="CI66" s="323"/>
      <c r="CJ66" s="323"/>
      <c r="CK66" s="323"/>
      <c r="CL66" s="323"/>
      <c r="CM66" s="323"/>
      <c r="CN66" s="323"/>
      <c r="CO66" s="323"/>
      <c r="CP66" s="323"/>
      <c r="CQ66" s="323"/>
      <c r="CR66" s="323"/>
      <c r="CS66" s="323"/>
      <c r="CT66" s="323"/>
      <c r="CU66" s="323"/>
      <c r="CV66" s="323"/>
      <c r="CW66" s="323"/>
      <c r="CX66" s="323"/>
      <c r="CY66" s="323"/>
      <c r="CZ66" s="323"/>
      <c r="DA66" s="323"/>
      <c r="DB66" s="323"/>
      <c r="DC66" s="323"/>
      <c r="DD66" s="323"/>
      <c r="DE66" s="323"/>
      <c r="DF66" s="323"/>
      <c r="DG66" s="323"/>
      <c r="DH66" s="323"/>
      <c r="DI66" s="323"/>
      <c r="DJ66" s="323"/>
      <c r="DK66" s="323"/>
      <c r="DL66" s="323"/>
      <c r="DM66" s="323"/>
      <c r="DN66" s="323"/>
      <c r="DO66" s="323"/>
      <c r="DP66" s="323"/>
      <c r="DQ66" s="323"/>
      <c r="DR66" s="323"/>
      <c r="DS66" s="323"/>
      <c r="DT66" s="323"/>
      <c r="DU66" s="323"/>
      <c r="DV66" s="323"/>
      <c r="DW66" s="323"/>
      <c r="DX66" s="323"/>
      <c r="DY66" s="323"/>
      <c r="DZ66" s="323"/>
      <c r="EA66" s="323"/>
      <c r="EB66" s="323"/>
      <c r="EC66" s="323"/>
      <c r="ED66" s="323"/>
      <c r="EE66" s="323"/>
      <c r="EF66" s="323"/>
      <c r="EG66" s="323"/>
      <c r="EH66" s="323"/>
      <c r="EI66" s="323"/>
      <c r="EJ66" s="323"/>
      <c r="EK66" s="323"/>
      <c r="EL66" s="323"/>
      <c r="EM66" s="323"/>
      <c r="EN66" s="323"/>
      <c r="EO66" s="323"/>
      <c r="EP66" s="323"/>
      <c r="EQ66" s="323"/>
      <c r="ER66" s="323"/>
      <c r="ES66" s="323"/>
      <c r="ET66" s="323"/>
      <c r="EU66" s="323"/>
      <c r="EV66" s="323"/>
      <c r="EW66" s="323"/>
      <c r="EX66" s="323"/>
      <c r="EY66" s="323"/>
      <c r="EZ66" s="323"/>
      <c r="FA66" s="323"/>
      <c r="FB66" s="323"/>
      <c r="FC66" s="323"/>
      <c r="FD66" s="323"/>
      <c r="FE66" s="323"/>
      <c r="FF66" s="323"/>
      <c r="FG66" s="323"/>
      <c r="FH66" s="323"/>
      <c r="FI66" s="323"/>
      <c r="FJ66" s="323"/>
      <c r="FK66" s="323"/>
      <c r="FL66" s="323"/>
      <c r="FM66" s="323"/>
      <c r="FN66" s="323"/>
      <c r="FO66" s="323"/>
      <c r="FP66" s="323"/>
      <c r="FQ66" s="323"/>
      <c r="FR66" s="323"/>
      <c r="FS66" s="323"/>
      <c r="FT66" s="323"/>
      <c r="FU66" s="323"/>
      <c r="FV66" s="323"/>
      <c r="FW66" s="323"/>
      <c r="FX66" s="323"/>
      <c r="FY66" s="323"/>
      <c r="FZ66" s="323"/>
      <c r="GA66" s="323"/>
      <c r="GB66" s="323"/>
      <c r="GC66" s="323"/>
      <c r="GD66" s="323"/>
      <c r="GE66" s="323"/>
      <c r="GF66" s="323"/>
      <c r="GG66" s="323"/>
      <c r="GH66" s="323"/>
      <c r="GI66" s="323"/>
      <c r="GJ66" s="323"/>
      <c r="GK66" s="323"/>
      <c r="GL66" s="323"/>
      <c r="GM66" s="323"/>
      <c r="GN66" s="323"/>
      <c r="GO66" s="323"/>
      <c r="GP66" s="323"/>
      <c r="GQ66" s="323"/>
      <c r="GR66" s="323"/>
      <c r="GS66" s="323"/>
      <c r="GT66" s="323"/>
      <c r="GU66" s="323"/>
      <c r="GV66" s="323"/>
      <c r="GW66" s="323"/>
      <c r="GX66" s="323"/>
      <c r="GY66" s="323"/>
      <c r="GZ66" s="323"/>
      <c r="HA66" s="323"/>
      <c r="HB66" s="323"/>
      <c r="HC66" s="323"/>
      <c r="HD66" s="323"/>
      <c r="HE66" s="323"/>
      <c r="HF66" s="323"/>
      <c r="HG66" s="323"/>
      <c r="HH66" s="323"/>
      <c r="HI66" s="323"/>
      <c r="HJ66" s="323"/>
      <c r="HK66" s="323"/>
      <c r="HL66" s="323"/>
      <c r="HM66" s="323"/>
      <c r="HN66" s="323"/>
      <c r="HO66" s="323"/>
      <c r="HP66" s="323"/>
      <c r="HQ66" s="323"/>
      <c r="HR66" s="323"/>
      <c r="HS66" s="323"/>
      <c r="HT66" s="323"/>
      <c r="HU66" s="323"/>
      <c r="HV66" s="323"/>
      <c r="HW66" s="323"/>
      <c r="HX66" s="323"/>
      <c r="HY66" s="323"/>
      <c r="HZ66" s="323"/>
      <c r="IA66" s="323"/>
      <c r="IB66" s="323"/>
      <c r="IC66" s="323"/>
      <c r="ID66" s="323"/>
      <c r="IE66" s="323"/>
      <c r="IF66" s="323"/>
      <c r="IG66" s="323"/>
      <c r="IH66" s="323"/>
      <c r="II66" s="323"/>
      <c r="IJ66" s="323"/>
      <c r="IK66" s="323"/>
      <c r="IL66" s="323"/>
      <c r="IM66" s="323"/>
      <c r="IN66" s="323"/>
      <c r="IO66" s="323"/>
      <c r="IP66" s="323"/>
      <c r="IQ66" s="323"/>
      <c r="IR66" s="323"/>
      <c r="IS66" s="323"/>
      <c r="IT66" s="323"/>
      <c r="IU66" s="323"/>
      <c r="IV66" s="323"/>
    </row>
    <row r="67" spans="1:256" ht="14.45">
      <c r="A67" s="242" t="s">
        <v>122</v>
      </c>
      <c r="B67" s="243" t="s">
        <v>195</v>
      </c>
      <c r="C67" s="243" t="s">
        <v>124</v>
      </c>
      <c r="D67" s="244" t="s">
        <v>116</v>
      </c>
      <c r="E67" s="243" t="s">
        <v>117</v>
      </c>
      <c r="F67" s="243" t="s">
        <v>118</v>
      </c>
      <c r="G67" s="154" t="str">
        <f t="shared" si="76"/>
        <v>No of Racks</v>
      </c>
      <c r="H67" s="243">
        <v>2</v>
      </c>
      <c r="I67" s="243">
        <v>2</v>
      </c>
      <c r="J67" s="180">
        <f t="shared" si="75"/>
        <v>0</v>
      </c>
      <c r="K67" s="243">
        <v>2</v>
      </c>
      <c r="L67" s="243"/>
      <c r="M67" s="245">
        <f>(475000*2)/12</f>
        <v>79166.666666666672</v>
      </c>
      <c r="N67" s="104">
        <f t="shared" si="78"/>
        <v>950000</v>
      </c>
      <c r="O67" s="246" t="str">
        <f t="shared" si="77"/>
        <v>Rated</v>
      </c>
      <c r="P67" s="243" t="s">
        <v>125</v>
      </c>
      <c r="Q67" s="243">
        <v>8</v>
      </c>
      <c r="R67" s="247">
        <v>0</v>
      </c>
      <c r="S67" s="248">
        <f t="shared" si="41"/>
        <v>8</v>
      </c>
      <c r="T67" s="249"/>
      <c r="U67" s="186">
        <f t="shared" si="79"/>
        <v>4</v>
      </c>
      <c r="V67" s="249">
        <v>4.3499999999999996</v>
      </c>
      <c r="W67" s="202">
        <f>R67</f>
        <v>0</v>
      </c>
      <c r="X67" s="186"/>
      <c r="Y67" s="104">
        <f>(90000+100000)/12</f>
        <v>15833.333333333334</v>
      </c>
      <c r="Z67" s="250" t="str">
        <f t="shared" si="80"/>
        <v>Bundled</v>
      </c>
      <c r="AA67" s="249"/>
      <c r="AB67" s="249"/>
      <c r="AC67" s="190"/>
      <c r="AD67" s="193"/>
      <c r="AE67" s="137"/>
      <c r="AF67" s="154" t="str">
        <f>IF(AE67="No of Seats","No of Seats",(IF(AE67="Space","Sq Ft","")))</f>
        <v/>
      </c>
      <c r="AG67" s="249"/>
      <c r="AH67" s="249"/>
      <c r="AI67" s="249"/>
      <c r="AJ67" s="249"/>
      <c r="AK67" s="249"/>
      <c r="AL67" s="245"/>
      <c r="AM67" s="104">
        <f t="shared" si="81"/>
        <v>158333.33333333334</v>
      </c>
      <c r="AN67" s="104">
        <f t="shared" si="82"/>
        <v>0</v>
      </c>
      <c r="AO67" s="104">
        <f t="shared" si="83"/>
        <v>0</v>
      </c>
      <c r="AP67" s="104">
        <f t="shared" si="84"/>
        <v>0</v>
      </c>
      <c r="AQ67" s="105">
        <f>(40000)/12</f>
        <v>3333.3333333333335</v>
      </c>
      <c r="AR67" s="103">
        <f t="shared" si="85"/>
        <v>0</v>
      </c>
      <c r="AS67" s="103">
        <f t="shared" si="86"/>
        <v>0</v>
      </c>
      <c r="AT67" s="103" t="s">
        <v>119</v>
      </c>
      <c r="AU67" s="106">
        <v>721005672</v>
      </c>
      <c r="AV67" s="251">
        <v>43070</v>
      </c>
      <c r="AW67" s="106">
        <v>1</v>
      </c>
      <c r="AX67" s="251">
        <v>43405</v>
      </c>
      <c r="AY67" s="106"/>
      <c r="AZ67" s="323"/>
      <c r="BA67" s="107">
        <f t="shared" si="87"/>
        <v>0</v>
      </c>
      <c r="BB67" s="107">
        <f t="shared" si="88"/>
        <v>0</v>
      </c>
      <c r="BC67" s="107">
        <f t="shared" si="89"/>
        <v>36398.467432950194</v>
      </c>
      <c r="BD67" s="107">
        <f t="shared" si="90"/>
        <v>26814.456398467435</v>
      </c>
      <c r="BE67" s="107">
        <f t="shared" si="91"/>
        <v>25975.855432950197</v>
      </c>
      <c r="BF67" s="107"/>
      <c r="BG67" s="252">
        <f t="shared" si="92"/>
        <v>158333.33333333334</v>
      </c>
      <c r="BH67" s="252">
        <f t="shared" si="93"/>
        <v>112994.97113333334</v>
      </c>
      <c r="BI67" s="252">
        <f t="shared" si="94"/>
        <v>45338.362200000003</v>
      </c>
      <c r="BJ67" s="108">
        <f t="shared" si="95"/>
        <v>0</v>
      </c>
      <c r="BK67" s="108">
        <f t="shared" si="96"/>
        <v>41690.448000000004</v>
      </c>
      <c r="BL67" s="108">
        <f t="shared" si="61"/>
        <v>45338.362200000003</v>
      </c>
      <c r="BM67" s="108">
        <f t="shared" si="97"/>
        <v>158333.33333333334</v>
      </c>
      <c r="BN67" s="108">
        <f t="shared" si="63"/>
        <v>26099.999999999996</v>
      </c>
      <c r="BO67" s="108">
        <f t="shared" si="98"/>
        <v>86894.97113333334</v>
      </c>
      <c r="BP67" s="108">
        <f t="shared" si="99"/>
        <v>45338.362200000003</v>
      </c>
      <c r="BQ67" s="108">
        <f t="shared" si="100"/>
        <v>132233.33333333334</v>
      </c>
      <c r="BR67" s="108">
        <f t="shared" si="67"/>
        <v>4.3499999999999996</v>
      </c>
      <c r="BS67" s="108">
        <f t="shared" si="101"/>
        <v>36398.467432950194</v>
      </c>
      <c r="BT67" s="108">
        <f t="shared" si="102"/>
        <v>45338.362200000003</v>
      </c>
      <c r="BU67" s="108">
        <f t="shared" si="103"/>
        <v>86894.971133333354</v>
      </c>
      <c r="BV67" s="108">
        <f t="shared" si="104"/>
        <v>132233.33333333337</v>
      </c>
      <c r="BW67" s="108">
        <f t="shared" si="105"/>
        <v>10422.612000000001</v>
      </c>
      <c r="BX67" s="108">
        <f t="shared" si="106"/>
        <v>19975.855432950197</v>
      </c>
      <c r="BY67" s="108">
        <f t="shared" si="107"/>
        <v>30398.467432950201</v>
      </c>
      <c r="BZ67" s="323"/>
      <c r="CA67" s="323"/>
      <c r="CB67" s="323"/>
      <c r="CC67" s="323"/>
      <c r="CD67" s="323"/>
      <c r="CE67" s="323"/>
      <c r="CF67" s="323"/>
      <c r="CG67" s="323"/>
      <c r="CH67" s="323"/>
      <c r="CI67" s="323"/>
      <c r="CJ67" s="323"/>
      <c r="CK67" s="323"/>
      <c r="CL67" s="323"/>
      <c r="CM67" s="323"/>
      <c r="CN67" s="323"/>
      <c r="CO67" s="323"/>
      <c r="CP67" s="323"/>
      <c r="CQ67" s="323"/>
      <c r="CR67" s="323"/>
      <c r="CS67" s="323"/>
      <c r="CT67" s="323"/>
      <c r="CU67" s="323"/>
      <c r="CV67" s="323"/>
      <c r="CW67" s="323"/>
      <c r="CX67" s="323"/>
      <c r="CY67" s="323"/>
      <c r="CZ67" s="323"/>
      <c r="DA67" s="323"/>
      <c r="DB67" s="323"/>
      <c r="DC67" s="323"/>
      <c r="DD67" s="323"/>
      <c r="DE67" s="323"/>
      <c r="DF67" s="323"/>
      <c r="DG67" s="323"/>
      <c r="DH67" s="323"/>
      <c r="DI67" s="323"/>
      <c r="DJ67" s="323"/>
      <c r="DK67" s="323"/>
      <c r="DL67" s="323"/>
      <c r="DM67" s="323"/>
      <c r="DN67" s="323"/>
      <c r="DO67" s="323"/>
      <c r="DP67" s="323"/>
      <c r="DQ67" s="323"/>
      <c r="DR67" s="323"/>
      <c r="DS67" s="323"/>
      <c r="DT67" s="323"/>
      <c r="DU67" s="323"/>
      <c r="DV67" s="323"/>
      <c r="DW67" s="323"/>
      <c r="DX67" s="323"/>
      <c r="DY67" s="323"/>
      <c r="DZ67" s="323"/>
      <c r="EA67" s="323"/>
      <c r="EB67" s="323"/>
      <c r="EC67" s="323"/>
      <c r="ED67" s="323"/>
      <c r="EE67" s="323"/>
      <c r="EF67" s="323"/>
      <c r="EG67" s="323"/>
      <c r="EH67" s="323"/>
      <c r="EI67" s="323"/>
      <c r="EJ67" s="323"/>
      <c r="EK67" s="323"/>
      <c r="EL67" s="323"/>
      <c r="EM67" s="323"/>
      <c r="EN67" s="323"/>
      <c r="EO67" s="323"/>
      <c r="EP67" s="323"/>
      <c r="EQ67" s="323"/>
      <c r="ER67" s="323"/>
      <c r="ES67" s="323"/>
      <c r="ET67" s="323"/>
      <c r="EU67" s="323"/>
      <c r="EV67" s="323"/>
      <c r="EW67" s="323"/>
      <c r="EX67" s="323"/>
      <c r="EY67" s="323"/>
      <c r="EZ67" s="323"/>
      <c r="FA67" s="323"/>
      <c r="FB67" s="323"/>
      <c r="FC67" s="323"/>
      <c r="FD67" s="323"/>
      <c r="FE67" s="323"/>
      <c r="FF67" s="323"/>
      <c r="FG67" s="323"/>
      <c r="FH67" s="323"/>
      <c r="FI67" s="323"/>
      <c r="FJ67" s="323"/>
      <c r="FK67" s="323"/>
      <c r="FL67" s="323"/>
      <c r="FM67" s="323"/>
      <c r="FN67" s="323"/>
      <c r="FO67" s="323"/>
      <c r="FP67" s="323"/>
      <c r="FQ67" s="323"/>
      <c r="FR67" s="323"/>
      <c r="FS67" s="323"/>
      <c r="FT67" s="323"/>
      <c r="FU67" s="323"/>
      <c r="FV67" s="323"/>
      <c r="FW67" s="323"/>
      <c r="FX67" s="323"/>
      <c r="FY67" s="323"/>
      <c r="FZ67" s="323"/>
      <c r="GA67" s="323"/>
      <c r="GB67" s="323"/>
      <c r="GC67" s="323"/>
      <c r="GD67" s="323"/>
      <c r="GE67" s="323"/>
      <c r="GF67" s="323"/>
      <c r="GG67" s="323"/>
      <c r="GH67" s="323"/>
      <c r="GI67" s="323"/>
      <c r="GJ67" s="323"/>
      <c r="GK67" s="323"/>
      <c r="GL67" s="323"/>
      <c r="GM67" s="323"/>
      <c r="GN67" s="323"/>
      <c r="GO67" s="323"/>
      <c r="GP67" s="323"/>
      <c r="GQ67" s="323"/>
      <c r="GR67" s="323"/>
      <c r="GS67" s="323"/>
      <c r="GT67" s="323"/>
      <c r="GU67" s="323"/>
      <c r="GV67" s="323"/>
      <c r="GW67" s="323"/>
      <c r="GX67" s="323"/>
      <c r="GY67" s="323"/>
      <c r="GZ67" s="323"/>
      <c r="HA67" s="323"/>
      <c r="HB67" s="323"/>
      <c r="HC67" s="323"/>
      <c r="HD67" s="323"/>
      <c r="HE67" s="323"/>
      <c r="HF67" s="323"/>
      <c r="HG67" s="323"/>
      <c r="HH67" s="323"/>
      <c r="HI67" s="323"/>
      <c r="HJ67" s="323"/>
      <c r="HK67" s="323"/>
      <c r="HL67" s="323"/>
      <c r="HM67" s="323"/>
      <c r="HN67" s="323"/>
      <c r="HO67" s="323"/>
      <c r="HP67" s="323"/>
      <c r="HQ67" s="323"/>
      <c r="HR67" s="323"/>
      <c r="HS67" s="323"/>
      <c r="HT67" s="323"/>
      <c r="HU67" s="323"/>
      <c r="HV67" s="323"/>
      <c r="HW67" s="323"/>
      <c r="HX67" s="323"/>
      <c r="HY67" s="323"/>
      <c r="HZ67" s="323"/>
      <c r="IA67" s="323"/>
      <c r="IB67" s="323"/>
      <c r="IC67" s="323"/>
      <c r="ID67" s="323"/>
      <c r="IE67" s="323"/>
      <c r="IF67" s="323"/>
      <c r="IG67" s="323"/>
      <c r="IH67" s="323"/>
      <c r="II67" s="323"/>
      <c r="IJ67" s="323"/>
      <c r="IK67" s="323"/>
      <c r="IL67" s="323"/>
      <c r="IM67" s="323"/>
      <c r="IN67" s="323"/>
      <c r="IO67" s="323"/>
      <c r="IP67" s="323"/>
      <c r="IQ67" s="323"/>
      <c r="IR67" s="323"/>
      <c r="IS67" s="323"/>
      <c r="IT67" s="323"/>
      <c r="IU67" s="323"/>
      <c r="IV67" s="323"/>
    </row>
    <row r="68" spans="1:256" ht="14.45">
      <c r="A68" s="242" t="s">
        <v>122</v>
      </c>
      <c r="B68" s="243" t="s">
        <v>196</v>
      </c>
      <c r="C68" s="243" t="s">
        <v>124</v>
      </c>
      <c r="D68" s="244" t="s">
        <v>116</v>
      </c>
      <c r="E68" s="243" t="s">
        <v>117</v>
      </c>
      <c r="F68" s="243" t="s">
        <v>118</v>
      </c>
      <c r="G68" s="154" t="str">
        <f t="shared" si="76"/>
        <v>No of Racks</v>
      </c>
      <c r="H68" s="243">
        <v>1</v>
      </c>
      <c r="I68" s="243">
        <v>1</v>
      </c>
      <c r="J68" s="180">
        <f t="shared" si="75"/>
        <v>0</v>
      </c>
      <c r="K68" s="243">
        <v>1</v>
      </c>
      <c r="L68" s="243"/>
      <c r="M68" s="245">
        <f>420000/12</f>
        <v>35000</v>
      </c>
      <c r="N68" s="104">
        <f t="shared" si="78"/>
        <v>420000</v>
      </c>
      <c r="O68" s="246" t="str">
        <f t="shared" si="77"/>
        <v>Rated</v>
      </c>
      <c r="P68" s="243" t="s">
        <v>125</v>
      </c>
      <c r="Q68" s="243">
        <v>3</v>
      </c>
      <c r="R68" s="247">
        <v>4.6900000000000004</v>
      </c>
      <c r="S68" s="248">
        <f t="shared" si="41"/>
        <v>-1.6900000000000004</v>
      </c>
      <c r="T68" s="249"/>
      <c r="U68" s="186">
        <f t="shared" si="79"/>
        <v>0</v>
      </c>
      <c r="V68" s="249">
        <f t="shared" ref="V68:V74" si="108">IF(O68="Rated",Q68*$U$20,Q68)</f>
        <v>1.5</v>
      </c>
      <c r="W68" s="202">
        <f>R68</f>
        <v>4.6900000000000004</v>
      </c>
      <c r="X68" s="186"/>
      <c r="Y68" s="104">
        <f>90000/12</f>
        <v>7500</v>
      </c>
      <c r="Z68" s="250" t="str">
        <f t="shared" si="80"/>
        <v>Bundled</v>
      </c>
      <c r="AA68" s="249"/>
      <c r="AB68" s="249"/>
      <c r="AC68" s="190"/>
      <c r="AD68" s="193"/>
      <c r="AE68" s="137"/>
      <c r="AF68" s="154" t="str">
        <f>IF(AE68="No of Seats","No of Seats",(IF(AE68="Space","Sq Ft","")))</f>
        <v/>
      </c>
      <c r="AG68" s="249"/>
      <c r="AH68" s="249"/>
      <c r="AI68" s="249"/>
      <c r="AJ68" s="249"/>
      <c r="AK68" s="249"/>
      <c r="AL68" s="245"/>
      <c r="AM68" s="104">
        <f t="shared" si="81"/>
        <v>35000</v>
      </c>
      <c r="AN68" s="104">
        <f t="shared" si="82"/>
        <v>0</v>
      </c>
      <c r="AO68" s="104">
        <f t="shared" si="83"/>
        <v>0</v>
      </c>
      <c r="AP68" s="104">
        <f t="shared" si="84"/>
        <v>0</v>
      </c>
      <c r="AQ68" s="105">
        <f>(40000)/12</f>
        <v>3333.3333333333335</v>
      </c>
      <c r="AR68" s="103">
        <f t="shared" si="85"/>
        <v>0</v>
      </c>
      <c r="AS68" s="103">
        <f t="shared" si="86"/>
        <v>0</v>
      </c>
      <c r="AT68" s="103" t="s">
        <v>119</v>
      </c>
      <c r="AU68" s="106" t="s">
        <v>197</v>
      </c>
      <c r="AV68" s="251">
        <v>43101</v>
      </c>
      <c r="AW68" s="106">
        <v>1</v>
      </c>
      <c r="AX68" s="251">
        <v>43452</v>
      </c>
      <c r="AY68" s="106" t="s">
        <v>198</v>
      </c>
      <c r="AZ68" s="323"/>
      <c r="BA68" s="107">
        <f t="shared" si="87"/>
        <v>0</v>
      </c>
      <c r="BB68" s="107">
        <f t="shared" si="88"/>
        <v>0</v>
      </c>
      <c r="BC68" s="107">
        <f t="shared" si="89"/>
        <v>-9254.7001866666742</v>
      </c>
      <c r="BD68" s="107">
        <f t="shared" si="90"/>
        <v>-9254.7001866666742</v>
      </c>
      <c r="BE68" s="107">
        <f t="shared" si="91"/>
        <v>12910.721333333333</v>
      </c>
      <c r="BF68" s="107"/>
      <c r="BG68" s="252">
        <f t="shared" si="92"/>
        <v>35000</v>
      </c>
      <c r="BH68" s="252">
        <f t="shared" si="93"/>
        <v>19366.081999999999</v>
      </c>
      <c r="BI68" s="252">
        <f t="shared" si="94"/>
        <v>15633.918000000001</v>
      </c>
      <c r="BJ68" s="108">
        <f t="shared" si="95"/>
        <v>48882.05028000001</v>
      </c>
      <c r="BK68" s="108">
        <f t="shared" si="96"/>
        <v>48882.05028000001</v>
      </c>
      <c r="BL68" s="108">
        <f t="shared" si="61"/>
        <v>15633.918000000001</v>
      </c>
      <c r="BM68" s="108">
        <f t="shared" si="97"/>
        <v>-13882.05028000001</v>
      </c>
      <c r="BN68" s="108">
        <f t="shared" si="63"/>
        <v>9000</v>
      </c>
      <c r="BO68" s="108">
        <f t="shared" si="98"/>
        <v>10366.081999999999</v>
      </c>
      <c r="BP68" s="108">
        <f t="shared" si="99"/>
        <v>-33248.132280000005</v>
      </c>
      <c r="BQ68" s="108">
        <f t="shared" si="100"/>
        <v>-22882.050280000007</v>
      </c>
      <c r="BR68" s="108">
        <f t="shared" si="67"/>
        <v>1.5</v>
      </c>
      <c r="BS68" s="108">
        <f t="shared" si="101"/>
        <v>-9254.7001866666742</v>
      </c>
      <c r="BT68" s="108">
        <f t="shared" si="102"/>
        <v>-33248.132280000005</v>
      </c>
      <c r="BU68" s="108">
        <f t="shared" si="103"/>
        <v>10366.081999999999</v>
      </c>
      <c r="BV68" s="108">
        <f t="shared" si="104"/>
        <v>-22882.050280000007</v>
      </c>
      <c r="BW68" s="108">
        <f t="shared" si="105"/>
        <v>-22165.421520000004</v>
      </c>
      <c r="BX68" s="108">
        <f t="shared" si="106"/>
        <v>6910.721333333332</v>
      </c>
      <c r="BY68" s="108">
        <f t="shared" si="107"/>
        <v>-15254.700186666671</v>
      </c>
      <c r="BZ68" s="323"/>
      <c r="CA68" s="323"/>
      <c r="CB68" s="323"/>
      <c r="CC68" s="323"/>
      <c r="CD68" s="323"/>
      <c r="CE68" s="323"/>
      <c r="CF68" s="323"/>
      <c r="CG68" s="323"/>
      <c r="CH68" s="323"/>
      <c r="CI68" s="323"/>
      <c r="CJ68" s="323"/>
      <c r="CK68" s="323"/>
      <c r="CL68" s="323"/>
      <c r="CM68" s="323"/>
      <c r="CN68" s="323"/>
      <c r="CO68" s="323"/>
      <c r="CP68" s="323"/>
      <c r="CQ68" s="323"/>
      <c r="CR68" s="323"/>
      <c r="CS68" s="323"/>
      <c r="CT68" s="323"/>
      <c r="CU68" s="323"/>
      <c r="CV68" s="323"/>
      <c r="CW68" s="323"/>
      <c r="CX68" s="323"/>
      <c r="CY68" s="323"/>
      <c r="CZ68" s="323"/>
      <c r="DA68" s="323"/>
      <c r="DB68" s="323"/>
      <c r="DC68" s="323"/>
      <c r="DD68" s="323"/>
      <c r="DE68" s="323"/>
      <c r="DF68" s="323"/>
      <c r="DG68" s="323"/>
      <c r="DH68" s="323"/>
      <c r="DI68" s="323"/>
      <c r="DJ68" s="323"/>
      <c r="DK68" s="323"/>
      <c r="DL68" s="323"/>
      <c r="DM68" s="323"/>
      <c r="DN68" s="323"/>
      <c r="DO68" s="323"/>
      <c r="DP68" s="323"/>
      <c r="DQ68" s="323"/>
      <c r="DR68" s="323"/>
      <c r="DS68" s="323"/>
      <c r="DT68" s="323"/>
      <c r="DU68" s="323"/>
      <c r="DV68" s="323"/>
      <c r="DW68" s="323"/>
      <c r="DX68" s="323"/>
      <c r="DY68" s="323"/>
      <c r="DZ68" s="323"/>
      <c r="EA68" s="323"/>
      <c r="EB68" s="323"/>
      <c r="EC68" s="323"/>
      <c r="ED68" s="323"/>
      <c r="EE68" s="323"/>
      <c r="EF68" s="323"/>
      <c r="EG68" s="323"/>
      <c r="EH68" s="323"/>
      <c r="EI68" s="323"/>
      <c r="EJ68" s="323"/>
      <c r="EK68" s="323"/>
      <c r="EL68" s="323"/>
      <c r="EM68" s="323"/>
      <c r="EN68" s="323"/>
      <c r="EO68" s="323"/>
      <c r="EP68" s="323"/>
      <c r="EQ68" s="323"/>
      <c r="ER68" s="323"/>
      <c r="ES68" s="323"/>
      <c r="ET68" s="323"/>
      <c r="EU68" s="323"/>
      <c r="EV68" s="323"/>
      <c r="EW68" s="323"/>
      <c r="EX68" s="323"/>
      <c r="EY68" s="323"/>
      <c r="EZ68" s="323"/>
      <c r="FA68" s="323"/>
      <c r="FB68" s="323"/>
      <c r="FC68" s="323"/>
      <c r="FD68" s="323"/>
      <c r="FE68" s="323"/>
      <c r="FF68" s="323"/>
      <c r="FG68" s="323"/>
      <c r="FH68" s="323"/>
      <c r="FI68" s="323"/>
      <c r="FJ68" s="323"/>
      <c r="FK68" s="323"/>
      <c r="FL68" s="323"/>
      <c r="FM68" s="323"/>
      <c r="FN68" s="323"/>
      <c r="FO68" s="323"/>
      <c r="FP68" s="323"/>
      <c r="FQ68" s="323"/>
      <c r="FR68" s="323"/>
      <c r="FS68" s="323"/>
      <c r="FT68" s="323"/>
      <c r="FU68" s="323"/>
      <c r="FV68" s="323"/>
      <c r="FW68" s="323"/>
      <c r="FX68" s="323"/>
      <c r="FY68" s="323"/>
      <c r="FZ68" s="323"/>
      <c r="GA68" s="323"/>
      <c r="GB68" s="323"/>
      <c r="GC68" s="323"/>
      <c r="GD68" s="323"/>
      <c r="GE68" s="323"/>
      <c r="GF68" s="323"/>
      <c r="GG68" s="323"/>
      <c r="GH68" s="323"/>
      <c r="GI68" s="323"/>
      <c r="GJ68" s="323"/>
      <c r="GK68" s="323"/>
      <c r="GL68" s="323"/>
      <c r="GM68" s="323"/>
      <c r="GN68" s="323"/>
      <c r="GO68" s="323"/>
      <c r="GP68" s="323"/>
      <c r="GQ68" s="323"/>
      <c r="GR68" s="323"/>
      <c r="GS68" s="323"/>
      <c r="GT68" s="323"/>
      <c r="GU68" s="323"/>
      <c r="GV68" s="323"/>
      <c r="GW68" s="323"/>
      <c r="GX68" s="323"/>
      <c r="GY68" s="323"/>
      <c r="GZ68" s="323"/>
      <c r="HA68" s="323"/>
      <c r="HB68" s="323"/>
      <c r="HC68" s="323"/>
      <c r="HD68" s="323"/>
      <c r="HE68" s="323"/>
      <c r="HF68" s="323"/>
      <c r="HG68" s="323"/>
      <c r="HH68" s="323"/>
      <c r="HI68" s="323"/>
      <c r="HJ68" s="323"/>
      <c r="HK68" s="323"/>
      <c r="HL68" s="323"/>
      <c r="HM68" s="323"/>
      <c r="HN68" s="323"/>
      <c r="HO68" s="323"/>
      <c r="HP68" s="323"/>
      <c r="HQ68" s="323"/>
      <c r="HR68" s="323"/>
      <c r="HS68" s="323"/>
      <c r="HT68" s="323"/>
      <c r="HU68" s="323"/>
      <c r="HV68" s="323"/>
      <c r="HW68" s="323"/>
      <c r="HX68" s="323"/>
      <c r="HY68" s="323"/>
      <c r="HZ68" s="323"/>
      <c r="IA68" s="323"/>
      <c r="IB68" s="323"/>
      <c r="IC68" s="323"/>
      <c r="ID68" s="323"/>
      <c r="IE68" s="323"/>
      <c r="IF68" s="323"/>
      <c r="IG68" s="323"/>
      <c r="IH68" s="323"/>
      <c r="II68" s="323"/>
      <c r="IJ68" s="323"/>
      <c r="IK68" s="323"/>
      <c r="IL68" s="323"/>
      <c r="IM68" s="323"/>
      <c r="IN68" s="323"/>
      <c r="IO68" s="323"/>
      <c r="IP68" s="323"/>
      <c r="IQ68" s="323"/>
      <c r="IR68" s="323"/>
      <c r="IS68" s="323"/>
      <c r="IT68" s="323"/>
      <c r="IU68" s="323"/>
      <c r="IV68" s="323"/>
    </row>
    <row r="69" spans="1:256" ht="14.45">
      <c r="A69" s="178" t="s">
        <v>136</v>
      </c>
      <c r="B69" s="243" t="s">
        <v>199</v>
      </c>
      <c r="C69" s="243" t="s">
        <v>124</v>
      </c>
      <c r="D69" s="244" t="s">
        <v>116</v>
      </c>
      <c r="E69" s="243" t="s">
        <v>117</v>
      </c>
      <c r="F69" s="243" t="s">
        <v>118</v>
      </c>
      <c r="G69" s="154" t="str">
        <f t="shared" si="76"/>
        <v>No of Racks</v>
      </c>
      <c r="H69" s="243">
        <v>4</v>
      </c>
      <c r="I69" s="243">
        <v>4</v>
      </c>
      <c r="J69" s="180">
        <f t="shared" si="75"/>
        <v>0</v>
      </c>
      <c r="K69" s="243">
        <v>4</v>
      </c>
      <c r="L69" s="243"/>
      <c r="M69" s="245">
        <f>2483545/12</f>
        <v>206962.08333333334</v>
      </c>
      <c r="N69" s="104">
        <f t="shared" si="78"/>
        <v>2483545</v>
      </c>
      <c r="O69" s="246" t="str">
        <f t="shared" si="77"/>
        <v>Rated</v>
      </c>
      <c r="P69" s="243" t="s">
        <v>125</v>
      </c>
      <c r="Q69" s="243">
        <v>24</v>
      </c>
      <c r="R69" s="233">
        <v>47.92</v>
      </c>
      <c r="S69" s="248">
        <f t="shared" si="41"/>
        <v>-23.92</v>
      </c>
      <c r="T69" s="249"/>
      <c r="U69" s="186">
        <f t="shared" si="79"/>
        <v>0</v>
      </c>
      <c r="V69" s="249">
        <f t="shared" si="108"/>
        <v>12</v>
      </c>
      <c r="W69" s="202">
        <f>R69</f>
        <v>47.92</v>
      </c>
      <c r="X69" s="186"/>
      <c r="Y69" s="104">
        <f>96000/12</f>
        <v>8000</v>
      </c>
      <c r="Z69" s="250" t="str">
        <f t="shared" si="80"/>
        <v>Bundled</v>
      </c>
      <c r="AA69" s="249"/>
      <c r="AB69" s="249"/>
      <c r="AC69" s="190"/>
      <c r="AD69" s="193"/>
      <c r="AE69" s="253" t="s">
        <v>133</v>
      </c>
      <c r="AF69" s="154" t="str">
        <f>IF(AE69="No of Seats","No of Seats",(IF(AE69="Space","Sq Ft","")))</f>
        <v>No of Seats</v>
      </c>
      <c r="AG69" s="151">
        <v>1</v>
      </c>
      <c r="AH69" s="151">
        <v>1</v>
      </c>
      <c r="AI69" s="151">
        <v>0</v>
      </c>
      <c r="AJ69" s="249"/>
      <c r="AK69" s="249"/>
      <c r="AL69" s="245">
        <f>95000/12</f>
        <v>7916.666666666667</v>
      </c>
      <c r="AM69" s="104">
        <f t="shared" si="81"/>
        <v>827848.33333333337</v>
      </c>
      <c r="AN69" s="104">
        <f t="shared" si="82"/>
        <v>0</v>
      </c>
      <c r="AO69" s="104">
        <f t="shared" si="83"/>
        <v>0</v>
      </c>
      <c r="AP69" s="104">
        <f t="shared" si="84"/>
        <v>0</v>
      </c>
      <c r="AQ69" s="105">
        <f>150000+12500+48000</f>
        <v>210500</v>
      </c>
      <c r="AR69" s="103">
        <f t="shared" si="85"/>
        <v>0</v>
      </c>
      <c r="AS69" s="103">
        <f t="shared" si="86"/>
        <v>0</v>
      </c>
      <c r="AT69" s="103" t="s">
        <v>119</v>
      </c>
      <c r="AU69" s="106"/>
      <c r="AV69" s="251">
        <v>43391</v>
      </c>
      <c r="AW69" s="106">
        <v>3</v>
      </c>
      <c r="AX69" s="251">
        <v>44460</v>
      </c>
      <c r="AY69" s="106" t="s">
        <v>200</v>
      </c>
      <c r="AZ69" s="323"/>
      <c r="BA69" s="107">
        <f t="shared" si="87"/>
        <v>0</v>
      </c>
      <c r="BB69" s="107">
        <f t="shared" si="88"/>
        <v>0</v>
      </c>
      <c r="BC69" s="107">
        <f t="shared" si="89"/>
        <v>27366.397191111111</v>
      </c>
      <c r="BD69" s="107">
        <f t="shared" si="90"/>
        <v>27366.397191111111</v>
      </c>
      <c r="BE69" s="107">
        <f t="shared" si="91"/>
        <v>58564.749111111109</v>
      </c>
      <c r="BF69" s="107"/>
      <c r="BG69" s="252">
        <f t="shared" si="92"/>
        <v>827848.33333333337</v>
      </c>
      <c r="BH69" s="252">
        <f t="shared" si="93"/>
        <v>702776.98933333333</v>
      </c>
      <c r="BI69" s="252">
        <f t="shared" si="94"/>
        <v>125071.34400000001</v>
      </c>
      <c r="BJ69" s="108">
        <f t="shared" si="95"/>
        <v>499451.56704000005</v>
      </c>
      <c r="BK69" s="108">
        <f t="shared" si="96"/>
        <v>499451.56704000005</v>
      </c>
      <c r="BL69" s="108">
        <f t="shared" si="61"/>
        <v>125071.34400000001</v>
      </c>
      <c r="BM69" s="108">
        <f t="shared" si="97"/>
        <v>328396.76629333332</v>
      </c>
      <c r="BN69" s="108">
        <f t="shared" si="63"/>
        <v>72000</v>
      </c>
      <c r="BO69" s="108">
        <f t="shared" si="98"/>
        <v>630776.98933333333</v>
      </c>
      <c r="BP69" s="108">
        <f t="shared" si="99"/>
        <v>-374380.22304000007</v>
      </c>
      <c r="BQ69" s="108">
        <f t="shared" si="100"/>
        <v>256396.76629333326</v>
      </c>
      <c r="BR69" s="108">
        <f t="shared" si="67"/>
        <v>12</v>
      </c>
      <c r="BS69" s="108">
        <f t="shared" si="101"/>
        <v>27366.397191111111</v>
      </c>
      <c r="BT69" s="108">
        <f t="shared" si="102"/>
        <v>-374380.22304000007</v>
      </c>
      <c r="BU69" s="108">
        <f t="shared" si="103"/>
        <v>630776.98933333333</v>
      </c>
      <c r="BV69" s="108">
        <f t="shared" si="104"/>
        <v>256396.76629333326</v>
      </c>
      <c r="BW69" s="108">
        <f t="shared" si="105"/>
        <v>-31198.351920000005</v>
      </c>
      <c r="BX69" s="108">
        <f t="shared" si="106"/>
        <v>52564.749111111109</v>
      </c>
      <c r="BY69" s="108">
        <f t="shared" si="107"/>
        <v>21366.397191111104</v>
      </c>
      <c r="BZ69" s="323"/>
      <c r="CA69" s="323"/>
      <c r="CB69" s="323"/>
      <c r="CC69" s="323"/>
      <c r="CD69" s="323"/>
      <c r="CE69" s="323"/>
      <c r="CF69" s="323"/>
      <c r="CG69" s="323"/>
      <c r="CH69" s="323"/>
      <c r="CI69" s="323"/>
      <c r="CJ69" s="323"/>
      <c r="CK69" s="323"/>
      <c r="CL69" s="323"/>
      <c r="CM69" s="323"/>
      <c r="CN69" s="323"/>
      <c r="CO69" s="323"/>
      <c r="CP69" s="323"/>
      <c r="CQ69" s="323"/>
      <c r="CR69" s="323"/>
      <c r="CS69" s="323"/>
      <c r="CT69" s="323"/>
      <c r="CU69" s="323"/>
      <c r="CV69" s="323"/>
      <c r="CW69" s="323"/>
      <c r="CX69" s="323"/>
      <c r="CY69" s="323"/>
      <c r="CZ69" s="323"/>
      <c r="DA69" s="323"/>
      <c r="DB69" s="323"/>
      <c r="DC69" s="323"/>
      <c r="DD69" s="323"/>
      <c r="DE69" s="323"/>
      <c r="DF69" s="323"/>
      <c r="DG69" s="323"/>
      <c r="DH69" s="323"/>
      <c r="DI69" s="323"/>
      <c r="DJ69" s="323"/>
      <c r="DK69" s="323"/>
      <c r="DL69" s="323"/>
      <c r="DM69" s="323"/>
      <c r="DN69" s="323"/>
      <c r="DO69" s="323"/>
      <c r="DP69" s="323"/>
      <c r="DQ69" s="323"/>
      <c r="DR69" s="323"/>
      <c r="DS69" s="323"/>
      <c r="DT69" s="323"/>
      <c r="DU69" s="323"/>
      <c r="DV69" s="323"/>
      <c r="DW69" s="323"/>
      <c r="DX69" s="323"/>
      <c r="DY69" s="323"/>
      <c r="DZ69" s="323"/>
      <c r="EA69" s="323"/>
      <c r="EB69" s="323"/>
      <c r="EC69" s="323"/>
      <c r="ED69" s="323"/>
      <c r="EE69" s="323"/>
      <c r="EF69" s="323"/>
      <c r="EG69" s="323"/>
      <c r="EH69" s="323"/>
      <c r="EI69" s="323"/>
      <c r="EJ69" s="323"/>
      <c r="EK69" s="323"/>
      <c r="EL69" s="323"/>
      <c r="EM69" s="323"/>
      <c r="EN69" s="323"/>
      <c r="EO69" s="323"/>
      <c r="EP69" s="323"/>
      <c r="EQ69" s="323"/>
      <c r="ER69" s="323"/>
      <c r="ES69" s="323"/>
      <c r="ET69" s="323"/>
      <c r="EU69" s="323"/>
      <c r="EV69" s="323"/>
      <c r="EW69" s="323"/>
      <c r="EX69" s="323"/>
      <c r="EY69" s="323"/>
      <c r="EZ69" s="323"/>
      <c r="FA69" s="323"/>
      <c r="FB69" s="323"/>
      <c r="FC69" s="323"/>
      <c r="FD69" s="323"/>
      <c r="FE69" s="323"/>
      <c r="FF69" s="323"/>
      <c r="FG69" s="323"/>
      <c r="FH69" s="323"/>
      <c r="FI69" s="323"/>
      <c r="FJ69" s="323"/>
      <c r="FK69" s="323"/>
      <c r="FL69" s="323"/>
      <c r="FM69" s="323"/>
      <c r="FN69" s="323"/>
      <c r="FO69" s="323"/>
      <c r="FP69" s="323"/>
      <c r="FQ69" s="323"/>
      <c r="FR69" s="323"/>
      <c r="FS69" s="323"/>
      <c r="FT69" s="323"/>
      <c r="FU69" s="323"/>
      <c r="FV69" s="323"/>
      <c r="FW69" s="323"/>
      <c r="FX69" s="323"/>
      <c r="FY69" s="323"/>
      <c r="FZ69" s="323"/>
      <c r="GA69" s="323"/>
      <c r="GB69" s="323"/>
      <c r="GC69" s="323"/>
      <c r="GD69" s="323"/>
      <c r="GE69" s="323"/>
      <c r="GF69" s="323"/>
      <c r="GG69" s="323"/>
      <c r="GH69" s="323"/>
      <c r="GI69" s="323"/>
      <c r="GJ69" s="323"/>
      <c r="GK69" s="323"/>
      <c r="GL69" s="323"/>
      <c r="GM69" s="323"/>
      <c r="GN69" s="323"/>
      <c r="GO69" s="323"/>
      <c r="GP69" s="323"/>
      <c r="GQ69" s="323"/>
      <c r="GR69" s="323"/>
      <c r="GS69" s="323"/>
      <c r="GT69" s="323"/>
      <c r="GU69" s="323"/>
      <c r="GV69" s="323"/>
      <c r="GW69" s="323"/>
      <c r="GX69" s="323"/>
      <c r="GY69" s="323"/>
      <c r="GZ69" s="323"/>
      <c r="HA69" s="323"/>
      <c r="HB69" s="323"/>
      <c r="HC69" s="323"/>
      <c r="HD69" s="323"/>
      <c r="HE69" s="323"/>
      <c r="HF69" s="323"/>
      <c r="HG69" s="323"/>
      <c r="HH69" s="323"/>
      <c r="HI69" s="323"/>
      <c r="HJ69" s="323"/>
      <c r="HK69" s="323"/>
      <c r="HL69" s="323"/>
      <c r="HM69" s="323"/>
      <c r="HN69" s="323"/>
      <c r="HO69" s="323"/>
      <c r="HP69" s="323"/>
      <c r="HQ69" s="323"/>
      <c r="HR69" s="323"/>
      <c r="HS69" s="323"/>
      <c r="HT69" s="323"/>
      <c r="HU69" s="323"/>
      <c r="HV69" s="323"/>
      <c r="HW69" s="323"/>
      <c r="HX69" s="323"/>
      <c r="HY69" s="323"/>
      <c r="HZ69" s="323"/>
      <c r="IA69" s="323"/>
      <c r="IB69" s="323"/>
      <c r="IC69" s="323"/>
      <c r="ID69" s="323"/>
      <c r="IE69" s="323"/>
      <c r="IF69" s="323"/>
      <c r="IG69" s="323"/>
      <c r="IH69" s="323"/>
      <c r="II69" s="323"/>
      <c r="IJ69" s="323"/>
      <c r="IK69" s="323"/>
      <c r="IL69" s="323"/>
      <c r="IM69" s="323"/>
      <c r="IN69" s="323"/>
      <c r="IO69" s="323"/>
      <c r="IP69" s="323"/>
      <c r="IQ69" s="323"/>
      <c r="IR69" s="323"/>
      <c r="IS69" s="323"/>
      <c r="IT69" s="323"/>
      <c r="IU69" s="323"/>
      <c r="IV69" s="323"/>
    </row>
    <row r="70" spans="1:256" ht="14.45">
      <c r="A70" s="178" t="s">
        <v>122</v>
      </c>
      <c r="B70" s="200" t="s">
        <v>201</v>
      </c>
      <c r="C70" s="151" t="s">
        <v>124</v>
      </c>
      <c r="D70" s="179" t="s">
        <v>116</v>
      </c>
      <c r="E70" s="151" t="s">
        <v>117</v>
      </c>
      <c r="F70" s="151" t="s">
        <v>118</v>
      </c>
      <c r="G70" s="152" t="str">
        <f t="shared" si="76"/>
        <v>No of Racks</v>
      </c>
      <c r="H70" s="151">
        <v>1</v>
      </c>
      <c r="I70" s="151">
        <v>1</v>
      </c>
      <c r="J70" s="180">
        <f t="shared" si="75"/>
        <v>0</v>
      </c>
      <c r="K70" s="151">
        <v>1</v>
      </c>
      <c r="L70" s="151"/>
      <c r="M70" s="181">
        <f>485000/12</f>
        <v>40416.666666666664</v>
      </c>
      <c r="N70" s="182">
        <f t="shared" si="78"/>
        <v>485000</v>
      </c>
      <c r="O70" s="183" t="str">
        <f t="shared" si="77"/>
        <v>Rated</v>
      </c>
      <c r="P70" s="151" t="s">
        <v>125</v>
      </c>
      <c r="Q70" s="151">
        <v>3</v>
      </c>
      <c r="R70" s="223">
        <v>2.64</v>
      </c>
      <c r="S70" s="185">
        <f t="shared" si="41"/>
        <v>0.35999999999999988</v>
      </c>
      <c r="T70" s="186"/>
      <c r="U70" s="186">
        <f t="shared" si="79"/>
        <v>0.17999999999999994</v>
      </c>
      <c r="V70" s="186">
        <f t="shared" si="108"/>
        <v>1.5</v>
      </c>
      <c r="W70" s="202">
        <f>R70</f>
        <v>2.64</v>
      </c>
      <c r="X70" s="186"/>
      <c r="Y70" s="83">
        <f>90000/12</f>
        <v>7500</v>
      </c>
      <c r="Z70" s="189" t="str">
        <f t="shared" si="80"/>
        <v>Bundled</v>
      </c>
      <c r="AA70" s="186"/>
      <c r="AB70" s="186"/>
      <c r="AC70" s="190"/>
      <c r="AD70" s="193"/>
      <c r="AE70" s="120"/>
      <c r="AF70" s="152" t="str">
        <f>IF(AE70="No of Seats","No of Seats",(IF(AE70="Space","Sq Ft","")))</f>
        <v/>
      </c>
      <c r="AG70" s="186"/>
      <c r="AH70" s="186"/>
      <c r="AI70" s="186"/>
      <c r="AJ70" s="186"/>
      <c r="AK70" s="186"/>
      <c r="AL70" s="181"/>
      <c r="AM70" s="83">
        <f t="shared" si="81"/>
        <v>40416.666666666664</v>
      </c>
      <c r="AN70" s="83">
        <f t="shared" si="82"/>
        <v>0</v>
      </c>
      <c r="AO70" s="83">
        <f t="shared" si="83"/>
        <v>0</v>
      </c>
      <c r="AP70" s="83">
        <f t="shared" si="84"/>
        <v>0</v>
      </c>
      <c r="AQ70" s="109">
        <f>(225000+100000+10000+100000)/12</f>
        <v>36250</v>
      </c>
      <c r="AR70" s="85">
        <f t="shared" si="85"/>
        <v>0</v>
      </c>
      <c r="AS70" s="86">
        <f t="shared" si="86"/>
        <v>0</v>
      </c>
      <c r="AT70" s="85" t="s">
        <v>119</v>
      </c>
      <c r="AU70" s="69" t="s">
        <v>202</v>
      </c>
      <c r="AV70" s="191">
        <v>42948</v>
      </c>
      <c r="AW70" s="69">
        <v>1</v>
      </c>
      <c r="AX70" s="191">
        <v>43282</v>
      </c>
      <c r="AY70" s="69"/>
      <c r="AZ70" s="69"/>
      <c r="BA70" s="84">
        <f t="shared" si="87"/>
        <v>0</v>
      </c>
      <c r="BB70" s="84">
        <f t="shared" si="88"/>
        <v>0</v>
      </c>
      <c r="BC70" s="84">
        <f t="shared" si="89"/>
        <v>8600.6473244444405</v>
      </c>
      <c r="BD70" s="84">
        <f t="shared" si="90"/>
        <v>7349.9338844444383</v>
      </c>
      <c r="BE70" s="84">
        <f t="shared" si="91"/>
        <v>16521.832444444441</v>
      </c>
      <c r="BF70" s="84"/>
      <c r="BG70" s="93">
        <f t="shared" si="92"/>
        <v>40416.666666666664</v>
      </c>
      <c r="BH70" s="93">
        <f t="shared" si="93"/>
        <v>24782.748666666663</v>
      </c>
      <c r="BI70" s="93">
        <f t="shared" si="94"/>
        <v>15633.918000000001</v>
      </c>
      <c r="BJ70" s="91">
        <f t="shared" si="95"/>
        <v>27515.695680000004</v>
      </c>
      <c r="BK70" s="91">
        <f t="shared" si="96"/>
        <v>29391.765840000007</v>
      </c>
      <c r="BL70" s="91">
        <f t="shared" si="61"/>
        <v>15633.918000000001</v>
      </c>
      <c r="BM70" s="91">
        <f t="shared" si="97"/>
        <v>12900.97098666666</v>
      </c>
      <c r="BN70" s="91">
        <f t="shared" si="63"/>
        <v>9000</v>
      </c>
      <c r="BO70" s="91">
        <f t="shared" si="98"/>
        <v>15782.748666666663</v>
      </c>
      <c r="BP70" s="91">
        <f t="shared" si="99"/>
        <v>-11881.777680000003</v>
      </c>
      <c r="BQ70" s="91">
        <f t="shared" si="100"/>
        <v>3900.9709866666599</v>
      </c>
      <c r="BR70" s="91">
        <f t="shared" si="67"/>
        <v>1.5</v>
      </c>
      <c r="BS70" s="91">
        <f t="shared" si="101"/>
        <v>8600.6473244444405</v>
      </c>
      <c r="BT70" s="91">
        <f t="shared" si="102"/>
        <v>-11881.777680000003</v>
      </c>
      <c r="BU70" s="91">
        <f t="shared" si="103"/>
        <v>15782.748666666661</v>
      </c>
      <c r="BV70" s="91">
        <f t="shared" si="104"/>
        <v>3900.9709866666581</v>
      </c>
      <c r="BW70" s="91">
        <f t="shared" si="105"/>
        <v>-7921.1851200000019</v>
      </c>
      <c r="BX70" s="91">
        <f t="shared" si="106"/>
        <v>10521.832444444441</v>
      </c>
      <c r="BY70" s="91">
        <f t="shared" si="107"/>
        <v>2600.6473244444387</v>
      </c>
      <c r="BZ70" s="323"/>
      <c r="CA70" s="323"/>
      <c r="CB70" s="323"/>
      <c r="CC70" s="323"/>
      <c r="CD70" s="323"/>
      <c r="CE70" s="323"/>
      <c r="CF70" s="323"/>
      <c r="CG70" s="323"/>
      <c r="CH70" s="323"/>
      <c r="CI70" s="323"/>
      <c r="CJ70" s="323"/>
      <c r="CK70" s="323"/>
      <c r="CL70" s="323"/>
      <c r="CM70" s="323"/>
      <c r="CN70" s="323"/>
      <c r="CO70" s="323"/>
      <c r="CP70" s="323"/>
      <c r="CQ70" s="323"/>
      <c r="CR70" s="323"/>
      <c r="CS70" s="323"/>
      <c r="CT70" s="323"/>
      <c r="CU70" s="323"/>
      <c r="CV70" s="323"/>
      <c r="CW70" s="323"/>
      <c r="CX70" s="323"/>
      <c r="CY70" s="323"/>
      <c r="CZ70" s="323"/>
      <c r="DA70" s="323"/>
      <c r="DB70" s="323"/>
      <c r="DC70" s="323"/>
      <c r="DD70" s="323"/>
      <c r="DE70" s="323"/>
      <c r="DF70" s="323"/>
      <c r="DG70" s="323"/>
      <c r="DH70" s="323"/>
      <c r="DI70" s="323"/>
      <c r="DJ70" s="323"/>
      <c r="DK70" s="323"/>
      <c r="DL70" s="323"/>
      <c r="DM70" s="323"/>
      <c r="DN70" s="323"/>
      <c r="DO70" s="323"/>
      <c r="DP70" s="323"/>
      <c r="DQ70" s="323"/>
      <c r="DR70" s="323"/>
      <c r="DS70" s="323"/>
      <c r="DT70" s="323"/>
      <c r="DU70" s="323"/>
      <c r="DV70" s="323"/>
      <c r="DW70" s="323"/>
      <c r="DX70" s="323"/>
      <c r="DY70" s="323"/>
      <c r="DZ70" s="323"/>
      <c r="EA70" s="323"/>
      <c r="EB70" s="323"/>
      <c r="EC70" s="323"/>
      <c r="ED70" s="323"/>
      <c r="EE70" s="323"/>
      <c r="EF70" s="323"/>
      <c r="EG70" s="323"/>
      <c r="EH70" s="323"/>
      <c r="EI70" s="323"/>
      <c r="EJ70" s="323"/>
      <c r="EK70" s="323"/>
      <c r="EL70" s="323"/>
      <c r="EM70" s="323"/>
      <c r="EN70" s="323"/>
      <c r="EO70" s="323"/>
      <c r="EP70" s="323"/>
      <c r="EQ70" s="323"/>
      <c r="ER70" s="323"/>
      <c r="ES70" s="323"/>
      <c r="ET70" s="323"/>
      <c r="EU70" s="323"/>
      <c r="EV70" s="323"/>
      <c r="EW70" s="323"/>
      <c r="EX70" s="323"/>
      <c r="EY70" s="323"/>
      <c r="EZ70" s="323"/>
      <c r="FA70" s="323"/>
      <c r="FB70" s="323"/>
      <c r="FC70" s="323"/>
      <c r="FD70" s="323"/>
      <c r="FE70" s="323"/>
      <c r="FF70" s="323"/>
      <c r="FG70" s="323"/>
      <c r="FH70" s="323"/>
      <c r="FI70" s="323"/>
      <c r="FJ70" s="323"/>
      <c r="FK70" s="323"/>
      <c r="FL70" s="323"/>
      <c r="FM70" s="323"/>
      <c r="FN70" s="323"/>
      <c r="FO70" s="323"/>
      <c r="FP70" s="323"/>
      <c r="FQ70" s="323"/>
      <c r="FR70" s="323"/>
      <c r="FS70" s="323"/>
      <c r="FT70" s="323"/>
      <c r="FU70" s="323"/>
      <c r="FV70" s="323"/>
      <c r="FW70" s="323"/>
      <c r="FX70" s="323"/>
      <c r="FY70" s="323"/>
      <c r="FZ70" s="323"/>
      <c r="GA70" s="323"/>
      <c r="GB70" s="323"/>
      <c r="GC70" s="323"/>
      <c r="GD70" s="323"/>
      <c r="GE70" s="323"/>
      <c r="GF70" s="323"/>
      <c r="GG70" s="323"/>
      <c r="GH70" s="323"/>
      <c r="GI70" s="323"/>
      <c r="GJ70" s="323"/>
      <c r="GK70" s="323"/>
      <c r="GL70" s="323"/>
      <c r="GM70" s="323"/>
      <c r="GN70" s="323"/>
      <c r="GO70" s="323"/>
      <c r="GP70" s="323"/>
      <c r="GQ70" s="323"/>
      <c r="GR70" s="323"/>
      <c r="GS70" s="323"/>
      <c r="GT70" s="323"/>
      <c r="GU70" s="323"/>
      <c r="GV70" s="323"/>
      <c r="GW70" s="323"/>
      <c r="GX70" s="323"/>
      <c r="GY70" s="323"/>
      <c r="GZ70" s="323"/>
      <c r="HA70" s="323"/>
      <c r="HB70" s="323"/>
      <c r="HC70" s="323"/>
      <c r="HD70" s="323"/>
      <c r="HE70" s="323"/>
      <c r="HF70" s="323"/>
      <c r="HG70" s="323"/>
      <c r="HH70" s="323"/>
      <c r="HI70" s="323"/>
      <c r="HJ70" s="323"/>
      <c r="HK70" s="323"/>
      <c r="HL70" s="323"/>
      <c r="HM70" s="323"/>
      <c r="HN70" s="323"/>
      <c r="HO70" s="323"/>
      <c r="HP70" s="323"/>
      <c r="HQ70" s="323"/>
      <c r="HR70" s="323"/>
      <c r="HS70" s="323"/>
      <c r="HT70" s="323"/>
      <c r="HU70" s="323"/>
      <c r="HV70" s="323"/>
      <c r="HW70" s="323"/>
      <c r="HX70" s="323"/>
      <c r="HY70" s="323"/>
      <c r="HZ70" s="323"/>
      <c r="IA70" s="323"/>
      <c r="IB70" s="323"/>
      <c r="IC70" s="323"/>
      <c r="ID70" s="323"/>
      <c r="IE70" s="323"/>
      <c r="IF70" s="323"/>
      <c r="IG70" s="323"/>
      <c r="IH70" s="323"/>
      <c r="II70" s="323"/>
      <c r="IJ70" s="323"/>
      <c r="IK70" s="323"/>
      <c r="IL70" s="323"/>
      <c r="IM70" s="323"/>
      <c r="IN70" s="323"/>
      <c r="IO70" s="323"/>
      <c r="IP70" s="323"/>
      <c r="IQ70" s="323"/>
      <c r="IR70" s="323"/>
      <c r="IS70" s="323"/>
      <c r="IT70" s="323"/>
      <c r="IU70" s="323"/>
      <c r="IV70" s="323"/>
    </row>
    <row r="71" spans="1:256" ht="14.45">
      <c r="A71" s="178" t="s">
        <v>138</v>
      </c>
      <c r="B71" s="151" t="s">
        <v>203</v>
      </c>
      <c r="C71" s="151" t="s">
        <v>115</v>
      </c>
      <c r="D71" s="179" t="s">
        <v>116</v>
      </c>
      <c r="E71" s="151" t="s">
        <v>117</v>
      </c>
      <c r="F71" s="151" t="s">
        <v>118</v>
      </c>
      <c r="G71" s="152" t="str">
        <f t="shared" si="76"/>
        <v>No of Racks</v>
      </c>
      <c r="H71" s="151">
        <v>20</v>
      </c>
      <c r="I71" s="151">
        <v>20</v>
      </c>
      <c r="J71" s="180">
        <f t="shared" si="75"/>
        <v>0</v>
      </c>
      <c r="K71" s="151">
        <v>20</v>
      </c>
      <c r="L71" s="151"/>
      <c r="M71" s="181">
        <f>133940/12</f>
        <v>11161.666666666666</v>
      </c>
      <c r="N71" s="83">
        <f t="shared" si="78"/>
        <v>133940</v>
      </c>
      <c r="O71" s="183" t="str">
        <f t="shared" si="77"/>
        <v>Subscribed</v>
      </c>
      <c r="P71" s="151" t="s">
        <v>125</v>
      </c>
      <c r="Q71" s="151">
        <v>40</v>
      </c>
      <c r="R71" s="225">
        <v>53.9</v>
      </c>
      <c r="S71" s="185">
        <f t="shared" si="41"/>
        <v>-13.899999999999999</v>
      </c>
      <c r="T71" s="151"/>
      <c r="U71" s="186">
        <f t="shared" si="79"/>
        <v>0</v>
      </c>
      <c r="V71" s="186">
        <f t="shared" si="108"/>
        <v>40</v>
      </c>
      <c r="W71" s="202">
        <f>R71*0.9</f>
        <v>48.51</v>
      </c>
      <c r="X71" s="186">
        <f>S71*-1</f>
        <v>13.899999999999999</v>
      </c>
      <c r="Y71" s="83">
        <f>129700/12</f>
        <v>10808.333333333334</v>
      </c>
      <c r="Z71" s="189" t="str">
        <f t="shared" si="80"/>
        <v>Bundled</v>
      </c>
      <c r="AA71" s="151">
        <v>1.7</v>
      </c>
      <c r="AB71" s="179" t="s">
        <v>132</v>
      </c>
      <c r="AC71" s="190">
        <v>8.1999999999999993</v>
      </c>
      <c r="AD71" s="147">
        <v>35316.38232421875</v>
      </c>
      <c r="AE71" s="120"/>
      <c r="AF71" s="152"/>
      <c r="AG71" s="151"/>
      <c r="AH71" s="151"/>
      <c r="AI71" s="151"/>
      <c r="AJ71" s="151"/>
      <c r="AK71" s="151"/>
      <c r="AL71" s="181"/>
      <c r="AM71" s="83">
        <f t="shared" si="81"/>
        <v>223233.33333333331</v>
      </c>
      <c r="AN71" s="83">
        <f t="shared" si="82"/>
        <v>150235.83333333331</v>
      </c>
      <c r="AO71" s="83">
        <f t="shared" si="83"/>
        <v>492310.36959960929</v>
      </c>
      <c r="AP71" s="83">
        <f t="shared" si="84"/>
        <v>0</v>
      </c>
      <c r="AQ71" s="84">
        <f>50000+10000+50000+20000</f>
        <v>130000</v>
      </c>
      <c r="AR71" s="103">
        <f t="shared" si="85"/>
        <v>0</v>
      </c>
      <c r="AS71" s="85">
        <f t="shared" si="86"/>
        <v>0</v>
      </c>
      <c r="AT71" s="85" t="s">
        <v>168</v>
      </c>
      <c r="AU71" s="69" t="s">
        <v>204</v>
      </c>
      <c r="AV71" s="191">
        <v>43252</v>
      </c>
      <c r="AW71" s="69">
        <v>3</v>
      </c>
      <c r="AX71" s="191">
        <v>44317</v>
      </c>
      <c r="AY71" s="69"/>
      <c r="AZ71" s="323"/>
      <c r="BA71" s="84">
        <f t="shared" si="87"/>
        <v>0</v>
      </c>
      <c r="BB71" s="84">
        <f t="shared" si="88"/>
        <v>0</v>
      </c>
      <c r="BC71" s="84">
        <f t="shared" si="89"/>
        <v>8971.3782967371844</v>
      </c>
      <c r="BD71" s="84">
        <f t="shared" si="90"/>
        <v>8971.3782967371844</v>
      </c>
      <c r="BE71" s="84">
        <f t="shared" si="91"/>
        <v>-1085.8828333333354</v>
      </c>
      <c r="BF71" s="84"/>
      <c r="BG71" s="93">
        <f t="shared" si="92"/>
        <v>865779.53626627591</v>
      </c>
      <c r="BH71" s="93">
        <f t="shared" si="93"/>
        <v>448875.05626627587</v>
      </c>
      <c r="BI71" s="93">
        <f t="shared" si="94"/>
        <v>416904.48000000004</v>
      </c>
      <c r="BJ71" s="91">
        <f t="shared" si="95"/>
        <v>506924.40439678857</v>
      </c>
      <c r="BK71" s="91">
        <f t="shared" si="96"/>
        <v>506924.40439678857</v>
      </c>
      <c r="BL71" s="91">
        <f t="shared" si="61"/>
        <v>416904.48000000004</v>
      </c>
      <c r="BM71" s="91">
        <f t="shared" si="97"/>
        <v>358855.13186948735</v>
      </c>
      <c r="BN71" s="91">
        <f t="shared" si="63"/>
        <v>240000</v>
      </c>
      <c r="BO71" s="91">
        <f t="shared" si="98"/>
        <v>208875.05626627587</v>
      </c>
      <c r="BP71" s="91">
        <f t="shared" si="99"/>
        <v>-90019.924396788527</v>
      </c>
      <c r="BQ71" s="91">
        <f t="shared" si="100"/>
        <v>118855.13186948735</v>
      </c>
      <c r="BR71" s="91">
        <f t="shared" si="67"/>
        <v>40</v>
      </c>
      <c r="BS71" s="91">
        <f t="shared" si="101"/>
        <v>8971.3782967371844</v>
      </c>
      <c r="BT71" s="91">
        <f t="shared" si="102"/>
        <v>-90019.924396788527</v>
      </c>
      <c r="BU71" s="91">
        <f t="shared" si="103"/>
        <v>-283435.31333333341</v>
      </c>
      <c r="BV71" s="91">
        <f t="shared" si="104"/>
        <v>-373455.23773012194</v>
      </c>
      <c r="BW71" s="91">
        <f t="shared" si="105"/>
        <v>-2250.498109919713</v>
      </c>
      <c r="BX71" s="91">
        <f t="shared" si="106"/>
        <v>-7085.8828333333349</v>
      </c>
      <c r="BY71" s="91">
        <f t="shared" si="107"/>
        <v>-9336.3809432530488</v>
      </c>
      <c r="BZ71" s="323"/>
      <c r="CA71" s="323"/>
      <c r="CB71" s="323"/>
      <c r="CC71" s="323"/>
      <c r="CD71" s="323"/>
      <c r="CE71" s="323"/>
      <c r="CF71" s="323"/>
      <c r="CG71" s="323"/>
      <c r="CH71" s="323"/>
      <c r="CI71" s="323"/>
      <c r="CJ71" s="323"/>
      <c r="CK71" s="323"/>
      <c r="CL71" s="323"/>
      <c r="CM71" s="323"/>
      <c r="CN71" s="323"/>
      <c r="CO71" s="323"/>
      <c r="CP71" s="323"/>
      <c r="CQ71" s="323"/>
      <c r="CR71" s="323"/>
      <c r="CS71" s="323"/>
      <c r="CT71" s="323"/>
      <c r="CU71" s="323"/>
      <c r="CV71" s="323"/>
      <c r="CW71" s="323"/>
      <c r="CX71" s="323"/>
      <c r="CY71" s="323"/>
      <c r="CZ71" s="323"/>
      <c r="DA71" s="323"/>
      <c r="DB71" s="323"/>
      <c r="DC71" s="323"/>
      <c r="DD71" s="323"/>
      <c r="DE71" s="323"/>
      <c r="DF71" s="323"/>
      <c r="DG71" s="323"/>
      <c r="DH71" s="323"/>
      <c r="DI71" s="323"/>
      <c r="DJ71" s="323"/>
      <c r="DK71" s="323"/>
      <c r="DL71" s="323"/>
      <c r="DM71" s="323"/>
      <c r="DN71" s="323"/>
      <c r="DO71" s="323"/>
      <c r="DP71" s="323"/>
      <c r="DQ71" s="323"/>
      <c r="DR71" s="323"/>
      <c r="DS71" s="323"/>
      <c r="DT71" s="323"/>
      <c r="DU71" s="323"/>
      <c r="DV71" s="323"/>
      <c r="DW71" s="323"/>
      <c r="DX71" s="323"/>
      <c r="DY71" s="323"/>
      <c r="DZ71" s="323"/>
      <c r="EA71" s="323"/>
      <c r="EB71" s="323"/>
      <c r="EC71" s="323"/>
      <c r="ED71" s="323"/>
      <c r="EE71" s="323"/>
      <c r="EF71" s="323"/>
      <c r="EG71" s="323"/>
      <c r="EH71" s="323"/>
      <c r="EI71" s="323"/>
      <c r="EJ71" s="323"/>
      <c r="EK71" s="323"/>
      <c r="EL71" s="323"/>
      <c r="EM71" s="323"/>
      <c r="EN71" s="323"/>
      <c r="EO71" s="323"/>
      <c r="EP71" s="323"/>
      <c r="EQ71" s="323"/>
      <c r="ER71" s="323"/>
      <c r="ES71" s="323"/>
      <c r="ET71" s="323"/>
      <c r="EU71" s="323"/>
      <c r="EV71" s="323"/>
      <c r="EW71" s="323"/>
      <c r="EX71" s="323"/>
      <c r="EY71" s="323"/>
      <c r="EZ71" s="323"/>
      <c r="FA71" s="323"/>
      <c r="FB71" s="323"/>
      <c r="FC71" s="323"/>
      <c r="FD71" s="323"/>
      <c r="FE71" s="323"/>
      <c r="FF71" s="323"/>
      <c r="FG71" s="323"/>
      <c r="FH71" s="323"/>
      <c r="FI71" s="323"/>
      <c r="FJ71" s="323"/>
      <c r="FK71" s="323"/>
      <c r="FL71" s="323"/>
      <c r="FM71" s="323"/>
      <c r="FN71" s="323"/>
      <c r="FO71" s="323"/>
      <c r="FP71" s="323"/>
      <c r="FQ71" s="323"/>
      <c r="FR71" s="323"/>
      <c r="FS71" s="323"/>
      <c r="FT71" s="323"/>
      <c r="FU71" s="323"/>
      <c r="FV71" s="323"/>
      <c r="FW71" s="323"/>
      <c r="FX71" s="323"/>
      <c r="FY71" s="323"/>
      <c r="FZ71" s="323"/>
      <c r="GA71" s="323"/>
      <c r="GB71" s="323"/>
      <c r="GC71" s="323"/>
      <c r="GD71" s="323"/>
      <c r="GE71" s="323"/>
      <c r="GF71" s="323"/>
      <c r="GG71" s="323"/>
      <c r="GH71" s="323"/>
      <c r="GI71" s="323"/>
      <c r="GJ71" s="323"/>
      <c r="GK71" s="323"/>
      <c r="GL71" s="323"/>
      <c r="GM71" s="323"/>
      <c r="GN71" s="323"/>
      <c r="GO71" s="323"/>
      <c r="GP71" s="323"/>
      <c r="GQ71" s="323"/>
      <c r="GR71" s="323"/>
      <c r="GS71" s="323"/>
      <c r="GT71" s="323"/>
      <c r="GU71" s="323"/>
      <c r="GV71" s="323"/>
      <c r="GW71" s="323"/>
      <c r="GX71" s="323"/>
      <c r="GY71" s="323"/>
      <c r="GZ71" s="323"/>
      <c r="HA71" s="323"/>
      <c r="HB71" s="323"/>
      <c r="HC71" s="323"/>
      <c r="HD71" s="323"/>
      <c r="HE71" s="323"/>
      <c r="HF71" s="323"/>
      <c r="HG71" s="323"/>
      <c r="HH71" s="323"/>
      <c r="HI71" s="323"/>
      <c r="HJ71" s="323"/>
      <c r="HK71" s="323"/>
      <c r="HL71" s="323"/>
      <c r="HM71" s="323"/>
      <c r="HN71" s="323"/>
      <c r="HO71" s="323"/>
      <c r="HP71" s="323"/>
      <c r="HQ71" s="323"/>
      <c r="HR71" s="323"/>
      <c r="HS71" s="323"/>
      <c r="HT71" s="323"/>
      <c r="HU71" s="323"/>
      <c r="HV71" s="323"/>
      <c r="HW71" s="323"/>
      <c r="HX71" s="323"/>
      <c r="HY71" s="323"/>
      <c r="HZ71" s="323"/>
      <c r="IA71" s="323"/>
      <c r="IB71" s="323"/>
      <c r="IC71" s="323"/>
      <c r="ID71" s="323"/>
      <c r="IE71" s="323"/>
      <c r="IF71" s="323"/>
      <c r="IG71" s="323"/>
      <c r="IH71" s="323"/>
      <c r="II71" s="323"/>
      <c r="IJ71" s="323"/>
      <c r="IK71" s="323"/>
      <c r="IL71" s="323"/>
      <c r="IM71" s="323"/>
      <c r="IN71" s="323"/>
      <c r="IO71" s="323"/>
      <c r="IP71" s="323"/>
      <c r="IQ71" s="323"/>
      <c r="IR71" s="323"/>
      <c r="IS71" s="323"/>
      <c r="IT71" s="323"/>
      <c r="IU71" s="323"/>
      <c r="IV71" s="323"/>
    </row>
    <row r="72" spans="1:256" ht="14.45">
      <c r="A72" s="178" t="s">
        <v>205</v>
      </c>
      <c r="B72" s="151" t="s">
        <v>206</v>
      </c>
      <c r="C72" s="151" t="s">
        <v>115</v>
      </c>
      <c r="D72" s="179" t="s">
        <v>116</v>
      </c>
      <c r="E72" s="151" t="s">
        <v>117</v>
      </c>
      <c r="F72" s="151" t="s">
        <v>118</v>
      </c>
      <c r="G72" s="152" t="str">
        <f t="shared" si="76"/>
        <v>No of Racks</v>
      </c>
      <c r="H72" s="151">
        <v>19</v>
      </c>
      <c r="I72" s="151">
        <v>19</v>
      </c>
      <c r="J72" s="180">
        <f t="shared" si="75"/>
        <v>0</v>
      </c>
      <c r="K72" s="151">
        <v>19</v>
      </c>
      <c r="L72" s="151"/>
      <c r="M72" s="181">
        <f>((748*68)*3)</f>
        <v>152592</v>
      </c>
      <c r="N72" s="83">
        <f t="shared" si="78"/>
        <v>1831104</v>
      </c>
      <c r="O72" s="183" t="str">
        <f t="shared" si="77"/>
        <v>Subscribed</v>
      </c>
      <c r="P72" s="151" t="s">
        <v>108</v>
      </c>
      <c r="Q72" s="200">
        <v>47.64</v>
      </c>
      <c r="R72" s="225">
        <v>49.41</v>
      </c>
      <c r="S72" s="185">
        <f t="shared" si="41"/>
        <v>-1.769999999999996</v>
      </c>
      <c r="T72" s="151"/>
      <c r="U72" s="186">
        <f t="shared" si="79"/>
        <v>0</v>
      </c>
      <c r="V72" s="186">
        <f t="shared" si="108"/>
        <v>47.64</v>
      </c>
      <c r="W72" s="202">
        <f>R72</f>
        <v>49.41</v>
      </c>
      <c r="X72" s="186"/>
      <c r="Y72" s="83">
        <f>(1384*68)/12</f>
        <v>7842.666666666667</v>
      </c>
      <c r="Z72" s="189" t="s">
        <v>116</v>
      </c>
      <c r="AA72" s="151"/>
      <c r="AB72" s="186"/>
      <c r="AC72" s="190"/>
      <c r="AD72" s="228"/>
      <c r="AE72" s="120"/>
      <c r="AF72" s="152"/>
      <c r="AG72" s="151"/>
      <c r="AH72" s="151"/>
      <c r="AI72" s="151"/>
      <c r="AJ72" s="151"/>
      <c r="AK72" s="151"/>
      <c r="AL72" s="181"/>
      <c r="AM72" s="83">
        <f t="shared" si="81"/>
        <v>2899248</v>
      </c>
      <c r="AN72" s="83">
        <f t="shared" si="82"/>
        <v>0</v>
      </c>
      <c r="AO72" s="83">
        <f t="shared" si="83"/>
        <v>0</v>
      </c>
      <c r="AP72" s="83">
        <f t="shared" si="84"/>
        <v>0</v>
      </c>
      <c r="AQ72" s="84">
        <f>(116*7)*68</f>
        <v>55216</v>
      </c>
      <c r="AR72" s="103">
        <f t="shared" si="85"/>
        <v>0</v>
      </c>
      <c r="AS72" s="85">
        <f t="shared" si="86"/>
        <v>0</v>
      </c>
      <c r="AT72" s="85" t="s">
        <v>119</v>
      </c>
      <c r="AU72" s="69"/>
      <c r="AV72" s="191">
        <v>43238</v>
      </c>
      <c r="AW72" s="69">
        <v>1</v>
      </c>
      <c r="AX72" s="191">
        <v>43574</v>
      </c>
      <c r="AY72" s="69"/>
      <c r="AZ72" s="323"/>
      <c r="BA72" s="84">
        <f t="shared" si="87"/>
        <v>0</v>
      </c>
      <c r="BB72" s="84">
        <f t="shared" si="88"/>
        <v>0</v>
      </c>
      <c r="BC72" s="84">
        <f t="shared" si="89"/>
        <v>50047.580627204028</v>
      </c>
      <c r="BD72" s="84">
        <f t="shared" si="90"/>
        <v>50047.580627204028</v>
      </c>
      <c r="BE72" s="84">
        <f t="shared" si="91"/>
        <v>50434.81873047859</v>
      </c>
      <c r="BF72" s="84"/>
      <c r="BG72" s="93">
        <f t="shared" si="92"/>
        <v>2899248</v>
      </c>
      <c r="BH72" s="93">
        <f t="shared" si="93"/>
        <v>2402714.7643200001</v>
      </c>
      <c r="BI72" s="93">
        <f t="shared" si="94"/>
        <v>496533.23568000004</v>
      </c>
      <c r="BJ72" s="91">
        <f t="shared" si="95"/>
        <v>514981.25891999999</v>
      </c>
      <c r="BK72" s="91">
        <f t="shared" si="96"/>
        <v>514981.25891999999</v>
      </c>
      <c r="BL72" s="91">
        <f t="shared" si="61"/>
        <v>496533.23568000004</v>
      </c>
      <c r="BM72" s="91">
        <f t="shared" si="97"/>
        <v>2384266.7410800001</v>
      </c>
      <c r="BN72" s="91">
        <f t="shared" si="63"/>
        <v>285840</v>
      </c>
      <c r="BO72" s="91">
        <f t="shared" si="98"/>
        <v>2116874.7643200001</v>
      </c>
      <c r="BP72" s="91">
        <f t="shared" si="99"/>
        <v>-18448.023239999951</v>
      </c>
      <c r="BQ72" s="91">
        <f t="shared" si="100"/>
        <v>2098426.7410800001</v>
      </c>
      <c r="BR72" s="91">
        <f t="shared" si="67"/>
        <v>47.64</v>
      </c>
      <c r="BS72" s="91">
        <f t="shared" si="101"/>
        <v>50047.580627204028</v>
      </c>
      <c r="BT72" s="91">
        <f t="shared" si="102"/>
        <v>-18448.023239999951</v>
      </c>
      <c r="BU72" s="91">
        <f t="shared" si="103"/>
        <v>2116874.7643200001</v>
      </c>
      <c r="BV72" s="91">
        <f t="shared" si="104"/>
        <v>2098426.7410800001</v>
      </c>
      <c r="BW72" s="91">
        <f t="shared" si="105"/>
        <v>-387.23810327455817</v>
      </c>
      <c r="BX72" s="91">
        <f t="shared" si="106"/>
        <v>44434.81873047859</v>
      </c>
      <c r="BY72" s="91">
        <f t="shared" si="107"/>
        <v>44047.580627204028</v>
      </c>
      <c r="BZ72" s="323"/>
      <c r="CA72" s="323"/>
      <c r="CB72" s="323"/>
      <c r="CC72" s="323"/>
      <c r="CD72" s="323"/>
      <c r="CE72" s="323"/>
      <c r="CF72" s="323"/>
      <c r="CG72" s="323"/>
      <c r="CH72" s="323"/>
      <c r="CI72" s="323"/>
      <c r="CJ72" s="323"/>
      <c r="CK72" s="323"/>
      <c r="CL72" s="323"/>
      <c r="CM72" s="323"/>
      <c r="CN72" s="323"/>
      <c r="CO72" s="323"/>
      <c r="CP72" s="323"/>
      <c r="CQ72" s="323"/>
      <c r="CR72" s="323"/>
      <c r="CS72" s="323"/>
      <c r="CT72" s="323"/>
      <c r="CU72" s="323"/>
      <c r="CV72" s="323"/>
      <c r="CW72" s="323"/>
      <c r="CX72" s="323"/>
      <c r="CY72" s="323"/>
      <c r="CZ72" s="323"/>
      <c r="DA72" s="323"/>
      <c r="DB72" s="323"/>
      <c r="DC72" s="323"/>
      <c r="DD72" s="323"/>
      <c r="DE72" s="323"/>
      <c r="DF72" s="323"/>
      <c r="DG72" s="323"/>
      <c r="DH72" s="323"/>
      <c r="DI72" s="323"/>
      <c r="DJ72" s="323"/>
      <c r="DK72" s="323"/>
      <c r="DL72" s="323"/>
      <c r="DM72" s="323"/>
      <c r="DN72" s="323"/>
      <c r="DO72" s="323"/>
      <c r="DP72" s="323"/>
      <c r="DQ72" s="323"/>
      <c r="DR72" s="323"/>
      <c r="DS72" s="323"/>
      <c r="DT72" s="323"/>
      <c r="DU72" s="323"/>
      <c r="DV72" s="323"/>
      <c r="DW72" s="323"/>
      <c r="DX72" s="323"/>
      <c r="DY72" s="323"/>
      <c r="DZ72" s="323"/>
      <c r="EA72" s="323"/>
      <c r="EB72" s="323"/>
      <c r="EC72" s="323"/>
      <c r="ED72" s="323"/>
      <c r="EE72" s="323"/>
      <c r="EF72" s="323"/>
      <c r="EG72" s="323"/>
      <c r="EH72" s="323"/>
      <c r="EI72" s="323"/>
      <c r="EJ72" s="323"/>
      <c r="EK72" s="323"/>
      <c r="EL72" s="323"/>
      <c r="EM72" s="323"/>
      <c r="EN72" s="323"/>
      <c r="EO72" s="323"/>
      <c r="EP72" s="323"/>
      <c r="EQ72" s="323"/>
      <c r="ER72" s="323"/>
      <c r="ES72" s="323"/>
      <c r="ET72" s="323"/>
      <c r="EU72" s="323"/>
      <c r="EV72" s="323"/>
      <c r="EW72" s="323"/>
      <c r="EX72" s="323"/>
      <c r="EY72" s="323"/>
      <c r="EZ72" s="323"/>
      <c r="FA72" s="323"/>
      <c r="FB72" s="323"/>
      <c r="FC72" s="323"/>
      <c r="FD72" s="323"/>
      <c r="FE72" s="323"/>
      <c r="FF72" s="323"/>
      <c r="FG72" s="323"/>
      <c r="FH72" s="323"/>
      <c r="FI72" s="323"/>
      <c r="FJ72" s="323"/>
      <c r="FK72" s="323"/>
      <c r="FL72" s="323"/>
      <c r="FM72" s="323"/>
      <c r="FN72" s="323"/>
      <c r="FO72" s="323"/>
      <c r="FP72" s="323"/>
      <c r="FQ72" s="323"/>
      <c r="FR72" s="323"/>
      <c r="FS72" s="323"/>
      <c r="FT72" s="323"/>
      <c r="FU72" s="323"/>
      <c r="FV72" s="323"/>
      <c r="FW72" s="323"/>
      <c r="FX72" s="323"/>
      <c r="FY72" s="323"/>
      <c r="FZ72" s="323"/>
      <c r="GA72" s="323"/>
      <c r="GB72" s="323"/>
      <c r="GC72" s="323"/>
      <c r="GD72" s="323"/>
      <c r="GE72" s="323"/>
      <c r="GF72" s="323"/>
      <c r="GG72" s="323"/>
      <c r="GH72" s="323"/>
      <c r="GI72" s="323"/>
      <c r="GJ72" s="323"/>
      <c r="GK72" s="323"/>
      <c r="GL72" s="323"/>
      <c r="GM72" s="323"/>
      <c r="GN72" s="323"/>
      <c r="GO72" s="323"/>
      <c r="GP72" s="323"/>
      <c r="GQ72" s="323"/>
      <c r="GR72" s="323"/>
      <c r="GS72" s="323"/>
      <c r="GT72" s="323"/>
      <c r="GU72" s="323"/>
      <c r="GV72" s="323"/>
      <c r="GW72" s="323"/>
      <c r="GX72" s="323"/>
      <c r="GY72" s="323"/>
      <c r="GZ72" s="323"/>
      <c r="HA72" s="323"/>
      <c r="HB72" s="323"/>
      <c r="HC72" s="323"/>
      <c r="HD72" s="323"/>
      <c r="HE72" s="323"/>
      <c r="HF72" s="323"/>
      <c r="HG72" s="323"/>
      <c r="HH72" s="323"/>
      <c r="HI72" s="323"/>
      <c r="HJ72" s="323"/>
      <c r="HK72" s="323"/>
      <c r="HL72" s="323"/>
      <c r="HM72" s="323"/>
      <c r="HN72" s="323"/>
      <c r="HO72" s="323"/>
      <c r="HP72" s="323"/>
      <c r="HQ72" s="323"/>
      <c r="HR72" s="323"/>
      <c r="HS72" s="323"/>
      <c r="HT72" s="323"/>
      <c r="HU72" s="323"/>
      <c r="HV72" s="323"/>
      <c r="HW72" s="323"/>
      <c r="HX72" s="323"/>
      <c r="HY72" s="323"/>
      <c r="HZ72" s="323"/>
      <c r="IA72" s="323"/>
      <c r="IB72" s="323"/>
      <c r="IC72" s="323"/>
      <c r="ID72" s="323"/>
      <c r="IE72" s="323"/>
      <c r="IF72" s="323"/>
      <c r="IG72" s="323"/>
      <c r="IH72" s="323"/>
      <c r="II72" s="323"/>
      <c r="IJ72" s="323"/>
      <c r="IK72" s="323"/>
      <c r="IL72" s="323"/>
      <c r="IM72" s="323"/>
      <c r="IN72" s="323"/>
      <c r="IO72" s="323"/>
      <c r="IP72" s="323"/>
      <c r="IQ72" s="323"/>
      <c r="IR72" s="323"/>
      <c r="IS72" s="323"/>
      <c r="IT72" s="323"/>
      <c r="IU72" s="323"/>
      <c r="IV72" s="323"/>
    </row>
    <row r="73" spans="1:256" ht="72" customHeight="1">
      <c r="A73" s="178" t="s">
        <v>138</v>
      </c>
      <c r="B73" s="151" t="s">
        <v>207</v>
      </c>
      <c r="C73" s="151" t="s">
        <v>115</v>
      </c>
      <c r="D73" s="151" t="s">
        <v>115</v>
      </c>
      <c r="E73" s="151" t="s">
        <v>117</v>
      </c>
      <c r="F73" s="151" t="s">
        <v>118</v>
      </c>
      <c r="G73" s="152" t="str">
        <f t="shared" si="76"/>
        <v>No of Racks</v>
      </c>
      <c r="H73" s="151">
        <v>24</v>
      </c>
      <c r="I73" s="151">
        <v>24</v>
      </c>
      <c r="J73" s="180">
        <f t="shared" si="75"/>
        <v>0</v>
      </c>
      <c r="K73" s="151">
        <v>24</v>
      </c>
      <c r="L73" s="151"/>
      <c r="M73" s="181">
        <f>5760000/12</f>
        <v>480000</v>
      </c>
      <c r="N73" s="83">
        <f t="shared" si="78"/>
        <v>5760000</v>
      </c>
      <c r="O73" s="183" t="s">
        <v>115</v>
      </c>
      <c r="P73" s="151" t="s">
        <v>125</v>
      </c>
      <c r="Q73" s="151">
        <v>192</v>
      </c>
      <c r="R73" s="254">
        <v>53.6</v>
      </c>
      <c r="S73" s="185">
        <f t="shared" si="41"/>
        <v>138.4</v>
      </c>
      <c r="T73" s="151"/>
      <c r="U73" s="186">
        <f t="shared" si="79"/>
        <v>138.4</v>
      </c>
      <c r="V73" s="186">
        <f t="shared" si="108"/>
        <v>192</v>
      </c>
      <c r="W73" s="202">
        <f>R73</f>
        <v>53.6</v>
      </c>
      <c r="X73" s="186"/>
      <c r="Y73" s="83"/>
      <c r="Z73" s="189" t="s">
        <v>130</v>
      </c>
      <c r="AA73" s="151">
        <v>1.7</v>
      </c>
      <c r="AB73" s="179" t="s">
        <v>132</v>
      </c>
      <c r="AC73" s="190">
        <v>8.1999999999999993</v>
      </c>
      <c r="AD73" s="147">
        <v>38599.824317932129</v>
      </c>
      <c r="AE73" s="120"/>
      <c r="AF73" s="152" t="s">
        <v>208</v>
      </c>
      <c r="AG73" s="151">
        <v>15</v>
      </c>
      <c r="AH73" s="151">
        <v>15</v>
      </c>
      <c r="AI73" s="151">
        <v>0</v>
      </c>
      <c r="AJ73" s="151">
        <v>0</v>
      </c>
      <c r="AK73" s="151"/>
      <c r="AL73" s="245">
        <f>2000000/15</f>
        <v>133333.33333333334</v>
      </c>
      <c r="AM73" s="83">
        <f t="shared" si="81"/>
        <v>11520000</v>
      </c>
      <c r="AN73" s="83">
        <f t="shared" si="82"/>
        <v>0</v>
      </c>
      <c r="AO73" s="83">
        <f t="shared" si="83"/>
        <v>538081.55099197384</v>
      </c>
      <c r="AP73" s="83">
        <f t="shared" si="84"/>
        <v>0</v>
      </c>
      <c r="AQ73" s="84">
        <f>120000+25000</f>
        <v>145000</v>
      </c>
      <c r="AR73" s="103">
        <f t="shared" si="85"/>
        <v>0</v>
      </c>
      <c r="AS73" s="85">
        <f t="shared" si="86"/>
        <v>0</v>
      </c>
      <c r="AT73" s="85" t="s">
        <v>119</v>
      </c>
      <c r="AU73" s="69"/>
      <c r="AV73" s="191">
        <v>43484</v>
      </c>
      <c r="AW73" s="69">
        <v>5</v>
      </c>
      <c r="AX73" s="191">
        <v>43822</v>
      </c>
      <c r="AY73" s="69"/>
      <c r="AZ73" s="323"/>
      <c r="BA73" s="84">
        <f t="shared" si="87"/>
        <v>0</v>
      </c>
      <c r="BB73" s="84">
        <f t="shared" si="88"/>
        <v>0</v>
      </c>
      <c r="BC73" s="84">
        <f t="shared" si="89"/>
        <v>59916.808677814784</v>
      </c>
      <c r="BD73" s="84">
        <f t="shared" si="90"/>
        <v>59916.808677814784</v>
      </c>
      <c r="BE73" s="84">
        <f t="shared" si="91"/>
        <v>59814.24779999999</v>
      </c>
      <c r="BF73" s="84"/>
      <c r="BG73" s="93">
        <f t="shared" si="92"/>
        <v>12058081.550991975</v>
      </c>
      <c r="BH73" s="93">
        <f t="shared" si="93"/>
        <v>11520000</v>
      </c>
      <c r="BI73" s="93">
        <f t="shared" si="94"/>
        <v>538081.55099197384</v>
      </c>
      <c r="BJ73" s="91">
        <f t="shared" si="95"/>
        <v>554054.28485153534</v>
      </c>
      <c r="BK73" s="91">
        <f t="shared" si="96"/>
        <v>554054.28485153534</v>
      </c>
      <c r="BL73" s="91">
        <f t="shared" si="61"/>
        <v>1700970.2784000002</v>
      </c>
      <c r="BM73" s="91">
        <f t="shared" si="97"/>
        <v>11504027.266140439</v>
      </c>
      <c r="BN73" s="91">
        <f t="shared" si="63"/>
        <v>1152000</v>
      </c>
      <c r="BO73" s="91">
        <f t="shared" si="98"/>
        <v>10368000</v>
      </c>
      <c r="BP73" s="91">
        <f t="shared" si="99"/>
        <v>-15972.7338595615</v>
      </c>
      <c r="BQ73" s="91">
        <f t="shared" si="100"/>
        <v>10352027.266140439</v>
      </c>
      <c r="BR73" s="91">
        <f t="shared" si="67"/>
        <v>192</v>
      </c>
      <c r="BS73" s="91">
        <f t="shared" si="101"/>
        <v>59916.808677814784</v>
      </c>
      <c r="BT73" s="91">
        <f t="shared" si="102"/>
        <v>-15972.7338595615</v>
      </c>
      <c r="BU73" s="91">
        <f t="shared" si="103"/>
        <v>10368000</v>
      </c>
      <c r="BV73" s="91">
        <f t="shared" si="104"/>
        <v>10352027.266140439</v>
      </c>
      <c r="BW73" s="91">
        <f t="shared" si="105"/>
        <v>-83.191322185216151</v>
      </c>
      <c r="BX73" s="91">
        <f t="shared" si="106"/>
        <v>54000</v>
      </c>
      <c r="BY73" s="91">
        <f t="shared" si="107"/>
        <v>53916.808677814784</v>
      </c>
      <c r="BZ73" s="323"/>
      <c r="CA73" s="323"/>
      <c r="CB73" s="323"/>
      <c r="CC73" s="323"/>
      <c r="CD73" s="323"/>
      <c r="CE73" s="323"/>
      <c r="CF73" s="323"/>
      <c r="CG73" s="323"/>
      <c r="CH73" s="323"/>
      <c r="CI73" s="323"/>
      <c r="CJ73" s="323"/>
      <c r="CK73" s="323"/>
      <c r="CL73" s="323"/>
      <c r="CM73" s="323"/>
      <c r="CN73" s="323"/>
      <c r="CO73" s="323"/>
      <c r="CP73" s="323"/>
      <c r="CQ73" s="323"/>
      <c r="CR73" s="323"/>
      <c r="CS73" s="323"/>
      <c r="CT73" s="323"/>
      <c r="CU73" s="323"/>
      <c r="CV73" s="323"/>
      <c r="CW73" s="323"/>
      <c r="CX73" s="323"/>
      <c r="CY73" s="323"/>
      <c r="CZ73" s="323"/>
      <c r="DA73" s="323"/>
      <c r="DB73" s="323"/>
      <c r="DC73" s="323"/>
      <c r="DD73" s="323"/>
      <c r="DE73" s="323"/>
      <c r="DF73" s="323"/>
      <c r="DG73" s="323"/>
      <c r="DH73" s="323"/>
      <c r="DI73" s="323"/>
      <c r="DJ73" s="323"/>
      <c r="DK73" s="323"/>
      <c r="DL73" s="323"/>
      <c r="DM73" s="323"/>
      <c r="DN73" s="323"/>
      <c r="DO73" s="323"/>
      <c r="DP73" s="323"/>
      <c r="DQ73" s="323"/>
      <c r="DR73" s="323"/>
      <c r="DS73" s="323"/>
      <c r="DT73" s="323"/>
      <c r="DU73" s="323"/>
      <c r="DV73" s="323"/>
      <c r="DW73" s="323"/>
      <c r="DX73" s="323"/>
      <c r="DY73" s="323"/>
      <c r="DZ73" s="323"/>
      <c r="EA73" s="323"/>
      <c r="EB73" s="323"/>
      <c r="EC73" s="323"/>
      <c r="ED73" s="323"/>
      <c r="EE73" s="323"/>
      <c r="EF73" s="323"/>
      <c r="EG73" s="323"/>
      <c r="EH73" s="323"/>
      <c r="EI73" s="323"/>
      <c r="EJ73" s="323"/>
      <c r="EK73" s="323"/>
      <c r="EL73" s="323"/>
      <c r="EM73" s="323"/>
      <c r="EN73" s="323"/>
      <c r="EO73" s="323"/>
      <c r="EP73" s="323"/>
      <c r="EQ73" s="323"/>
      <c r="ER73" s="323"/>
      <c r="ES73" s="323"/>
      <c r="ET73" s="323"/>
      <c r="EU73" s="323"/>
      <c r="EV73" s="323"/>
      <c r="EW73" s="323"/>
      <c r="EX73" s="323"/>
      <c r="EY73" s="323"/>
      <c r="EZ73" s="323"/>
      <c r="FA73" s="323"/>
      <c r="FB73" s="323"/>
      <c r="FC73" s="323"/>
      <c r="FD73" s="323"/>
      <c r="FE73" s="323"/>
      <c r="FF73" s="323"/>
      <c r="FG73" s="323"/>
      <c r="FH73" s="323"/>
      <c r="FI73" s="323"/>
      <c r="FJ73" s="323"/>
      <c r="FK73" s="323"/>
      <c r="FL73" s="323"/>
      <c r="FM73" s="323"/>
      <c r="FN73" s="323"/>
      <c r="FO73" s="323"/>
      <c r="FP73" s="323"/>
      <c r="FQ73" s="323"/>
      <c r="FR73" s="323"/>
      <c r="FS73" s="323"/>
      <c r="FT73" s="323"/>
      <c r="FU73" s="323"/>
      <c r="FV73" s="323"/>
      <c r="FW73" s="323"/>
      <c r="FX73" s="323"/>
      <c r="FY73" s="323"/>
      <c r="FZ73" s="323"/>
      <c r="GA73" s="323"/>
      <c r="GB73" s="323"/>
      <c r="GC73" s="323"/>
      <c r="GD73" s="323"/>
      <c r="GE73" s="323"/>
      <c r="GF73" s="323"/>
      <c r="GG73" s="323"/>
      <c r="GH73" s="323"/>
      <c r="GI73" s="323"/>
      <c r="GJ73" s="323"/>
      <c r="GK73" s="323"/>
      <c r="GL73" s="323"/>
      <c r="GM73" s="323"/>
      <c r="GN73" s="323"/>
      <c r="GO73" s="323"/>
      <c r="GP73" s="323"/>
      <c r="GQ73" s="323"/>
      <c r="GR73" s="323"/>
      <c r="GS73" s="323"/>
      <c r="GT73" s="323"/>
      <c r="GU73" s="323"/>
      <c r="GV73" s="323"/>
      <c r="GW73" s="323"/>
      <c r="GX73" s="323"/>
      <c r="GY73" s="323"/>
      <c r="GZ73" s="323"/>
      <c r="HA73" s="323"/>
      <c r="HB73" s="323"/>
      <c r="HC73" s="323"/>
      <c r="HD73" s="323"/>
      <c r="HE73" s="323"/>
      <c r="HF73" s="323"/>
      <c r="HG73" s="323"/>
      <c r="HH73" s="323"/>
      <c r="HI73" s="323"/>
      <c r="HJ73" s="323"/>
      <c r="HK73" s="323"/>
      <c r="HL73" s="323"/>
      <c r="HM73" s="323"/>
      <c r="HN73" s="323"/>
      <c r="HO73" s="323"/>
      <c r="HP73" s="323"/>
      <c r="HQ73" s="323"/>
      <c r="HR73" s="323"/>
      <c r="HS73" s="323"/>
      <c r="HT73" s="323"/>
      <c r="HU73" s="323"/>
      <c r="HV73" s="323"/>
      <c r="HW73" s="323"/>
      <c r="HX73" s="323"/>
      <c r="HY73" s="323"/>
      <c r="HZ73" s="323"/>
      <c r="IA73" s="323"/>
      <c r="IB73" s="323"/>
      <c r="IC73" s="323"/>
      <c r="ID73" s="323"/>
      <c r="IE73" s="323"/>
      <c r="IF73" s="323"/>
      <c r="IG73" s="323"/>
      <c r="IH73" s="323"/>
      <c r="II73" s="323"/>
      <c r="IJ73" s="323"/>
      <c r="IK73" s="323"/>
      <c r="IL73" s="323"/>
      <c r="IM73" s="323"/>
      <c r="IN73" s="323"/>
      <c r="IO73" s="323"/>
      <c r="IP73" s="323"/>
      <c r="IQ73" s="323"/>
      <c r="IR73" s="323"/>
      <c r="IS73" s="323"/>
      <c r="IT73" s="323"/>
      <c r="IU73" s="323"/>
      <c r="IV73" s="323"/>
    </row>
    <row r="74" spans="1:256" ht="14.45">
      <c r="A74" s="178" t="s">
        <v>138</v>
      </c>
      <c r="B74" s="151" t="s">
        <v>209</v>
      </c>
      <c r="C74" s="151" t="s">
        <v>115</v>
      </c>
      <c r="D74" s="179" t="s">
        <v>116</v>
      </c>
      <c r="E74" s="151" t="s">
        <v>117</v>
      </c>
      <c r="F74" s="151" t="s">
        <v>131</v>
      </c>
      <c r="G74" s="152" t="str">
        <f t="shared" si="76"/>
        <v>No of Racks</v>
      </c>
      <c r="H74" s="151">
        <v>6</v>
      </c>
      <c r="I74" s="151">
        <v>6</v>
      </c>
      <c r="J74" s="180">
        <f t="shared" si="75"/>
        <v>0</v>
      </c>
      <c r="K74" s="151">
        <v>6</v>
      </c>
      <c r="L74" s="151"/>
      <c r="M74" s="181">
        <f>2300000/12</f>
        <v>191666.66666666666</v>
      </c>
      <c r="N74" s="182">
        <f t="shared" si="78"/>
        <v>2300000</v>
      </c>
      <c r="O74" s="183" t="str">
        <f>C74</f>
        <v>Subscribed</v>
      </c>
      <c r="P74" s="151" t="s">
        <v>125</v>
      </c>
      <c r="Q74" s="151">
        <v>18</v>
      </c>
      <c r="R74" s="255">
        <v>9.09</v>
      </c>
      <c r="S74" s="185">
        <f t="shared" si="41"/>
        <v>8.91</v>
      </c>
      <c r="T74" s="186"/>
      <c r="U74" s="186">
        <f t="shared" si="79"/>
        <v>8.91</v>
      </c>
      <c r="V74" s="186">
        <f t="shared" si="108"/>
        <v>18</v>
      </c>
      <c r="W74" s="188">
        <v>6.22</v>
      </c>
      <c r="X74" s="186"/>
      <c r="Y74" s="83">
        <f>90000/12</f>
        <v>7500</v>
      </c>
      <c r="Z74" s="189" t="str">
        <f>D74</f>
        <v>Bundled</v>
      </c>
      <c r="AA74" s="186"/>
      <c r="AB74" s="186"/>
      <c r="AC74" s="190"/>
      <c r="AD74" s="227">
        <v>0</v>
      </c>
      <c r="AE74" s="120"/>
      <c r="AF74" s="152"/>
      <c r="AG74" s="186"/>
      <c r="AH74" s="186"/>
      <c r="AI74" s="186"/>
      <c r="AJ74" s="186"/>
      <c r="AK74" s="186"/>
      <c r="AL74" s="181"/>
      <c r="AM74" s="83">
        <f t="shared" si="81"/>
        <v>1150000</v>
      </c>
      <c r="AN74" s="83">
        <f t="shared" si="82"/>
        <v>0</v>
      </c>
      <c r="AO74" s="83">
        <f t="shared" si="83"/>
        <v>0</v>
      </c>
      <c r="AP74" s="83">
        <f t="shared" si="84"/>
        <v>0</v>
      </c>
      <c r="AQ74" s="109">
        <f>(250000+100000+250000)/12</f>
        <v>50000</v>
      </c>
      <c r="AR74" s="85">
        <f t="shared" si="85"/>
        <v>0</v>
      </c>
      <c r="AS74" s="86">
        <f t="shared" si="86"/>
        <v>0</v>
      </c>
      <c r="AT74" s="85" t="s">
        <v>119</v>
      </c>
      <c r="AU74" s="221" t="s">
        <v>210</v>
      </c>
      <c r="AV74" s="191">
        <v>43149</v>
      </c>
      <c r="AW74" s="69">
        <v>1</v>
      </c>
      <c r="AX74" s="191">
        <v>43484</v>
      </c>
      <c r="AY74" s="69"/>
      <c r="AZ74" s="69"/>
      <c r="BA74" s="84">
        <f t="shared" si="87"/>
        <v>0</v>
      </c>
      <c r="BB74" s="84">
        <f t="shared" si="88"/>
        <v>0</v>
      </c>
      <c r="BC74" s="84">
        <f t="shared" si="89"/>
        <v>60287.297408888895</v>
      </c>
      <c r="BD74" s="84">
        <f t="shared" si="90"/>
        <v>55128.104468888887</v>
      </c>
      <c r="BE74" s="84">
        <f t="shared" si="91"/>
        <v>53466.276888888882</v>
      </c>
      <c r="BF74" s="84"/>
      <c r="BG74" s="93">
        <f t="shared" si="92"/>
        <v>1150000</v>
      </c>
      <c r="BH74" s="93">
        <f t="shared" si="93"/>
        <v>962392.98399999994</v>
      </c>
      <c r="BI74" s="93">
        <f t="shared" si="94"/>
        <v>187607.016</v>
      </c>
      <c r="BJ74" s="91">
        <f t="shared" si="95"/>
        <v>64828.646640000006</v>
      </c>
      <c r="BK74" s="91">
        <f t="shared" si="96"/>
        <v>157694.11955999999</v>
      </c>
      <c r="BL74" s="91">
        <f t="shared" si="61"/>
        <v>187607.016</v>
      </c>
      <c r="BM74" s="91">
        <f t="shared" si="97"/>
        <v>1085171.3533600001</v>
      </c>
      <c r="BN74" s="91">
        <f t="shared" si="63"/>
        <v>108000</v>
      </c>
      <c r="BO74" s="91">
        <f t="shared" si="98"/>
        <v>854392.98399999994</v>
      </c>
      <c r="BP74" s="91">
        <f t="shared" si="99"/>
        <v>122778.36936</v>
      </c>
      <c r="BQ74" s="91">
        <f t="shared" si="100"/>
        <v>977171.35335999995</v>
      </c>
      <c r="BR74" s="91">
        <f t="shared" si="67"/>
        <v>18</v>
      </c>
      <c r="BS74" s="91">
        <f t="shared" si="101"/>
        <v>60287.297408888895</v>
      </c>
      <c r="BT74" s="91">
        <f t="shared" si="102"/>
        <v>122778.36936</v>
      </c>
      <c r="BU74" s="91">
        <f t="shared" si="103"/>
        <v>854392.98399999994</v>
      </c>
      <c r="BV74" s="91">
        <f t="shared" si="104"/>
        <v>977171.35335999995</v>
      </c>
      <c r="BW74" s="91">
        <f t="shared" si="105"/>
        <v>6821.02052</v>
      </c>
      <c r="BX74" s="91">
        <f t="shared" si="106"/>
        <v>47466.276888888882</v>
      </c>
      <c r="BY74" s="91">
        <f t="shared" si="107"/>
        <v>54287.297408888888</v>
      </c>
      <c r="BZ74" s="323"/>
      <c r="CA74" s="323"/>
      <c r="CB74" s="323"/>
      <c r="CC74" s="323"/>
      <c r="CD74" s="323"/>
      <c r="CE74" s="323"/>
      <c r="CF74" s="323"/>
      <c r="CG74" s="323"/>
      <c r="CH74" s="323"/>
      <c r="CI74" s="323"/>
      <c r="CJ74" s="323"/>
      <c r="CK74" s="323"/>
      <c r="CL74" s="323"/>
      <c r="CM74" s="323"/>
      <c r="CN74" s="323"/>
      <c r="CO74" s="323"/>
      <c r="CP74" s="323"/>
      <c r="CQ74" s="323"/>
      <c r="CR74" s="323"/>
      <c r="CS74" s="323"/>
      <c r="CT74" s="323"/>
      <c r="CU74" s="323"/>
      <c r="CV74" s="323"/>
      <c r="CW74" s="323"/>
      <c r="CX74" s="323"/>
      <c r="CY74" s="323"/>
      <c r="CZ74" s="323"/>
      <c r="DA74" s="323"/>
      <c r="DB74" s="323"/>
      <c r="DC74" s="323"/>
      <c r="DD74" s="323"/>
      <c r="DE74" s="323"/>
      <c r="DF74" s="323"/>
      <c r="DG74" s="323"/>
      <c r="DH74" s="323"/>
      <c r="DI74" s="323"/>
      <c r="DJ74" s="323"/>
      <c r="DK74" s="323"/>
      <c r="DL74" s="323"/>
      <c r="DM74" s="323"/>
      <c r="DN74" s="323"/>
      <c r="DO74" s="323"/>
      <c r="DP74" s="323"/>
      <c r="DQ74" s="323"/>
      <c r="DR74" s="323"/>
      <c r="DS74" s="323"/>
      <c r="DT74" s="323"/>
      <c r="DU74" s="323"/>
      <c r="DV74" s="323"/>
      <c r="DW74" s="323"/>
      <c r="DX74" s="323"/>
      <c r="DY74" s="323"/>
      <c r="DZ74" s="323"/>
      <c r="EA74" s="323"/>
      <c r="EB74" s="323"/>
      <c r="EC74" s="323"/>
      <c r="ED74" s="323"/>
      <c r="EE74" s="323"/>
      <c r="EF74" s="323"/>
      <c r="EG74" s="323"/>
      <c r="EH74" s="323"/>
      <c r="EI74" s="323"/>
      <c r="EJ74" s="323"/>
      <c r="EK74" s="323"/>
      <c r="EL74" s="323"/>
      <c r="EM74" s="323"/>
      <c r="EN74" s="323"/>
      <c r="EO74" s="323"/>
      <c r="EP74" s="323"/>
      <c r="EQ74" s="323"/>
      <c r="ER74" s="323"/>
      <c r="ES74" s="323"/>
      <c r="ET74" s="323"/>
      <c r="EU74" s="323"/>
      <c r="EV74" s="323"/>
      <c r="EW74" s="323"/>
      <c r="EX74" s="323"/>
      <c r="EY74" s="323"/>
      <c r="EZ74" s="323"/>
      <c r="FA74" s="323"/>
      <c r="FB74" s="323"/>
      <c r="FC74" s="323"/>
      <c r="FD74" s="323"/>
      <c r="FE74" s="323"/>
      <c r="FF74" s="323"/>
      <c r="FG74" s="323"/>
      <c r="FH74" s="323"/>
      <c r="FI74" s="323"/>
      <c r="FJ74" s="323"/>
      <c r="FK74" s="323"/>
      <c r="FL74" s="323"/>
      <c r="FM74" s="323"/>
      <c r="FN74" s="323"/>
      <c r="FO74" s="323"/>
      <c r="FP74" s="323"/>
      <c r="FQ74" s="323"/>
      <c r="FR74" s="323"/>
      <c r="FS74" s="323"/>
      <c r="FT74" s="323"/>
      <c r="FU74" s="323"/>
      <c r="FV74" s="323"/>
      <c r="FW74" s="323"/>
      <c r="FX74" s="323"/>
      <c r="FY74" s="323"/>
      <c r="FZ74" s="323"/>
      <c r="GA74" s="323"/>
      <c r="GB74" s="323"/>
      <c r="GC74" s="323"/>
      <c r="GD74" s="323"/>
      <c r="GE74" s="323"/>
      <c r="GF74" s="323"/>
      <c r="GG74" s="323"/>
      <c r="GH74" s="323"/>
      <c r="GI74" s="323"/>
      <c r="GJ74" s="323"/>
      <c r="GK74" s="323"/>
      <c r="GL74" s="323"/>
      <c r="GM74" s="323"/>
      <c r="GN74" s="323"/>
      <c r="GO74" s="323"/>
      <c r="GP74" s="323"/>
      <c r="GQ74" s="323"/>
      <c r="GR74" s="323"/>
      <c r="GS74" s="323"/>
      <c r="GT74" s="323"/>
      <c r="GU74" s="323"/>
      <c r="GV74" s="323"/>
      <c r="GW74" s="323"/>
      <c r="GX74" s="323"/>
      <c r="GY74" s="323"/>
      <c r="GZ74" s="323"/>
      <c r="HA74" s="323"/>
      <c r="HB74" s="323"/>
      <c r="HC74" s="323"/>
      <c r="HD74" s="323"/>
      <c r="HE74" s="323"/>
      <c r="HF74" s="323"/>
      <c r="HG74" s="323"/>
      <c r="HH74" s="323"/>
      <c r="HI74" s="323"/>
      <c r="HJ74" s="323"/>
      <c r="HK74" s="323"/>
      <c r="HL74" s="323"/>
      <c r="HM74" s="323"/>
      <c r="HN74" s="323"/>
      <c r="HO74" s="323"/>
      <c r="HP74" s="323"/>
      <c r="HQ74" s="323"/>
      <c r="HR74" s="323"/>
      <c r="HS74" s="323"/>
      <c r="HT74" s="323"/>
      <c r="HU74" s="323"/>
      <c r="HV74" s="323"/>
      <c r="HW74" s="323"/>
      <c r="HX74" s="323"/>
      <c r="HY74" s="323"/>
      <c r="HZ74" s="323"/>
      <c r="IA74" s="323"/>
      <c r="IB74" s="323"/>
      <c r="IC74" s="323"/>
      <c r="ID74" s="323"/>
      <c r="IE74" s="323"/>
      <c r="IF74" s="323"/>
      <c r="IG74" s="323"/>
      <c r="IH74" s="323"/>
      <c r="II74" s="323"/>
      <c r="IJ74" s="323"/>
      <c r="IK74" s="323"/>
      <c r="IL74" s="323"/>
      <c r="IM74" s="323"/>
      <c r="IN74" s="323"/>
      <c r="IO74" s="323"/>
      <c r="IP74" s="323"/>
      <c r="IQ74" s="323"/>
      <c r="IR74" s="323"/>
      <c r="IS74" s="323"/>
      <c r="IT74" s="323"/>
      <c r="IU74" s="323"/>
      <c r="IV74" s="323"/>
    </row>
    <row r="75" spans="1:256" ht="14.25" customHeight="1">
      <c r="A75" s="321" t="s">
        <v>4</v>
      </c>
      <c r="B75" s="256"/>
      <c r="C75" s="110"/>
      <c r="D75" s="110"/>
      <c r="E75" s="110"/>
      <c r="F75" s="110"/>
      <c r="G75" s="110"/>
      <c r="H75" s="256">
        <f>SUM(H23:H74)</f>
        <v>1560</v>
      </c>
      <c r="I75" s="256">
        <f>SUM(I23:I74)</f>
        <v>1427</v>
      </c>
      <c r="J75" s="320">
        <f t="shared" si="75"/>
        <v>133</v>
      </c>
      <c r="K75" s="256"/>
      <c r="L75" s="256"/>
      <c r="M75" s="256"/>
      <c r="N75" s="257"/>
      <c r="O75" s="256"/>
      <c r="P75" s="258"/>
      <c r="Q75" s="258"/>
      <c r="R75" s="259"/>
      <c r="S75" s="258"/>
      <c r="T75" s="258"/>
      <c r="U75" s="258">
        <f>SUM(U22:U74)</f>
        <v>711.26978629032249</v>
      </c>
      <c r="V75" s="258"/>
      <c r="W75" s="259"/>
      <c r="X75" s="258"/>
      <c r="Y75" s="260"/>
      <c r="Z75" s="258"/>
      <c r="AA75" s="258"/>
      <c r="AB75" s="258"/>
      <c r="AC75" s="193"/>
      <c r="AD75" s="199"/>
      <c r="AE75" s="261" t="str">
        <f>IF(AD75="No of Seats","No of Seats",(IF(AD75="Space","Sq Ft","")))</f>
        <v/>
      </c>
      <c r="AF75" s="262"/>
      <c r="AG75" s="262"/>
      <c r="AH75" s="262"/>
      <c r="AI75" s="258"/>
      <c r="AJ75" s="258"/>
      <c r="AK75" s="258"/>
      <c r="AL75" s="263"/>
      <c r="AM75" s="263"/>
      <c r="AN75" s="263"/>
      <c r="AO75" s="263"/>
      <c r="AP75" s="263">
        <f>SUM(AP22:AP70)</f>
        <v>341550</v>
      </c>
      <c r="AQ75" s="263">
        <f>SUM(AQ22:AQ70)</f>
        <v>1591312.2491666663</v>
      </c>
      <c r="AR75" s="110"/>
      <c r="AS75" s="110"/>
      <c r="AT75" s="110"/>
      <c r="AU75" s="110"/>
      <c r="AV75" s="110"/>
      <c r="AW75" s="110"/>
      <c r="AX75" s="323"/>
      <c r="AY75" s="111"/>
      <c r="AZ75" s="111"/>
      <c r="BA75" s="111"/>
      <c r="BB75" s="111"/>
      <c r="BC75" s="111"/>
      <c r="BD75" s="111"/>
      <c r="BE75" s="264"/>
      <c r="BF75" s="264"/>
      <c r="BG75" s="264"/>
      <c r="BH75" s="112"/>
      <c r="BI75" s="112"/>
      <c r="BJ75" s="112"/>
      <c r="BK75" s="112"/>
      <c r="BL75" s="112"/>
      <c r="BM75" s="112"/>
      <c r="BN75" s="112"/>
      <c r="BO75" s="112"/>
      <c r="BP75" s="112"/>
      <c r="BQ75" s="112"/>
      <c r="BR75" s="112"/>
      <c r="BS75" s="112"/>
      <c r="BT75" s="112"/>
      <c r="BU75" s="112"/>
      <c r="BV75" s="112"/>
      <c r="BW75" s="112"/>
      <c r="BX75" s="323"/>
      <c r="BY75" s="323"/>
      <c r="BZ75" s="323"/>
      <c r="CA75" s="323"/>
      <c r="CB75" s="323"/>
      <c r="CC75" s="323"/>
      <c r="CD75" s="323"/>
      <c r="CE75" s="323"/>
      <c r="CF75" s="323"/>
      <c r="CG75" s="323"/>
      <c r="CH75" s="323"/>
      <c r="CI75" s="323"/>
      <c r="CJ75" s="323"/>
      <c r="CK75" s="323"/>
      <c r="CL75" s="323"/>
      <c r="CM75" s="323"/>
      <c r="CN75" s="323"/>
      <c r="CO75" s="323"/>
      <c r="CP75" s="323"/>
      <c r="CQ75" s="323"/>
      <c r="CR75" s="323"/>
      <c r="CS75" s="323"/>
      <c r="CT75" s="323"/>
      <c r="CU75" s="323"/>
      <c r="CV75" s="323"/>
      <c r="CW75" s="323"/>
      <c r="CX75" s="323"/>
      <c r="CY75" s="323"/>
      <c r="CZ75" s="323"/>
      <c r="DA75" s="323"/>
      <c r="DB75" s="323"/>
      <c r="DC75" s="323"/>
      <c r="DD75" s="323"/>
      <c r="DE75" s="323"/>
      <c r="DF75" s="323"/>
      <c r="DG75" s="323"/>
      <c r="DH75" s="323"/>
      <c r="DI75" s="323"/>
      <c r="DJ75" s="323"/>
      <c r="DK75" s="323"/>
      <c r="DL75" s="323"/>
      <c r="DM75" s="323"/>
      <c r="DN75" s="323"/>
      <c r="DO75" s="323"/>
      <c r="DP75" s="323"/>
      <c r="DQ75" s="323"/>
      <c r="DR75" s="323"/>
      <c r="DS75" s="323"/>
      <c r="DT75" s="323"/>
      <c r="DU75" s="323"/>
      <c r="DV75" s="323"/>
      <c r="DW75" s="323"/>
      <c r="DX75" s="323"/>
      <c r="DY75" s="323"/>
      <c r="DZ75" s="323"/>
      <c r="EA75" s="323"/>
      <c r="EB75" s="323"/>
      <c r="EC75" s="323"/>
      <c r="ED75" s="323"/>
      <c r="EE75" s="323"/>
      <c r="EF75" s="323"/>
      <c r="EG75" s="323"/>
      <c r="EH75" s="323"/>
      <c r="EI75" s="323"/>
      <c r="EJ75" s="323"/>
      <c r="EK75" s="323"/>
      <c r="EL75" s="323"/>
      <c r="EM75" s="323"/>
      <c r="EN75" s="323"/>
      <c r="EO75" s="323"/>
      <c r="EP75" s="323"/>
      <c r="EQ75" s="323"/>
      <c r="ER75" s="323"/>
      <c r="ES75" s="323"/>
      <c r="ET75" s="323"/>
      <c r="EU75" s="323"/>
      <c r="EV75" s="323"/>
      <c r="EW75" s="323"/>
      <c r="EX75" s="323"/>
      <c r="EY75" s="323"/>
      <c r="EZ75" s="323"/>
      <c r="FA75" s="323"/>
      <c r="FB75" s="323"/>
      <c r="FC75" s="323"/>
      <c r="FD75" s="323"/>
      <c r="FE75" s="323"/>
      <c r="FF75" s="323"/>
      <c r="FG75" s="323"/>
      <c r="FH75" s="323"/>
      <c r="FI75" s="323"/>
      <c r="FJ75" s="323"/>
      <c r="FK75" s="323"/>
      <c r="FL75" s="323"/>
      <c r="FM75" s="323"/>
      <c r="FN75" s="323"/>
      <c r="FO75" s="323"/>
      <c r="FP75" s="323"/>
      <c r="FQ75" s="323"/>
      <c r="FR75" s="323"/>
      <c r="FS75" s="323"/>
      <c r="FT75" s="323"/>
      <c r="FU75" s="323"/>
      <c r="FV75" s="323"/>
      <c r="FW75" s="323"/>
      <c r="FX75" s="323"/>
      <c r="FY75" s="323"/>
      <c r="FZ75" s="323"/>
      <c r="GA75" s="323"/>
      <c r="GB75" s="323"/>
      <c r="GC75" s="323"/>
      <c r="GD75" s="323"/>
      <c r="GE75" s="323"/>
      <c r="GF75" s="323"/>
      <c r="GG75" s="323"/>
      <c r="GH75" s="323"/>
      <c r="GI75" s="323"/>
      <c r="GJ75" s="323"/>
      <c r="GK75" s="323"/>
      <c r="GL75" s="323"/>
      <c r="GM75" s="323"/>
      <c r="GN75" s="323"/>
      <c r="GO75" s="323"/>
      <c r="GP75" s="323"/>
      <c r="GQ75" s="323"/>
      <c r="GR75" s="323"/>
      <c r="GS75" s="323"/>
      <c r="GT75" s="323"/>
      <c r="GU75" s="323"/>
      <c r="GV75" s="323"/>
      <c r="GW75" s="323"/>
      <c r="GX75" s="323"/>
      <c r="GY75" s="323"/>
      <c r="GZ75" s="323"/>
      <c r="HA75" s="323"/>
      <c r="HB75" s="323"/>
      <c r="HC75" s="323"/>
      <c r="HD75" s="323"/>
      <c r="HE75" s="323"/>
      <c r="HF75" s="323"/>
      <c r="HG75" s="323"/>
      <c r="HH75" s="323"/>
      <c r="HI75" s="323"/>
      <c r="HJ75" s="323"/>
      <c r="HK75" s="323"/>
      <c r="HL75" s="323"/>
      <c r="HM75" s="323"/>
      <c r="HN75" s="323"/>
      <c r="HO75" s="323"/>
      <c r="HP75" s="323"/>
      <c r="HQ75" s="323"/>
      <c r="HR75" s="323"/>
      <c r="HS75" s="323"/>
      <c r="HT75" s="323"/>
      <c r="HU75" s="323"/>
      <c r="HV75" s="323"/>
      <c r="HW75" s="323"/>
      <c r="HX75" s="323"/>
      <c r="HY75" s="323"/>
      <c r="HZ75" s="323"/>
      <c r="IA75" s="323"/>
      <c r="IB75" s="323"/>
      <c r="IC75" s="323"/>
      <c r="ID75" s="323"/>
      <c r="IE75" s="323"/>
      <c r="IF75" s="323"/>
      <c r="IG75" s="323"/>
      <c r="IH75" s="323"/>
      <c r="II75" s="323"/>
      <c r="IJ75" s="323"/>
      <c r="IK75" s="323"/>
      <c r="IL75" s="323"/>
      <c r="IM75" s="323"/>
      <c r="IN75" s="323"/>
      <c r="IO75" s="323"/>
      <c r="IP75" s="323"/>
      <c r="IQ75" s="323"/>
      <c r="IR75" s="323"/>
      <c r="IS75" s="323"/>
      <c r="IT75" s="323"/>
      <c r="IU75" s="323"/>
      <c r="IV75" s="323"/>
    </row>
    <row r="76" spans="1:256" customFormat="1" ht="14.45">
      <c r="A76" s="178" t="s">
        <v>211</v>
      </c>
      <c r="B76" s="243" t="s">
        <v>212</v>
      </c>
      <c r="C76" s="151" t="s">
        <v>124</v>
      </c>
      <c r="D76" s="265" t="s">
        <v>116</v>
      </c>
      <c r="E76" s="151" t="s">
        <v>117</v>
      </c>
      <c r="F76" s="151" t="s">
        <v>118</v>
      </c>
      <c r="G76" s="152" t="s">
        <v>213</v>
      </c>
      <c r="H76" s="152">
        <v>1</v>
      </c>
      <c r="I76" s="152">
        <v>1</v>
      </c>
      <c r="J76" s="180">
        <f t="shared" si="75"/>
        <v>0</v>
      </c>
      <c r="K76" s="152">
        <v>1</v>
      </c>
      <c r="L76" s="154"/>
      <c r="M76" s="266"/>
      <c r="N76" s="113">
        <v>0</v>
      </c>
      <c r="O76" s="267" t="s">
        <v>124</v>
      </c>
      <c r="P76" s="243" t="s">
        <v>125</v>
      </c>
      <c r="Q76" s="154">
        <v>3</v>
      </c>
      <c r="R76" s="247">
        <v>4.1399999999999997</v>
      </c>
      <c r="S76" s="185">
        <f t="shared" ref="S76:S83" si="109">Q76-R76</f>
        <v>-1.1399999999999997</v>
      </c>
      <c r="T76" s="268"/>
      <c r="U76" s="268">
        <v>0</v>
      </c>
      <c r="V76" s="268">
        <v>1.5</v>
      </c>
      <c r="W76" s="269">
        <f t="shared" ref="W76:W86" si="110">R76</f>
        <v>4.1399999999999997</v>
      </c>
      <c r="X76" s="268"/>
      <c r="Y76" s="113"/>
      <c r="Z76" s="270" t="s">
        <v>116</v>
      </c>
      <c r="AA76" s="268"/>
      <c r="AB76" s="268"/>
      <c r="AC76" s="271"/>
      <c r="AD76" s="272"/>
      <c r="AE76" s="273"/>
      <c r="AF76" s="154"/>
      <c r="AG76" s="268"/>
      <c r="AH76" s="268"/>
      <c r="AI76" s="268"/>
      <c r="AJ76" s="268"/>
      <c r="AK76" s="268"/>
      <c r="AL76" s="266"/>
      <c r="AM76" s="113">
        <v>0</v>
      </c>
      <c r="AN76" s="113">
        <v>0</v>
      </c>
      <c r="AO76" s="113">
        <v>0</v>
      </c>
      <c r="AP76" s="113">
        <v>0</v>
      </c>
      <c r="AQ76" s="114"/>
      <c r="AR76" s="115">
        <v>0</v>
      </c>
      <c r="AS76" s="115">
        <v>0</v>
      </c>
      <c r="AT76" s="115"/>
      <c r="AU76" s="116"/>
      <c r="AV76" s="274"/>
      <c r="AW76" s="116"/>
      <c r="AX76" s="274"/>
      <c r="AY76" s="116"/>
      <c r="AZ76" s="116"/>
      <c r="BA76" s="117"/>
      <c r="BB76" s="117"/>
      <c r="BC76" s="117"/>
      <c r="BD76" s="117"/>
      <c r="BE76" s="117"/>
      <c r="BF76" s="117"/>
      <c r="BG76" s="117"/>
      <c r="BH76" s="117"/>
      <c r="BI76" s="117"/>
      <c r="BJ76" s="118"/>
      <c r="BK76" s="118"/>
      <c r="BL76" s="118"/>
      <c r="BM76" s="118"/>
      <c r="BN76" s="118"/>
      <c r="BO76" s="118"/>
      <c r="BP76" s="118"/>
      <c r="BQ76" s="118"/>
      <c r="BR76" s="118"/>
      <c r="BS76" s="118"/>
      <c r="BT76" s="118"/>
      <c r="BU76" s="118"/>
      <c r="BV76" s="118"/>
      <c r="BW76" s="118"/>
      <c r="BX76" s="118"/>
      <c r="BY76" s="118"/>
      <c r="BZ76" s="119"/>
      <c r="CA76" s="119"/>
      <c r="CB76" s="119"/>
      <c r="CC76" s="119"/>
      <c r="CD76" s="119"/>
      <c r="CE76" s="119"/>
      <c r="CF76" s="119"/>
      <c r="CG76" s="119"/>
      <c r="CH76" s="119"/>
      <c r="CI76" s="119"/>
      <c r="CJ76" s="119"/>
      <c r="CK76" s="119"/>
      <c r="CL76" s="119"/>
      <c r="CM76" s="119"/>
      <c r="CN76" s="119"/>
      <c r="CO76" s="119"/>
      <c r="CP76" s="119"/>
      <c r="CQ76" s="119"/>
      <c r="CR76" s="119"/>
      <c r="CS76" s="119"/>
      <c r="CT76" s="119"/>
      <c r="CU76" s="119"/>
      <c r="CV76" s="119"/>
      <c r="CW76" s="119"/>
      <c r="CX76" s="119"/>
      <c r="CY76" s="119"/>
      <c r="CZ76" s="119"/>
      <c r="DA76" s="119"/>
      <c r="DB76" s="119"/>
      <c r="DC76" s="119"/>
      <c r="DD76" s="119"/>
      <c r="DE76" s="119"/>
      <c r="DF76" s="119"/>
      <c r="DG76" s="119"/>
      <c r="DH76" s="119"/>
      <c r="DI76" s="119"/>
      <c r="DJ76" s="119"/>
      <c r="DK76" s="119"/>
      <c r="DL76" s="119"/>
      <c r="DM76" s="119"/>
      <c r="DN76" s="119"/>
      <c r="DO76" s="119"/>
      <c r="DP76" s="119"/>
      <c r="DQ76" s="119"/>
      <c r="DR76" s="119"/>
      <c r="DS76" s="119"/>
      <c r="DT76" s="119"/>
      <c r="DU76" s="119"/>
      <c r="DV76" s="119"/>
      <c r="DW76" s="119"/>
      <c r="DX76" s="119"/>
      <c r="DY76" s="119"/>
      <c r="DZ76" s="119"/>
      <c r="EA76" s="119"/>
      <c r="EB76" s="119"/>
      <c r="EC76" s="119"/>
      <c r="ED76" s="119"/>
      <c r="EE76" s="119"/>
      <c r="EF76" s="119"/>
      <c r="EG76" s="119"/>
      <c r="EH76" s="119"/>
      <c r="EI76" s="119"/>
      <c r="EJ76" s="119"/>
      <c r="EK76" s="119"/>
      <c r="EL76" s="119"/>
      <c r="EM76" s="119"/>
      <c r="EN76" s="119"/>
      <c r="EO76" s="119"/>
      <c r="EP76" s="119"/>
      <c r="EQ76" s="119"/>
      <c r="ER76" s="119"/>
      <c r="ES76" s="119"/>
      <c r="ET76" s="119"/>
      <c r="EU76" s="119"/>
      <c r="EV76" s="119"/>
      <c r="EW76" s="119"/>
      <c r="EX76" s="119"/>
      <c r="EY76" s="119"/>
      <c r="EZ76" s="119"/>
      <c r="FA76" s="119"/>
      <c r="FB76" s="119"/>
      <c r="FC76" s="119"/>
      <c r="FD76" s="119"/>
      <c r="FE76" s="119"/>
      <c r="FF76" s="119"/>
      <c r="FG76" s="119"/>
      <c r="FH76" s="119"/>
      <c r="FI76" s="119"/>
      <c r="FJ76" s="119"/>
      <c r="FK76" s="119"/>
      <c r="FL76" s="119"/>
      <c r="FM76" s="119"/>
      <c r="FN76" s="119"/>
      <c r="FO76" s="119"/>
      <c r="FP76" s="119"/>
      <c r="FQ76" s="119"/>
      <c r="FR76" s="119"/>
      <c r="FS76" s="119"/>
      <c r="FT76" s="119"/>
      <c r="FU76" s="119"/>
      <c r="FV76" s="119"/>
      <c r="FW76" s="119"/>
      <c r="FX76" s="119"/>
      <c r="FY76" s="119"/>
      <c r="FZ76" s="119"/>
      <c r="GA76" s="119"/>
      <c r="GB76" s="119"/>
      <c r="GC76" s="119"/>
      <c r="GD76" s="119"/>
      <c r="GE76" s="119"/>
      <c r="GF76" s="119"/>
      <c r="GG76" s="119"/>
      <c r="GH76" s="119"/>
      <c r="GI76" s="119"/>
      <c r="GJ76" s="119"/>
      <c r="GK76" s="119"/>
      <c r="GL76" s="119"/>
      <c r="GM76" s="119"/>
      <c r="GN76" s="119"/>
      <c r="GO76" s="119"/>
      <c r="GP76" s="119"/>
      <c r="GQ76" s="119"/>
      <c r="GR76" s="119"/>
      <c r="GS76" s="119"/>
      <c r="GT76" s="119"/>
      <c r="GU76" s="119"/>
      <c r="GV76" s="119"/>
      <c r="GW76" s="119"/>
      <c r="GX76" s="119"/>
      <c r="GY76" s="119"/>
      <c r="GZ76" s="119"/>
      <c r="HA76" s="119"/>
      <c r="HB76" s="119"/>
      <c r="HC76" s="119"/>
      <c r="HD76" s="119"/>
      <c r="HE76" s="119"/>
      <c r="HF76" s="119"/>
      <c r="HG76" s="119"/>
      <c r="HH76" s="119"/>
      <c r="HI76" s="119"/>
      <c r="HJ76" s="119"/>
      <c r="HK76" s="119"/>
      <c r="HL76" s="119"/>
      <c r="HM76" s="119"/>
      <c r="HN76" s="119"/>
      <c r="HO76" s="119"/>
      <c r="HP76" s="119"/>
      <c r="HQ76" s="119"/>
      <c r="HR76" s="119"/>
      <c r="HS76" s="119"/>
      <c r="HT76" s="119"/>
      <c r="HU76" s="119"/>
      <c r="HV76" s="119"/>
      <c r="HW76" s="119"/>
      <c r="HX76" s="119"/>
      <c r="HY76" s="119"/>
      <c r="HZ76" s="119"/>
      <c r="IA76" s="119"/>
      <c r="IB76" s="119"/>
      <c r="IC76" s="119"/>
      <c r="ID76" s="119"/>
      <c r="IE76" s="119"/>
      <c r="IF76" s="119"/>
      <c r="IG76" s="119"/>
      <c r="IH76" s="119"/>
      <c r="II76" s="119"/>
      <c r="IJ76" s="119"/>
      <c r="IK76" s="119"/>
      <c r="IL76" s="119"/>
      <c r="IM76" s="119"/>
      <c r="IN76" s="119"/>
      <c r="IO76" s="119"/>
      <c r="IP76" s="119"/>
      <c r="IQ76" s="119"/>
      <c r="IR76" s="119"/>
      <c r="IS76" s="119"/>
      <c r="IT76" s="119"/>
      <c r="IU76" s="119"/>
      <c r="IV76" s="119"/>
    </row>
    <row r="77" spans="1:256" ht="14.45">
      <c r="A77" s="275" t="s">
        <v>122</v>
      </c>
      <c r="B77" s="276" t="s">
        <v>214</v>
      </c>
      <c r="C77" s="277" t="s">
        <v>124</v>
      </c>
      <c r="D77" s="265" t="s">
        <v>116</v>
      </c>
      <c r="E77" s="151" t="s">
        <v>117</v>
      </c>
      <c r="F77" s="151" t="s">
        <v>118</v>
      </c>
      <c r="G77" s="152" t="s">
        <v>213</v>
      </c>
      <c r="H77" s="152">
        <v>1</v>
      </c>
      <c r="I77" s="152">
        <v>1</v>
      </c>
      <c r="J77" s="180">
        <f t="shared" si="75"/>
        <v>0</v>
      </c>
      <c r="K77" s="155">
        <v>1</v>
      </c>
      <c r="L77" s="109"/>
      <c r="M77" s="91"/>
      <c r="N77" s="91"/>
      <c r="O77" s="278" t="s">
        <v>124</v>
      </c>
      <c r="P77" s="151" t="s">
        <v>125</v>
      </c>
      <c r="Q77" s="109">
        <v>1.5</v>
      </c>
      <c r="R77" s="279">
        <v>3.15</v>
      </c>
      <c r="S77" s="185">
        <f t="shared" si="109"/>
        <v>-1.65</v>
      </c>
      <c r="T77" s="69"/>
      <c r="U77" s="69"/>
      <c r="V77" s="69"/>
      <c r="W77" s="280">
        <f t="shared" si="110"/>
        <v>3.15</v>
      </c>
      <c r="X77" s="69"/>
      <c r="Y77" s="69"/>
      <c r="Z77" s="69"/>
      <c r="AA77" s="69"/>
      <c r="AB77" s="69"/>
      <c r="AC77" s="140"/>
      <c r="AD77" s="199"/>
      <c r="AE77" s="120"/>
      <c r="AF77" s="91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91"/>
      <c r="AS77" s="91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  <c r="BP77" s="69"/>
      <c r="BQ77" s="69"/>
      <c r="BR77" s="69"/>
      <c r="BS77" s="69"/>
      <c r="BT77" s="69"/>
      <c r="BU77" s="69"/>
      <c r="BV77" s="69"/>
      <c r="BW77" s="69"/>
      <c r="BX77" s="69"/>
      <c r="BY77" s="69"/>
      <c r="BZ77" s="323"/>
      <c r="CA77" s="323"/>
      <c r="CB77" s="323"/>
      <c r="CC77" s="323"/>
      <c r="CD77" s="323"/>
      <c r="CE77" s="323"/>
      <c r="CF77" s="323"/>
      <c r="CG77" s="323"/>
      <c r="CH77" s="323"/>
      <c r="CI77" s="323"/>
      <c r="CJ77" s="323"/>
      <c r="CK77" s="323"/>
      <c r="CL77" s="323"/>
      <c r="CM77" s="323"/>
      <c r="CN77" s="323"/>
      <c r="CO77" s="323"/>
      <c r="CP77" s="323"/>
      <c r="CQ77" s="323"/>
      <c r="CR77" s="323"/>
      <c r="CS77" s="323"/>
      <c r="CT77" s="323"/>
      <c r="CU77" s="323"/>
      <c r="CV77" s="323"/>
      <c r="CW77" s="323"/>
      <c r="CX77" s="323"/>
      <c r="CY77" s="323"/>
      <c r="CZ77" s="323"/>
      <c r="DA77" s="323"/>
      <c r="DB77" s="323"/>
      <c r="DC77" s="323"/>
      <c r="DD77" s="323"/>
      <c r="DE77" s="323"/>
      <c r="DF77" s="323"/>
      <c r="DG77" s="323"/>
      <c r="DH77" s="323"/>
      <c r="DI77" s="323"/>
      <c r="DJ77" s="323"/>
      <c r="DK77" s="323"/>
      <c r="DL77" s="323"/>
      <c r="DM77" s="323"/>
      <c r="DN77" s="323"/>
      <c r="DO77" s="323"/>
      <c r="DP77" s="323"/>
      <c r="DQ77" s="323"/>
      <c r="DR77" s="323"/>
      <c r="DS77" s="323"/>
      <c r="DT77" s="323"/>
      <c r="DU77" s="323"/>
      <c r="DV77" s="323"/>
      <c r="DW77" s="323"/>
      <c r="DX77" s="323"/>
      <c r="DY77" s="323"/>
      <c r="DZ77" s="323"/>
      <c r="EA77" s="323"/>
      <c r="EB77" s="323"/>
      <c r="EC77" s="323"/>
      <c r="ED77" s="323"/>
      <c r="EE77" s="323"/>
      <c r="EF77" s="323"/>
      <c r="EG77" s="323"/>
      <c r="EH77" s="323"/>
      <c r="EI77" s="323"/>
      <c r="EJ77" s="323"/>
      <c r="EK77" s="323"/>
      <c r="EL77" s="323"/>
      <c r="EM77" s="323"/>
      <c r="EN77" s="323"/>
      <c r="EO77" s="323"/>
      <c r="EP77" s="323"/>
      <c r="EQ77" s="323"/>
      <c r="ER77" s="323"/>
      <c r="ES77" s="323"/>
      <c r="ET77" s="323"/>
      <c r="EU77" s="323"/>
      <c r="EV77" s="323"/>
      <c r="EW77" s="323"/>
      <c r="EX77" s="323"/>
      <c r="EY77" s="323"/>
      <c r="EZ77" s="323"/>
      <c r="FA77" s="323"/>
      <c r="FB77" s="323"/>
      <c r="FC77" s="323"/>
      <c r="FD77" s="323"/>
      <c r="FE77" s="323"/>
      <c r="FF77" s="323"/>
      <c r="FG77" s="323"/>
      <c r="FH77" s="323"/>
      <c r="FI77" s="323"/>
      <c r="FJ77" s="323"/>
      <c r="FK77" s="323"/>
      <c r="FL77" s="323"/>
      <c r="FM77" s="323"/>
      <c r="FN77" s="323"/>
      <c r="FO77" s="323"/>
      <c r="FP77" s="323"/>
      <c r="FQ77" s="323"/>
      <c r="FR77" s="323"/>
      <c r="FS77" s="323"/>
      <c r="FT77" s="323"/>
      <c r="FU77" s="323"/>
      <c r="FV77" s="323"/>
      <c r="FW77" s="323"/>
      <c r="FX77" s="323"/>
      <c r="FY77" s="323"/>
      <c r="FZ77" s="323"/>
      <c r="GA77" s="323"/>
      <c r="GB77" s="323"/>
      <c r="GC77" s="323"/>
      <c r="GD77" s="323"/>
      <c r="GE77" s="323"/>
      <c r="GF77" s="323"/>
      <c r="GG77" s="323"/>
      <c r="GH77" s="323"/>
      <c r="GI77" s="323"/>
      <c r="GJ77" s="323"/>
      <c r="GK77" s="323"/>
      <c r="GL77" s="323"/>
      <c r="GM77" s="323"/>
      <c r="GN77" s="323"/>
      <c r="GO77" s="323"/>
      <c r="GP77" s="323"/>
      <c r="GQ77" s="323"/>
      <c r="GR77" s="323"/>
      <c r="GS77" s="323"/>
      <c r="GT77" s="323"/>
      <c r="GU77" s="323"/>
      <c r="GV77" s="323"/>
      <c r="GW77" s="323"/>
      <c r="GX77" s="323"/>
      <c r="GY77" s="323"/>
      <c r="GZ77" s="323"/>
      <c r="HA77" s="323"/>
      <c r="HB77" s="323"/>
      <c r="HC77" s="323"/>
      <c r="HD77" s="323"/>
      <c r="HE77" s="323"/>
      <c r="HF77" s="323"/>
      <c r="HG77" s="323"/>
      <c r="HH77" s="323"/>
      <c r="HI77" s="323"/>
      <c r="HJ77" s="323"/>
      <c r="HK77" s="323"/>
      <c r="HL77" s="323"/>
      <c r="HM77" s="323"/>
      <c r="HN77" s="323"/>
      <c r="HO77" s="323"/>
      <c r="HP77" s="323"/>
      <c r="HQ77" s="323"/>
      <c r="HR77" s="323"/>
      <c r="HS77" s="323"/>
      <c r="HT77" s="323"/>
      <c r="HU77" s="323"/>
      <c r="HV77" s="323"/>
      <c r="HW77" s="323"/>
      <c r="HX77" s="323"/>
      <c r="HY77" s="323"/>
      <c r="HZ77" s="323"/>
      <c r="IA77" s="323"/>
      <c r="IB77" s="323"/>
      <c r="IC77" s="323"/>
      <c r="ID77" s="323"/>
      <c r="IE77" s="323"/>
      <c r="IF77" s="323"/>
      <c r="IG77" s="323"/>
      <c r="IH77" s="323"/>
      <c r="II77" s="323"/>
      <c r="IJ77" s="323"/>
      <c r="IK77" s="323"/>
      <c r="IL77" s="323"/>
      <c r="IM77" s="323"/>
      <c r="IN77" s="323"/>
      <c r="IO77" s="323"/>
      <c r="IP77" s="323"/>
      <c r="IQ77" s="323"/>
      <c r="IR77" s="323"/>
      <c r="IS77" s="323"/>
      <c r="IT77" s="323"/>
      <c r="IU77" s="323"/>
      <c r="IV77" s="323"/>
    </row>
    <row r="78" spans="1:256" ht="14.45">
      <c r="A78" s="275" t="s">
        <v>211</v>
      </c>
      <c r="B78" s="276" t="s">
        <v>215</v>
      </c>
      <c r="C78" s="151" t="s">
        <v>115</v>
      </c>
      <c r="D78" s="265" t="s">
        <v>116</v>
      </c>
      <c r="E78" s="151" t="s">
        <v>117</v>
      </c>
      <c r="F78" s="151" t="s">
        <v>118</v>
      </c>
      <c r="G78" s="152" t="s">
        <v>213</v>
      </c>
      <c r="H78" s="152">
        <v>1</v>
      </c>
      <c r="I78" s="152">
        <v>1</v>
      </c>
      <c r="J78" s="180">
        <f t="shared" si="75"/>
        <v>0</v>
      </c>
      <c r="K78" s="155">
        <v>1</v>
      </c>
      <c r="L78" s="109"/>
      <c r="M78" s="91"/>
      <c r="N78" s="91"/>
      <c r="O78" s="183" t="str">
        <f>C78</f>
        <v>Subscribed</v>
      </c>
      <c r="P78" s="109" t="s">
        <v>108</v>
      </c>
      <c r="Q78" s="281">
        <v>3</v>
      </c>
      <c r="R78" s="282">
        <v>1.35</v>
      </c>
      <c r="S78" s="185">
        <f t="shared" si="109"/>
        <v>1.65</v>
      </c>
      <c r="T78" s="69"/>
      <c r="U78" s="69"/>
      <c r="V78" s="69"/>
      <c r="W78" s="280">
        <f t="shared" si="110"/>
        <v>1.35</v>
      </c>
      <c r="X78" s="69"/>
      <c r="Y78" s="69"/>
      <c r="Z78" s="69"/>
      <c r="AA78" s="69"/>
      <c r="AB78" s="69"/>
      <c r="AC78" s="140"/>
      <c r="AD78">
        <v>2242.2199999999998</v>
      </c>
      <c r="AE78" s="120"/>
      <c r="AF78" s="91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91"/>
      <c r="AS78" s="91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  <c r="BP78" s="69"/>
      <c r="BQ78" s="69"/>
      <c r="BR78" s="69"/>
      <c r="BS78" s="69"/>
      <c r="BT78" s="69"/>
      <c r="BU78" s="69"/>
      <c r="BV78" s="69"/>
      <c r="BW78" s="69"/>
      <c r="BX78" s="69"/>
      <c r="BY78" s="69"/>
      <c r="BZ78" s="323"/>
      <c r="CA78" s="323"/>
      <c r="CB78" s="323"/>
      <c r="CC78" s="323"/>
      <c r="CD78" s="323"/>
      <c r="CE78" s="323"/>
      <c r="CF78" s="323"/>
      <c r="CG78" s="323"/>
      <c r="CH78" s="323"/>
      <c r="CI78" s="323"/>
      <c r="CJ78" s="323"/>
      <c r="CK78" s="323"/>
      <c r="CL78" s="323"/>
      <c r="CM78" s="323"/>
      <c r="CN78" s="323"/>
      <c r="CO78" s="323"/>
      <c r="CP78" s="323"/>
      <c r="CQ78" s="323"/>
      <c r="CR78" s="323"/>
      <c r="CS78" s="323"/>
      <c r="CT78" s="323"/>
      <c r="CU78" s="323"/>
      <c r="CV78" s="323"/>
      <c r="CW78" s="323"/>
      <c r="CX78" s="323"/>
      <c r="CY78" s="323"/>
      <c r="CZ78" s="323"/>
      <c r="DA78" s="323"/>
      <c r="DB78" s="323"/>
      <c r="DC78" s="323"/>
      <c r="DD78" s="323"/>
      <c r="DE78" s="323"/>
      <c r="DF78" s="323"/>
      <c r="DG78" s="323"/>
      <c r="DH78" s="323"/>
      <c r="DI78" s="323"/>
      <c r="DJ78" s="323"/>
      <c r="DK78" s="323"/>
      <c r="DL78" s="323"/>
      <c r="DM78" s="323"/>
      <c r="DN78" s="323"/>
      <c r="DO78" s="323"/>
      <c r="DP78" s="323"/>
      <c r="DQ78" s="323"/>
      <c r="DR78" s="323"/>
      <c r="DS78" s="323"/>
      <c r="DT78" s="323"/>
      <c r="DU78" s="323"/>
      <c r="DV78" s="323"/>
      <c r="DW78" s="323"/>
      <c r="DX78" s="323"/>
      <c r="DY78" s="323"/>
      <c r="DZ78" s="323"/>
      <c r="EA78" s="323"/>
      <c r="EB78" s="323"/>
      <c r="EC78" s="323"/>
      <c r="ED78" s="323"/>
      <c r="EE78" s="323"/>
      <c r="EF78" s="323"/>
      <c r="EG78" s="323"/>
      <c r="EH78" s="323"/>
      <c r="EI78" s="323"/>
      <c r="EJ78" s="323"/>
      <c r="EK78" s="323"/>
      <c r="EL78" s="323"/>
      <c r="EM78" s="323"/>
      <c r="EN78" s="323"/>
      <c r="EO78" s="323"/>
      <c r="EP78" s="323"/>
      <c r="EQ78" s="323"/>
      <c r="ER78" s="323"/>
      <c r="ES78" s="323"/>
      <c r="ET78" s="323"/>
      <c r="EU78" s="323"/>
      <c r="EV78" s="323"/>
      <c r="EW78" s="323"/>
      <c r="EX78" s="323"/>
      <c r="EY78" s="323"/>
      <c r="EZ78" s="323"/>
      <c r="FA78" s="323"/>
      <c r="FB78" s="323"/>
      <c r="FC78" s="323"/>
      <c r="FD78" s="323"/>
      <c r="FE78" s="323"/>
      <c r="FF78" s="323"/>
      <c r="FG78" s="323"/>
      <c r="FH78" s="323"/>
      <c r="FI78" s="323"/>
      <c r="FJ78" s="323"/>
      <c r="FK78" s="323"/>
      <c r="FL78" s="323"/>
      <c r="FM78" s="323"/>
      <c r="FN78" s="323"/>
      <c r="FO78" s="323"/>
      <c r="FP78" s="323"/>
      <c r="FQ78" s="323"/>
      <c r="FR78" s="323"/>
      <c r="FS78" s="323"/>
      <c r="FT78" s="323"/>
      <c r="FU78" s="323"/>
      <c r="FV78" s="323"/>
      <c r="FW78" s="323"/>
      <c r="FX78" s="323"/>
      <c r="FY78" s="323"/>
      <c r="FZ78" s="323"/>
      <c r="GA78" s="323"/>
      <c r="GB78" s="323"/>
      <c r="GC78" s="323"/>
      <c r="GD78" s="323"/>
      <c r="GE78" s="323"/>
      <c r="GF78" s="323"/>
      <c r="GG78" s="323"/>
      <c r="GH78" s="323"/>
      <c r="GI78" s="323"/>
      <c r="GJ78" s="323"/>
      <c r="GK78" s="323"/>
      <c r="GL78" s="323"/>
      <c r="GM78" s="323"/>
      <c r="GN78" s="323"/>
      <c r="GO78" s="323"/>
      <c r="GP78" s="323"/>
      <c r="GQ78" s="323"/>
      <c r="GR78" s="323"/>
      <c r="GS78" s="323"/>
      <c r="GT78" s="323"/>
      <c r="GU78" s="323"/>
      <c r="GV78" s="323"/>
      <c r="GW78" s="323"/>
      <c r="GX78" s="323"/>
      <c r="GY78" s="323"/>
      <c r="GZ78" s="323"/>
      <c r="HA78" s="323"/>
      <c r="HB78" s="323"/>
      <c r="HC78" s="323"/>
      <c r="HD78" s="323"/>
      <c r="HE78" s="323"/>
      <c r="HF78" s="323"/>
      <c r="HG78" s="323"/>
      <c r="HH78" s="323"/>
      <c r="HI78" s="323"/>
      <c r="HJ78" s="323"/>
      <c r="HK78" s="323"/>
      <c r="HL78" s="323"/>
      <c r="HM78" s="323"/>
      <c r="HN78" s="323"/>
      <c r="HO78" s="323"/>
      <c r="HP78" s="323"/>
      <c r="HQ78" s="323"/>
      <c r="HR78" s="323"/>
      <c r="HS78" s="323"/>
      <c r="HT78" s="323"/>
      <c r="HU78" s="323"/>
      <c r="HV78" s="323"/>
      <c r="HW78" s="323"/>
      <c r="HX78" s="323"/>
      <c r="HY78" s="323"/>
      <c r="HZ78" s="323"/>
      <c r="IA78" s="323"/>
      <c r="IB78" s="323"/>
      <c r="IC78" s="323"/>
      <c r="ID78" s="323"/>
      <c r="IE78" s="323"/>
      <c r="IF78" s="323"/>
      <c r="IG78" s="323"/>
      <c r="IH78" s="323"/>
      <c r="II78" s="323"/>
      <c r="IJ78" s="323"/>
      <c r="IK78" s="323"/>
      <c r="IL78" s="323"/>
      <c r="IM78" s="323"/>
      <c r="IN78" s="323"/>
      <c r="IO78" s="323"/>
      <c r="IP78" s="323"/>
      <c r="IQ78" s="323"/>
      <c r="IR78" s="323"/>
      <c r="IS78" s="323"/>
      <c r="IT78" s="323"/>
      <c r="IU78" s="323"/>
      <c r="IV78" s="323"/>
    </row>
    <row r="79" spans="1:256" ht="14.45">
      <c r="A79" s="283" t="s">
        <v>211</v>
      </c>
      <c r="B79" s="284" t="s">
        <v>216</v>
      </c>
      <c r="C79" s="285" t="s">
        <v>124</v>
      </c>
      <c r="D79" s="286" t="s">
        <v>116</v>
      </c>
      <c r="E79" s="243" t="s">
        <v>117</v>
      </c>
      <c r="F79" s="243" t="s">
        <v>118</v>
      </c>
      <c r="G79" s="154" t="s">
        <v>213</v>
      </c>
      <c r="H79" s="154">
        <v>1</v>
      </c>
      <c r="I79" s="154">
        <v>1</v>
      </c>
      <c r="J79" s="180">
        <f t="shared" si="75"/>
        <v>0</v>
      </c>
      <c r="K79" s="287">
        <v>1</v>
      </c>
      <c r="L79" s="105"/>
      <c r="M79" s="108"/>
      <c r="N79" s="108"/>
      <c r="O79" s="267" t="s">
        <v>124</v>
      </c>
      <c r="P79" s="105" t="s">
        <v>125</v>
      </c>
      <c r="Q79" s="105">
        <v>3</v>
      </c>
      <c r="R79" s="288">
        <v>1.8744444443999999</v>
      </c>
      <c r="S79" s="248">
        <f t="shared" si="109"/>
        <v>1.1255555556000001</v>
      </c>
      <c r="T79" s="106"/>
      <c r="U79" s="106"/>
      <c r="V79" s="106"/>
      <c r="W79" s="289">
        <f t="shared" si="110"/>
        <v>1.8744444443999999</v>
      </c>
      <c r="X79" s="106"/>
      <c r="Y79" s="106"/>
      <c r="Z79" s="106"/>
      <c r="AA79" s="106"/>
      <c r="AB79" s="106"/>
      <c r="AC79" s="140"/>
      <c r="AD79" s="199"/>
      <c r="AE79" s="137"/>
      <c r="AF79" s="108"/>
      <c r="AG79" s="106"/>
      <c r="AH79" s="106"/>
      <c r="AI79" s="106"/>
      <c r="AJ79" s="106"/>
      <c r="AK79" s="106"/>
      <c r="AL79" s="106"/>
      <c r="AM79" s="106"/>
      <c r="AN79" s="106"/>
      <c r="AO79" s="106"/>
      <c r="AP79" s="106"/>
      <c r="AQ79" s="106"/>
      <c r="AR79" s="108"/>
      <c r="AS79" s="108"/>
      <c r="AT79" s="106"/>
      <c r="AU79" s="106"/>
      <c r="AV79" s="106"/>
      <c r="AW79" s="106"/>
      <c r="AX79" s="106"/>
      <c r="AY79" s="106"/>
      <c r="AZ79" s="106"/>
      <c r="BA79" s="106"/>
      <c r="BB79" s="106"/>
      <c r="BC79" s="106"/>
      <c r="BD79" s="106"/>
      <c r="BE79" s="106"/>
      <c r="BF79" s="106"/>
      <c r="BG79" s="106"/>
      <c r="BH79" s="106"/>
      <c r="BI79" s="106"/>
      <c r="BJ79" s="106"/>
      <c r="BK79" s="106"/>
      <c r="BL79" s="106"/>
      <c r="BM79" s="106"/>
      <c r="BN79" s="106"/>
      <c r="BO79" s="106"/>
      <c r="BP79" s="106"/>
      <c r="BQ79" s="106"/>
      <c r="BR79" s="106"/>
      <c r="BS79" s="106"/>
      <c r="BT79" s="106"/>
      <c r="BU79" s="106"/>
      <c r="BV79" s="106"/>
      <c r="BW79" s="106"/>
      <c r="BX79" s="106"/>
      <c r="BY79" s="106"/>
      <c r="BZ79" s="323"/>
      <c r="CA79" s="323"/>
      <c r="CB79" s="323"/>
      <c r="CC79" s="323"/>
      <c r="CD79" s="323"/>
      <c r="CE79" s="323"/>
      <c r="CF79" s="323"/>
      <c r="CG79" s="323"/>
      <c r="CH79" s="323"/>
      <c r="CI79" s="323"/>
      <c r="CJ79" s="323"/>
      <c r="CK79" s="323"/>
      <c r="CL79" s="323"/>
      <c r="CM79" s="323"/>
      <c r="CN79" s="323"/>
      <c r="CO79" s="323"/>
      <c r="CP79" s="323"/>
      <c r="CQ79" s="323"/>
      <c r="CR79" s="323"/>
      <c r="CS79" s="323"/>
      <c r="CT79" s="323"/>
      <c r="CU79" s="323"/>
      <c r="CV79" s="323"/>
      <c r="CW79" s="323"/>
      <c r="CX79" s="323"/>
      <c r="CY79" s="323"/>
      <c r="CZ79" s="323"/>
      <c r="DA79" s="323"/>
      <c r="DB79" s="323"/>
      <c r="DC79" s="323"/>
      <c r="DD79" s="323"/>
      <c r="DE79" s="323"/>
      <c r="DF79" s="323"/>
      <c r="DG79" s="323"/>
      <c r="DH79" s="323"/>
      <c r="DI79" s="323"/>
      <c r="DJ79" s="323"/>
      <c r="DK79" s="323"/>
      <c r="DL79" s="323"/>
      <c r="DM79" s="323"/>
      <c r="DN79" s="323"/>
      <c r="DO79" s="323"/>
      <c r="DP79" s="323"/>
      <c r="DQ79" s="323"/>
      <c r="DR79" s="323"/>
      <c r="DS79" s="323"/>
      <c r="DT79" s="323"/>
      <c r="DU79" s="323"/>
      <c r="DV79" s="323"/>
      <c r="DW79" s="323"/>
      <c r="DX79" s="323"/>
      <c r="DY79" s="323"/>
      <c r="DZ79" s="323"/>
      <c r="EA79" s="323"/>
      <c r="EB79" s="323"/>
      <c r="EC79" s="323"/>
      <c r="ED79" s="323"/>
      <c r="EE79" s="323"/>
      <c r="EF79" s="323"/>
      <c r="EG79" s="323"/>
      <c r="EH79" s="323"/>
      <c r="EI79" s="323"/>
      <c r="EJ79" s="323"/>
      <c r="EK79" s="323"/>
      <c r="EL79" s="323"/>
      <c r="EM79" s="323"/>
      <c r="EN79" s="323"/>
      <c r="EO79" s="323"/>
      <c r="EP79" s="323"/>
      <c r="EQ79" s="323"/>
      <c r="ER79" s="323"/>
      <c r="ES79" s="323"/>
      <c r="ET79" s="323"/>
      <c r="EU79" s="323"/>
      <c r="EV79" s="323"/>
      <c r="EW79" s="323"/>
      <c r="EX79" s="323"/>
      <c r="EY79" s="323"/>
      <c r="EZ79" s="323"/>
      <c r="FA79" s="323"/>
      <c r="FB79" s="323"/>
      <c r="FC79" s="323"/>
      <c r="FD79" s="323"/>
      <c r="FE79" s="323"/>
      <c r="FF79" s="323"/>
      <c r="FG79" s="323"/>
      <c r="FH79" s="323"/>
      <c r="FI79" s="323"/>
      <c r="FJ79" s="323"/>
      <c r="FK79" s="323"/>
      <c r="FL79" s="323"/>
      <c r="FM79" s="323"/>
      <c r="FN79" s="323"/>
      <c r="FO79" s="323"/>
      <c r="FP79" s="323"/>
      <c r="FQ79" s="323"/>
      <c r="FR79" s="323"/>
      <c r="FS79" s="323"/>
      <c r="FT79" s="323"/>
      <c r="FU79" s="323"/>
      <c r="FV79" s="323"/>
      <c r="FW79" s="323"/>
      <c r="FX79" s="323"/>
      <c r="FY79" s="323"/>
      <c r="FZ79" s="323"/>
      <c r="GA79" s="323"/>
      <c r="GB79" s="323"/>
      <c r="GC79" s="323"/>
      <c r="GD79" s="323"/>
      <c r="GE79" s="323"/>
      <c r="GF79" s="323"/>
      <c r="GG79" s="323"/>
      <c r="GH79" s="323"/>
      <c r="GI79" s="323"/>
      <c r="GJ79" s="323"/>
      <c r="GK79" s="323"/>
      <c r="GL79" s="323"/>
      <c r="GM79" s="323"/>
      <c r="GN79" s="323"/>
      <c r="GO79" s="323"/>
      <c r="GP79" s="323"/>
      <c r="GQ79" s="323"/>
      <c r="GR79" s="323"/>
      <c r="GS79" s="323"/>
      <c r="GT79" s="323"/>
      <c r="GU79" s="323"/>
      <c r="GV79" s="323"/>
      <c r="GW79" s="323"/>
      <c r="GX79" s="323"/>
      <c r="GY79" s="323"/>
      <c r="GZ79" s="323"/>
      <c r="HA79" s="323"/>
      <c r="HB79" s="323"/>
      <c r="HC79" s="323"/>
      <c r="HD79" s="323"/>
      <c r="HE79" s="323"/>
      <c r="HF79" s="323"/>
      <c r="HG79" s="323"/>
      <c r="HH79" s="323"/>
      <c r="HI79" s="323"/>
      <c r="HJ79" s="323"/>
      <c r="HK79" s="323"/>
      <c r="HL79" s="323"/>
      <c r="HM79" s="323"/>
      <c r="HN79" s="323"/>
      <c r="HO79" s="323"/>
      <c r="HP79" s="323"/>
      <c r="HQ79" s="323"/>
      <c r="HR79" s="323"/>
      <c r="HS79" s="323"/>
      <c r="HT79" s="323"/>
      <c r="HU79" s="323"/>
      <c r="HV79" s="323"/>
      <c r="HW79" s="323"/>
      <c r="HX79" s="323"/>
      <c r="HY79" s="323"/>
      <c r="HZ79" s="323"/>
      <c r="IA79" s="323"/>
      <c r="IB79" s="323"/>
      <c r="IC79" s="323"/>
      <c r="ID79" s="323"/>
      <c r="IE79" s="323"/>
      <c r="IF79" s="323"/>
      <c r="IG79" s="323"/>
      <c r="IH79" s="323"/>
      <c r="II79" s="323"/>
      <c r="IJ79" s="323"/>
      <c r="IK79" s="323"/>
      <c r="IL79" s="323"/>
      <c r="IM79" s="323"/>
      <c r="IN79" s="323"/>
      <c r="IO79" s="323"/>
      <c r="IP79" s="323"/>
      <c r="IQ79" s="323"/>
      <c r="IR79" s="323"/>
      <c r="IS79" s="323"/>
      <c r="IT79" s="323"/>
      <c r="IU79" s="323"/>
      <c r="IV79" s="323"/>
    </row>
    <row r="80" spans="1:256" ht="14.45">
      <c r="A80" s="178" t="s">
        <v>211</v>
      </c>
      <c r="B80" s="290" t="s">
        <v>217</v>
      </c>
      <c r="C80" s="151" t="s">
        <v>124</v>
      </c>
      <c r="D80" s="265" t="s">
        <v>116</v>
      </c>
      <c r="E80" s="151" t="s">
        <v>117</v>
      </c>
      <c r="F80" s="151" t="s">
        <v>118</v>
      </c>
      <c r="G80" s="152" t="s">
        <v>213</v>
      </c>
      <c r="H80" s="152">
        <v>3</v>
      </c>
      <c r="I80" s="152">
        <v>3</v>
      </c>
      <c r="J80" s="180">
        <f t="shared" si="75"/>
        <v>0</v>
      </c>
      <c r="K80" s="152">
        <v>3</v>
      </c>
      <c r="L80" s="109"/>
      <c r="M80" s="91"/>
      <c r="N80" s="91"/>
      <c r="O80" s="183" t="str">
        <f>C80</f>
        <v>Rated</v>
      </c>
      <c r="P80" s="109" t="s">
        <v>125</v>
      </c>
      <c r="Q80" s="109">
        <v>11</v>
      </c>
      <c r="R80" s="247">
        <v>10.38</v>
      </c>
      <c r="S80" s="185">
        <f t="shared" si="109"/>
        <v>0.61999999999999922</v>
      </c>
      <c r="T80" s="69"/>
      <c r="U80" s="69"/>
      <c r="V80" s="69"/>
      <c r="W80" s="280">
        <f t="shared" si="110"/>
        <v>10.38</v>
      </c>
      <c r="X80" s="69"/>
      <c r="Y80" s="69"/>
      <c r="Z80" s="69"/>
      <c r="AA80" s="69"/>
      <c r="AB80" s="69"/>
      <c r="AC80" s="140"/>
      <c r="AD80" s="199"/>
      <c r="AE80" s="120"/>
      <c r="AF80" s="91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91"/>
      <c r="AS80" s="91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69"/>
      <c r="BQ80" s="69"/>
      <c r="BR80" s="69"/>
      <c r="BS80" s="69"/>
      <c r="BT80" s="69"/>
      <c r="BU80" s="69"/>
      <c r="BV80" s="69"/>
      <c r="BW80" s="69"/>
      <c r="BX80" s="69"/>
      <c r="BY80" s="69"/>
      <c r="BZ80" s="323"/>
      <c r="CA80" s="323"/>
      <c r="CB80" s="323"/>
      <c r="CC80" s="323"/>
      <c r="CD80" s="323"/>
      <c r="CE80" s="323"/>
      <c r="CF80" s="323"/>
      <c r="CG80" s="323"/>
      <c r="CH80" s="323"/>
      <c r="CI80" s="323"/>
      <c r="CJ80" s="323"/>
      <c r="CK80" s="323"/>
      <c r="CL80" s="323"/>
      <c r="CM80" s="323"/>
      <c r="CN80" s="323"/>
      <c r="CO80" s="323"/>
      <c r="CP80" s="323"/>
      <c r="CQ80" s="323"/>
      <c r="CR80" s="323"/>
      <c r="CS80" s="323"/>
      <c r="CT80" s="323"/>
      <c r="CU80" s="323"/>
      <c r="CV80" s="323"/>
      <c r="CW80" s="323"/>
      <c r="CX80" s="323"/>
      <c r="CY80" s="323"/>
      <c r="CZ80" s="323"/>
      <c r="DA80" s="323"/>
      <c r="DB80" s="323"/>
      <c r="DC80" s="323"/>
      <c r="DD80" s="323"/>
      <c r="DE80" s="323"/>
      <c r="DF80" s="323"/>
      <c r="DG80" s="323"/>
      <c r="DH80" s="323"/>
      <c r="DI80" s="323"/>
      <c r="DJ80" s="323"/>
      <c r="DK80" s="323"/>
      <c r="DL80" s="323"/>
      <c r="DM80" s="323"/>
      <c r="DN80" s="323"/>
      <c r="DO80" s="323"/>
      <c r="DP80" s="323"/>
      <c r="DQ80" s="323"/>
      <c r="DR80" s="323"/>
      <c r="DS80" s="323"/>
      <c r="DT80" s="323"/>
      <c r="DU80" s="323"/>
      <c r="DV80" s="323"/>
      <c r="DW80" s="323"/>
      <c r="DX80" s="323"/>
      <c r="DY80" s="323"/>
      <c r="DZ80" s="323"/>
      <c r="EA80" s="323"/>
      <c r="EB80" s="323"/>
      <c r="EC80" s="323"/>
      <c r="ED80" s="323"/>
      <c r="EE80" s="323"/>
      <c r="EF80" s="323"/>
      <c r="EG80" s="323"/>
      <c r="EH80" s="323"/>
      <c r="EI80" s="323"/>
      <c r="EJ80" s="323"/>
      <c r="EK80" s="323"/>
      <c r="EL80" s="323"/>
      <c r="EM80" s="323"/>
      <c r="EN80" s="323"/>
      <c r="EO80" s="323"/>
      <c r="EP80" s="323"/>
      <c r="EQ80" s="323"/>
      <c r="ER80" s="323"/>
      <c r="ES80" s="323"/>
      <c r="ET80" s="323"/>
      <c r="EU80" s="323"/>
      <c r="EV80" s="323"/>
      <c r="EW80" s="323"/>
      <c r="EX80" s="323"/>
      <c r="EY80" s="323"/>
      <c r="EZ80" s="323"/>
      <c r="FA80" s="323"/>
      <c r="FB80" s="323"/>
      <c r="FC80" s="323"/>
      <c r="FD80" s="323"/>
      <c r="FE80" s="323"/>
      <c r="FF80" s="323"/>
      <c r="FG80" s="323"/>
      <c r="FH80" s="323"/>
      <c r="FI80" s="323"/>
      <c r="FJ80" s="323"/>
      <c r="FK80" s="323"/>
      <c r="FL80" s="323"/>
      <c r="FM80" s="323"/>
      <c r="FN80" s="323"/>
      <c r="FO80" s="323"/>
      <c r="FP80" s="323"/>
      <c r="FQ80" s="323"/>
      <c r="FR80" s="323"/>
      <c r="FS80" s="323"/>
      <c r="FT80" s="323"/>
      <c r="FU80" s="323"/>
      <c r="FV80" s="323"/>
      <c r="FW80" s="323"/>
      <c r="FX80" s="323"/>
      <c r="FY80" s="323"/>
      <c r="FZ80" s="323"/>
      <c r="GA80" s="323"/>
      <c r="GB80" s="323"/>
      <c r="GC80" s="323"/>
      <c r="GD80" s="323"/>
      <c r="GE80" s="323"/>
      <c r="GF80" s="323"/>
      <c r="GG80" s="323"/>
      <c r="GH80" s="323"/>
      <c r="GI80" s="323"/>
      <c r="GJ80" s="323"/>
      <c r="GK80" s="323"/>
      <c r="GL80" s="323"/>
      <c r="GM80" s="323"/>
      <c r="GN80" s="323"/>
      <c r="GO80" s="323"/>
      <c r="GP80" s="323"/>
      <c r="GQ80" s="323"/>
      <c r="GR80" s="323"/>
      <c r="GS80" s="323"/>
      <c r="GT80" s="323"/>
      <c r="GU80" s="323"/>
      <c r="GV80" s="323"/>
      <c r="GW80" s="323"/>
      <c r="GX80" s="323"/>
      <c r="GY80" s="323"/>
      <c r="GZ80" s="323"/>
      <c r="HA80" s="323"/>
      <c r="HB80" s="323"/>
      <c r="HC80" s="323"/>
      <c r="HD80" s="323"/>
      <c r="HE80" s="323"/>
      <c r="HF80" s="323"/>
      <c r="HG80" s="323"/>
      <c r="HH80" s="323"/>
      <c r="HI80" s="323"/>
      <c r="HJ80" s="323"/>
      <c r="HK80" s="323"/>
      <c r="HL80" s="323"/>
      <c r="HM80" s="323"/>
      <c r="HN80" s="323"/>
      <c r="HO80" s="323"/>
      <c r="HP80" s="323"/>
      <c r="HQ80" s="323"/>
      <c r="HR80" s="323"/>
      <c r="HS80" s="323"/>
      <c r="HT80" s="323"/>
      <c r="HU80" s="323"/>
      <c r="HV80" s="323"/>
      <c r="HW80" s="323"/>
      <c r="HX80" s="323"/>
      <c r="HY80" s="323"/>
      <c r="HZ80" s="323"/>
      <c r="IA80" s="323"/>
      <c r="IB80" s="323"/>
      <c r="IC80" s="323"/>
      <c r="ID80" s="323"/>
      <c r="IE80" s="323"/>
      <c r="IF80" s="323"/>
      <c r="IG80" s="323"/>
      <c r="IH80" s="323"/>
      <c r="II80" s="323"/>
      <c r="IJ80" s="323"/>
      <c r="IK80" s="323"/>
      <c r="IL80" s="323"/>
      <c r="IM80" s="323"/>
      <c r="IN80" s="323"/>
      <c r="IO80" s="323"/>
      <c r="IP80" s="323"/>
      <c r="IQ80" s="323"/>
      <c r="IR80" s="323"/>
      <c r="IS80" s="323"/>
      <c r="IT80" s="323"/>
      <c r="IU80" s="323"/>
      <c r="IV80" s="323"/>
    </row>
    <row r="81" spans="1:77" ht="14.45">
      <c r="A81" s="291" t="s">
        <v>122</v>
      </c>
      <c r="B81" s="292" t="s">
        <v>218</v>
      </c>
      <c r="C81" s="151" t="s">
        <v>124</v>
      </c>
      <c r="D81" s="293" t="s">
        <v>116</v>
      </c>
      <c r="E81" s="294" t="s">
        <v>164</v>
      </c>
      <c r="F81" s="151" t="s">
        <v>118</v>
      </c>
      <c r="G81" s="152" t="str">
        <f>IF(E81="Rack","No of Racks",(IF(E81="Space","Sq Ft","U Space")))</f>
        <v>U Space</v>
      </c>
      <c r="H81" s="295">
        <v>21</v>
      </c>
      <c r="I81" s="295">
        <v>21</v>
      </c>
      <c r="J81" s="180">
        <f t="shared" si="75"/>
        <v>0</v>
      </c>
      <c r="K81" s="295"/>
      <c r="L81" s="121"/>
      <c r="M81" s="122"/>
      <c r="N81" s="122"/>
      <c r="O81" s="296" t="s">
        <v>124</v>
      </c>
      <c r="P81" s="121" t="s">
        <v>125</v>
      </c>
      <c r="Q81" s="121">
        <v>1</v>
      </c>
      <c r="R81" s="233">
        <v>0.26</v>
      </c>
      <c r="S81" s="297">
        <f t="shared" si="109"/>
        <v>0.74</v>
      </c>
      <c r="T81" s="123"/>
      <c r="U81" s="123"/>
      <c r="V81" s="123"/>
      <c r="W81" s="280">
        <f t="shared" si="110"/>
        <v>0.26</v>
      </c>
      <c r="X81" s="123"/>
      <c r="Y81" s="123"/>
      <c r="Z81" s="123"/>
      <c r="AA81" s="123"/>
      <c r="AB81" s="123"/>
      <c r="AC81" s="141"/>
      <c r="AD81" s="298"/>
      <c r="AE81" s="138"/>
      <c r="AF81" s="122"/>
      <c r="AG81" s="123"/>
      <c r="AH81" s="123"/>
      <c r="AI81" s="123"/>
      <c r="AJ81" s="123"/>
      <c r="AK81" s="123"/>
      <c r="AL81" s="123"/>
      <c r="AM81" s="123"/>
      <c r="AN81" s="123"/>
      <c r="AO81" s="123"/>
      <c r="AP81" s="123"/>
      <c r="AQ81" s="123"/>
      <c r="AR81" s="122"/>
      <c r="AS81" s="122"/>
      <c r="AT81" s="123"/>
      <c r="AU81" s="123"/>
      <c r="AV81" s="123"/>
      <c r="AW81" s="123"/>
      <c r="AX81" s="123"/>
      <c r="AY81" s="123"/>
      <c r="AZ81" s="123"/>
      <c r="BA81" s="123"/>
      <c r="BB81" s="123"/>
      <c r="BC81" s="123"/>
      <c r="BD81" s="123"/>
      <c r="BE81" s="123"/>
      <c r="BF81" s="123"/>
      <c r="BG81" s="123"/>
      <c r="BH81" s="123"/>
      <c r="BI81" s="123"/>
      <c r="BJ81" s="123"/>
      <c r="BK81" s="123"/>
      <c r="BL81" s="123"/>
      <c r="BM81" s="123"/>
      <c r="BN81" s="123"/>
      <c r="BO81" s="123"/>
      <c r="BP81" s="123"/>
      <c r="BQ81" s="123"/>
      <c r="BR81" s="123"/>
      <c r="BS81" s="123"/>
      <c r="BT81" s="123"/>
      <c r="BU81" s="123"/>
      <c r="BV81" s="123"/>
      <c r="BW81" s="123"/>
      <c r="BX81" s="123"/>
      <c r="BY81" s="123"/>
    </row>
    <row r="82" spans="1:77" ht="14.45">
      <c r="A82" s="178" t="s">
        <v>122</v>
      </c>
      <c r="B82" s="125" t="s">
        <v>219</v>
      </c>
      <c r="C82" s="151" t="s">
        <v>124</v>
      </c>
      <c r="D82" s="293" t="s">
        <v>116</v>
      </c>
      <c r="E82" s="125" t="s">
        <v>164</v>
      </c>
      <c r="F82" s="151" t="s">
        <v>118</v>
      </c>
      <c r="G82" s="152" t="str">
        <f>IF(E82="Rack","No of Racks",(IF(E82="Space","Sq Ft","U Space")))</f>
        <v>U Space</v>
      </c>
      <c r="H82" s="125">
        <v>2</v>
      </c>
      <c r="I82" s="125">
        <v>2</v>
      </c>
      <c r="J82" s="180">
        <f t="shared" si="75"/>
        <v>0</v>
      </c>
      <c r="K82" s="124"/>
      <c r="L82" s="124"/>
      <c r="M82" s="124"/>
      <c r="N82" s="124"/>
      <c r="O82" s="124" t="s">
        <v>124</v>
      </c>
      <c r="P82" s="124" t="s">
        <v>125</v>
      </c>
      <c r="Q82" s="124">
        <v>0.75</v>
      </c>
      <c r="R82" s="247">
        <v>0.133333333333333</v>
      </c>
      <c r="S82" s="299">
        <f t="shared" si="109"/>
        <v>0.61666666666666703</v>
      </c>
      <c r="T82" s="125"/>
      <c r="U82" s="125"/>
      <c r="V82" s="125"/>
      <c r="W82" s="300">
        <f t="shared" si="110"/>
        <v>0.133333333333333</v>
      </c>
      <c r="X82" s="125"/>
      <c r="Y82" s="125"/>
      <c r="Z82" s="125"/>
      <c r="AA82" s="125"/>
      <c r="AB82" s="125"/>
      <c r="AC82" s="141"/>
      <c r="AD82" s="298"/>
      <c r="AE82" s="139"/>
      <c r="AF82" s="126"/>
      <c r="AG82" s="125"/>
      <c r="AH82" s="125"/>
      <c r="AI82" s="125"/>
      <c r="AJ82" s="125"/>
      <c r="AK82" s="125"/>
      <c r="AL82" s="125"/>
      <c r="AM82" s="127"/>
      <c r="AN82" s="125"/>
      <c r="AO82" s="125"/>
      <c r="AP82" s="125"/>
      <c r="AQ82" s="125"/>
      <c r="AR82" s="125"/>
      <c r="AS82" s="125"/>
      <c r="AT82" s="125"/>
      <c r="AU82" s="125"/>
      <c r="AV82" s="125"/>
      <c r="AW82" s="125"/>
      <c r="AX82" s="125"/>
      <c r="AY82" s="125"/>
      <c r="AZ82" s="125"/>
      <c r="BA82" s="125"/>
      <c r="BB82" s="125"/>
      <c r="BC82" s="125"/>
      <c r="BD82" s="125"/>
      <c r="BE82" s="125"/>
      <c r="BF82" s="125"/>
      <c r="BG82" s="125"/>
      <c r="BH82" s="125"/>
      <c r="BI82" s="125"/>
      <c r="BJ82" s="125"/>
      <c r="BK82" s="125"/>
      <c r="BL82" s="125"/>
      <c r="BM82" s="125"/>
      <c r="BN82" s="125"/>
      <c r="BO82" s="125"/>
      <c r="BP82" s="125"/>
      <c r="BQ82" s="125"/>
      <c r="BR82" s="125"/>
      <c r="BS82" s="125"/>
      <c r="BT82" s="125"/>
      <c r="BU82" s="125"/>
      <c r="BV82" s="125"/>
      <c r="BW82" s="125"/>
      <c r="BX82" s="125"/>
      <c r="BY82" s="125"/>
    </row>
    <row r="83" spans="1:77" ht="14.45">
      <c r="A83" s="178" t="s">
        <v>138</v>
      </c>
      <c r="B83" s="69" t="s">
        <v>220</v>
      </c>
      <c r="C83" s="69" t="s">
        <v>124</v>
      </c>
      <c r="D83" s="293" t="s">
        <v>116</v>
      </c>
      <c r="E83" s="69" t="s">
        <v>117</v>
      </c>
      <c r="F83" s="151" t="s">
        <v>118</v>
      </c>
      <c r="G83" s="152" t="s">
        <v>213</v>
      </c>
      <c r="H83" s="69">
        <v>1</v>
      </c>
      <c r="I83" s="69">
        <v>1</v>
      </c>
      <c r="J83" s="180">
        <f t="shared" si="75"/>
        <v>0</v>
      </c>
      <c r="K83" s="109"/>
      <c r="L83" s="109"/>
      <c r="M83" s="109"/>
      <c r="N83" s="109"/>
      <c r="O83" s="124" t="s">
        <v>124</v>
      </c>
      <c r="P83" s="124" t="s">
        <v>125</v>
      </c>
      <c r="Q83" s="109">
        <v>4</v>
      </c>
      <c r="R83" s="279">
        <v>3.25</v>
      </c>
      <c r="S83" s="131">
        <f t="shared" si="109"/>
        <v>0.75</v>
      </c>
      <c r="T83" s="69"/>
      <c r="U83" s="69"/>
      <c r="V83" s="69"/>
      <c r="W83" s="280">
        <f t="shared" si="110"/>
        <v>3.25</v>
      </c>
      <c r="X83" s="69"/>
      <c r="Y83" s="69"/>
      <c r="Z83" s="69"/>
      <c r="AA83" s="69"/>
      <c r="AB83" s="69"/>
      <c r="AC83" s="140"/>
      <c r="AD83" s="199"/>
      <c r="AE83" s="120"/>
      <c r="AF83" s="91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  <c r="BM83" s="69"/>
      <c r="BN83" s="69"/>
      <c r="BO83" s="69"/>
      <c r="BP83" s="69"/>
      <c r="BQ83" s="69"/>
      <c r="BR83" s="69"/>
      <c r="BS83" s="69"/>
      <c r="BT83" s="69"/>
      <c r="BU83" s="69"/>
      <c r="BV83" s="69"/>
      <c r="BW83" s="69"/>
      <c r="BX83" s="69"/>
      <c r="BY83" s="69"/>
    </row>
    <row r="84" spans="1:77" ht="14.45">
      <c r="A84" s="178" t="s">
        <v>122</v>
      </c>
      <c r="B84" s="69" t="s">
        <v>221</v>
      </c>
      <c r="C84" s="69" t="s">
        <v>124</v>
      </c>
      <c r="D84" s="293" t="s">
        <v>116</v>
      </c>
      <c r="E84" s="125" t="s">
        <v>164</v>
      </c>
      <c r="F84" s="151" t="s">
        <v>118</v>
      </c>
      <c r="G84" s="152" t="str">
        <f>IF(E84="Rack","No of Racks",(IF(E84="Space","Sq Ft","U Space")))</f>
        <v>U Space</v>
      </c>
      <c r="H84" s="69"/>
      <c r="I84" s="69"/>
      <c r="J84" s="180"/>
      <c r="K84" s="109"/>
      <c r="L84" s="109"/>
      <c r="M84" s="109"/>
      <c r="N84" s="109"/>
      <c r="O84" s="124" t="s">
        <v>124</v>
      </c>
      <c r="P84" s="124" t="s">
        <v>125</v>
      </c>
      <c r="Q84" s="109"/>
      <c r="R84" s="301">
        <v>0.34888888889000003</v>
      </c>
      <c r="S84" s="131"/>
      <c r="T84" s="69"/>
      <c r="U84" s="69"/>
      <c r="V84" s="69"/>
      <c r="W84" s="300">
        <f t="shared" si="110"/>
        <v>0.34888888889000003</v>
      </c>
      <c r="X84" s="69"/>
      <c r="Y84" s="69"/>
      <c r="Z84" s="69"/>
      <c r="AA84" s="69"/>
      <c r="AB84" s="69"/>
      <c r="AC84" s="140"/>
      <c r="AD84" s="199"/>
      <c r="AE84" s="120"/>
      <c r="AF84" s="91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  <c r="BM84" s="69"/>
      <c r="BN84" s="69"/>
      <c r="BO84" s="69"/>
      <c r="BP84" s="69"/>
      <c r="BQ84" s="69"/>
      <c r="BR84" s="69"/>
      <c r="BS84" s="69"/>
      <c r="BT84" s="69"/>
      <c r="BU84" s="69"/>
      <c r="BV84" s="69"/>
      <c r="BW84" s="69"/>
      <c r="BX84" s="69"/>
      <c r="BY84" s="69"/>
    </row>
    <row r="85" spans="1:77" ht="14.45">
      <c r="A85" s="178" t="s">
        <v>113</v>
      </c>
      <c r="B85" s="106" t="s">
        <v>222</v>
      </c>
      <c r="C85" s="106" t="s">
        <v>124</v>
      </c>
      <c r="D85" s="302" t="s">
        <v>116</v>
      </c>
      <c r="E85" s="106" t="s">
        <v>117</v>
      </c>
      <c r="F85" s="243" t="s">
        <v>118</v>
      </c>
      <c r="G85" s="106"/>
      <c r="H85" s="106">
        <v>4</v>
      </c>
      <c r="I85" s="106">
        <v>4</v>
      </c>
      <c r="J85" s="303">
        <f>H85-I85</f>
        <v>0</v>
      </c>
      <c r="K85" s="105"/>
      <c r="L85" s="105"/>
      <c r="M85" s="105"/>
      <c r="N85" s="105"/>
      <c r="O85" s="304" t="s">
        <v>124</v>
      </c>
      <c r="P85" s="304" t="s">
        <v>125</v>
      </c>
      <c r="Q85" s="105"/>
      <c r="R85" s="192">
        <v>4.43</v>
      </c>
      <c r="S85" s="128"/>
      <c r="T85" s="106"/>
      <c r="U85" s="106"/>
      <c r="V85" s="106"/>
      <c r="W85" s="305">
        <f t="shared" si="110"/>
        <v>4.43</v>
      </c>
      <c r="X85" s="106"/>
      <c r="Y85" s="106"/>
      <c r="Z85" s="106"/>
      <c r="AA85" s="106"/>
      <c r="AB85" s="106"/>
      <c r="AC85" s="140"/>
      <c r="AD85" s="199"/>
      <c r="AE85" s="137"/>
      <c r="AF85" s="108"/>
      <c r="AG85" s="106"/>
      <c r="AH85" s="106"/>
      <c r="AI85" s="106"/>
      <c r="AJ85" s="106"/>
      <c r="AK85" s="106"/>
      <c r="AL85" s="106"/>
      <c r="AM85" s="106"/>
      <c r="AN85" s="106"/>
      <c r="AO85" s="106"/>
      <c r="AP85" s="106"/>
      <c r="AQ85" s="106"/>
      <c r="AR85" s="106"/>
      <c r="AS85" s="106"/>
      <c r="AT85" s="106"/>
      <c r="AU85" s="106"/>
      <c r="AV85" s="106"/>
      <c r="AW85" s="106"/>
      <c r="AX85" s="106"/>
      <c r="AY85" s="106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  <c r="BM85" s="69"/>
      <c r="BN85" s="69"/>
      <c r="BO85" s="69"/>
      <c r="BP85" s="69"/>
      <c r="BQ85" s="69"/>
      <c r="BR85" s="69"/>
      <c r="BS85" s="69"/>
      <c r="BT85" s="69"/>
      <c r="BU85" s="69"/>
      <c r="BV85" s="69"/>
      <c r="BW85" s="69"/>
      <c r="BX85" s="69"/>
      <c r="BY85" s="69"/>
    </row>
    <row r="86" spans="1:77">
      <c r="A86" s="178" t="s">
        <v>122</v>
      </c>
      <c r="B86" s="106" t="s">
        <v>223</v>
      </c>
      <c r="C86" s="106"/>
      <c r="D86" s="106"/>
      <c r="E86" s="306" t="s">
        <v>164</v>
      </c>
      <c r="F86" s="307" t="s">
        <v>118</v>
      </c>
      <c r="G86" s="308" t="str">
        <f>IF(E86="Rack","No of Racks",(IF(E86="Space","Sq Ft","U Space")))</f>
        <v>U Space</v>
      </c>
      <c r="H86" s="309">
        <v>3</v>
      </c>
      <c r="I86" s="309">
        <v>2</v>
      </c>
      <c r="J86" s="310">
        <f t="shared" ref="J86" si="111">H86-I86</f>
        <v>1</v>
      </c>
      <c r="K86" s="311"/>
      <c r="L86" s="311"/>
      <c r="M86" s="311"/>
      <c r="N86" s="311"/>
      <c r="O86" s="304" t="s">
        <v>124</v>
      </c>
      <c r="P86" s="312" t="s">
        <v>125</v>
      </c>
      <c r="Q86" s="311"/>
      <c r="R86" s="313">
        <v>0.14699999999999999</v>
      </c>
      <c r="S86" s="310"/>
      <c r="T86" s="309"/>
      <c r="U86" s="309"/>
      <c r="V86" s="309"/>
      <c r="W86" s="314">
        <f t="shared" si="110"/>
        <v>0.14699999999999999</v>
      </c>
      <c r="X86" s="106"/>
      <c r="Y86" s="106"/>
      <c r="Z86" s="106"/>
      <c r="AA86" s="106"/>
      <c r="AB86" s="106"/>
      <c r="AC86" s="106"/>
      <c r="AD86" s="108"/>
      <c r="AE86" s="108"/>
      <c r="AF86" s="108"/>
      <c r="AG86" s="106"/>
      <c r="AH86" s="106"/>
      <c r="AI86" s="106"/>
      <c r="AJ86" s="106"/>
      <c r="AK86" s="106"/>
      <c r="AL86" s="106"/>
      <c r="AM86" s="106"/>
      <c r="AN86" s="106"/>
      <c r="AO86" s="106"/>
      <c r="AP86" s="106"/>
      <c r="AQ86" s="106"/>
      <c r="AR86" s="106"/>
      <c r="AS86" s="106"/>
      <c r="AT86" s="106"/>
      <c r="AU86" s="106"/>
      <c r="AV86" s="106"/>
      <c r="AW86" s="106"/>
      <c r="AX86" s="106"/>
      <c r="AY86" s="106"/>
      <c r="AZ86" s="323"/>
      <c r="BA86" s="323"/>
      <c r="BB86" s="323"/>
      <c r="BC86" s="323"/>
      <c r="BD86" s="323"/>
      <c r="BE86" s="323"/>
      <c r="BF86" s="323"/>
      <c r="BG86" s="323"/>
      <c r="BH86" s="323"/>
      <c r="BI86" s="323"/>
      <c r="BJ86" s="323"/>
      <c r="BK86" s="323"/>
      <c r="BL86" s="323"/>
      <c r="BM86" s="323"/>
      <c r="BN86" s="323"/>
      <c r="BO86" s="323"/>
      <c r="BP86" s="323"/>
      <c r="BQ86" s="323"/>
      <c r="BR86" s="323"/>
      <c r="BS86" s="323"/>
      <c r="BT86" s="323"/>
      <c r="BU86" s="323"/>
      <c r="BV86" s="323"/>
      <c r="BW86" s="323"/>
      <c r="BX86" s="323"/>
      <c r="BY86" s="323"/>
    </row>
    <row r="87" spans="1:77" ht="30" customHeight="1">
      <c r="A87" s="178" t="s">
        <v>205</v>
      </c>
      <c r="B87" s="69" t="s">
        <v>224</v>
      </c>
      <c r="C87" s="69"/>
      <c r="D87" s="129"/>
      <c r="E87" s="69" t="s">
        <v>117</v>
      </c>
      <c r="F87" s="130"/>
      <c r="G87" s="69"/>
      <c r="H87" s="69">
        <v>4</v>
      </c>
      <c r="I87" s="69">
        <v>4</v>
      </c>
      <c r="J87" s="131">
        <f>H87-I87</f>
        <v>0</v>
      </c>
      <c r="K87" s="109"/>
      <c r="L87" s="109"/>
      <c r="M87" s="109"/>
      <c r="N87" s="109"/>
      <c r="O87" s="109"/>
      <c r="P87" s="109"/>
      <c r="Q87" s="109"/>
      <c r="R87" s="315">
        <v>6.53</v>
      </c>
      <c r="S87" s="131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91"/>
      <c r="AE87" s="91"/>
      <c r="AF87" s="91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323"/>
      <c r="BA87" s="323"/>
      <c r="BB87" s="323"/>
      <c r="BC87" s="323"/>
      <c r="BD87" s="323"/>
      <c r="BE87" s="323"/>
      <c r="BF87" s="323"/>
      <c r="BG87" s="323"/>
      <c r="BH87" s="323"/>
      <c r="BI87" s="323"/>
      <c r="BJ87" s="323"/>
      <c r="BK87" s="323"/>
      <c r="BL87" s="323"/>
      <c r="BM87" s="323"/>
      <c r="BN87" s="323"/>
      <c r="BO87" s="323"/>
      <c r="BP87" s="323"/>
      <c r="BQ87" s="323"/>
      <c r="BR87" s="323"/>
      <c r="BS87" s="323"/>
      <c r="BT87" s="323"/>
      <c r="BU87" s="323"/>
      <c r="BV87" s="323"/>
      <c r="BW87" s="323"/>
      <c r="BX87" s="323"/>
      <c r="BY87" s="323"/>
    </row>
    <row r="88" spans="1:77">
      <c r="A88" s="316" t="s">
        <v>225</v>
      </c>
      <c r="B88" s="309" t="s">
        <v>226</v>
      </c>
      <c r="C88" s="309"/>
      <c r="D88" s="309"/>
      <c r="E88" s="309"/>
      <c r="F88" s="309"/>
      <c r="G88" s="309"/>
      <c r="H88" s="309"/>
      <c r="I88" s="309"/>
      <c r="J88" s="309"/>
      <c r="K88" s="309"/>
      <c r="L88" s="309"/>
      <c r="M88" s="309"/>
      <c r="N88" s="309"/>
      <c r="O88" s="309"/>
      <c r="P88" s="309"/>
      <c r="Q88" s="309"/>
      <c r="R88" s="313">
        <v>2.7776999999999998</v>
      </c>
      <c r="S88" s="309"/>
      <c r="T88" s="309"/>
      <c r="U88" s="309"/>
      <c r="V88" s="309"/>
      <c r="W88" s="309">
        <f>R88</f>
        <v>2.7776999999999998</v>
      </c>
      <c r="X88" s="309"/>
      <c r="Y88" s="309"/>
      <c r="Z88" s="309"/>
      <c r="AA88" s="309"/>
      <c r="AB88" s="309"/>
      <c r="AC88" s="309"/>
      <c r="AD88" s="309"/>
      <c r="AE88" s="309"/>
      <c r="AF88" s="309"/>
      <c r="AG88" s="309"/>
      <c r="AH88" s="309"/>
      <c r="AI88" s="309"/>
      <c r="AJ88" s="309"/>
      <c r="AK88" s="309"/>
      <c r="AL88" s="309"/>
      <c r="AM88" s="309"/>
      <c r="AN88" s="309"/>
      <c r="AO88" s="309"/>
      <c r="AP88" s="309"/>
      <c r="AQ88" s="309"/>
      <c r="AR88" s="309"/>
      <c r="AS88" s="309"/>
      <c r="AT88" s="309"/>
      <c r="AU88" s="309"/>
      <c r="AV88" s="309"/>
      <c r="AW88" s="309"/>
      <c r="AX88" s="309"/>
      <c r="AY88" s="309"/>
      <c r="AZ88" s="309"/>
      <c r="BA88" s="309"/>
      <c r="BB88" s="309"/>
      <c r="BC88" s="309"/>
      <c r="BD88" s="309"/>
      <c r="BE88" s="309"/>
      <c r="BF88" s="309"/>
      <c r="BG88" s="309"/>
      <c r="BH88" s="309"/>
      <c r="BI88" s="309"/>
      <c r="BJ88" s="309"/>
      <c r="BK88" s="309"/>
      <c r="BL88" s="309"/>
      <c r="BM88" s="309"/>
      <c r="BN88" s="309"/>
      <c r="BO88" s="309"/>
      <c r="BP88" s="309"/>
      <c r="BQ88" s="309"/>
      <c r="BR88" s="309"/>
      <c r="BS88" s="309"/>
      <c r="BT88" s="309"/>
      <c r="BU88" s="309"/>
      <c r="BV88" s="309"/>
      <c r="BW88" s="309"/>
      <c r="BX88" s="309"/>
      <c r="BY88" s="309"/>
    </row>
    <row r="89" spans="1:77">
      <c r="A89" s="317" t="s">
        <v>211</v>
      </c>
      <c r="B89" s="309" t="s">
        <v>227</v>
      </c>
      <c r="C89" s="309"/>
      <c r="D89" s="309"/>
      <c r="E89" s="309"/>
      <c r="F89" s="309"/>
      <c r="G89" s="309"/>
      <c r="H89" s="309"/>
      <c r="I89" s="309"/>
      <c r="J89" s="309"/>
      <c r="K89" s="309"/>
      <c r="L89" s="309"/>
      <c r="M89" s="309"/>
      <c r="N89" s="309"/>
      <c r="O89" s="309"/>
      <c r="P89" s="309"/>
      <c r="Q89" s="309"/>
      <c r="R89" s="313">
        <v>3.8</v>
      </c>
      <c r="S89" s="309"/>
      <c r="T89" s="309"/>
      <c r="U89" s="309"/>
      <c r="V89" s="309"/>
      <c r="W89" s="309">
        <f>R89</f>
        <v>3.8</v>
      </c>
      <c r="X89" s="309"/>
      <c r="Y89" s="309"/>
      <c r="Z89" s="309"/>
      <c r="AA89" s="309"/>
      <c r="AB89" s="309"/>
      <c r="AC89" s="309"/>
      <c r="AD89" s="309"/>
      <c r="AE89" s="309"/>
      <c r="AF89" s="309"/>
      <c r="AG89" s="309"/>
      <c r="AH89" s="309"/>
      <c r="AI89" s="309"/>
      <c r="AJ89" s="309"/>
      <c r="AK89" s="309"/>
      <c r="AL89" s="309"/>
      <c r="AM89" s="309"/>
      <c r="AN89" s="309"/>
      <c r="AO89" s="309"/>
      <c r="AP89" s="309"/>
      <c r="AQ89" s="309"/>
      <c r="AR89" s="309"/>
      <c r="AS89" s="309"/>
      <c r="AT89" s="309"/>
      <c r="AU89" s="309"/>
      <c r="AV89" s="309"/>
      <c r="AW89" s="309"/>
      <c r="AX89" s="309"/>
      <c r="AY89" s="309"/>
      <c r="AZ89" s="309"/>
      <c r="BA89" s="309"/>
      <c r="BB89" s="309"/>
      <c r="BC89" s="309"/>
      <c r="BD89" s="309"/>
      <c r="BE89" s="309"/>
      <c r="BF89" s="309"/>
      <c r="BG89" s="309"/>
      <c r="BH89" s="309"/>
      <c r="BI89" s="309"/>
      <c r="BJ89" s="309"/>
      <c r="BK89" s="309"/>
      <c r="BL89" s="309"/>
      <c r="BM89" s="309"/>
      <c r="BN89" s="309"/>
      <c r="BO89" s="309"/>
      <c r="BP89" s="309"/>
      <c r="BQ89" s="309"/>
      <c r="BR89" s="309"/>
      <c r="BS89" s="309"/>
      <c r="BT89" s="309"/>
      <c r="BU89" s="309"/>
      <c r="BV89" s="309"/>
      <c r="BW89" s="309"/>
      <c r="BX89" s="309"/>
      <c r="BY89" s="309"/>
    </row>
    <row r="90" spans="1:77">
      <c r="A90" s="317" t="s">
        <v>211</v>
      </c>
      <c r="B90" s="309" t="s">
        <v>228</v>
      </c>
      <c r="C90" s="309"/>
      <c r="D90" s="318"/>
      <c r="E90" s="309"/>
      <c r="F90" s="307"/>
      <c r="G90" s="308"/>
      <c r="H90" s="309"/>
      <c r="I90" s="309"/>
      <c r="J90" s="310"/>
      <c r="K90" s="311"/>
      <c r="L90" s="311"/>
      <c r="M90" s="311"/>
      <c r="N90" s="311"/>
      <c r="O90" s="311"/>
      <c r="P90" s="311"/>
      <c r="Q90" s="311"/>
      <c r="R90" s="313">
        <v>2.84</v>
      </c>
      <c r="S90" s="310"/>
      <c r="T90" s="309"/>
      <c r="U90" s="309"/>
      <c r="V90" s="309"/>
      <c r="W90" s="314">
        <f>R90</f>
        <v>2.84</v>
      </c>
      <c r="X90" s="309"/>
      <c r="Y90" s="309"/>
      <c r="Z90" s="309"/>
      <c r="AA90" s="309"/>
      <c r="AB90" s="309"/>
      <c r="AC90" s="309"/>
      <c r="AD90" s="319"/>
      <c r="AE90" s="319"/>
      <c r="AF90" s="319"/>
      <c r="AG90" s="309"/>
      <c r="AH90" s="309"/>
      <c r="AI90" s="309"/>
      <c r="AJ90" s="309"/>
      <c r="AK90" s="309"/>
      <c r="AL90" s="309"/>
      <c r="AM90" s="309"/>
      <c r="AN90" s="309"/>
      <c r="AO90" s="309"/>
      <c r="AP90" s="309"/>
      <c r="AQ90" s="309"/>
      <c r="AR90" s="309"/>
      <c r="AS90" s="309"/>
      <c r="AT90" s="309"/>
      <c r="AU90" s="309"/>
      <c r="AV90" s="309"/>
      <c r="AW90" s="309"/>
      <c r="AX90" s="309"/>
      <c r="AY90" s="309"/>
      <c r="AZ90" s="309"/>
      <c r="BA90" s="309"/>
      <c r="BB90" s="309"/>
      <c r="BC90" s="309"/>
      <c r="BD90" s="309"/>
      <c r="BE90" s="309"/>
      <c r="BF90" s="309"/>
      <c r="BG90" s="309"/>
      <c r="BH90" s="309"/>
      <c r="BI90" s="309"/>
      <c r="BJ90" s="309"/>
      <c r="BK90" s="309"/>
      <c r="BL90" s="309"/>
      <c r="BM90" s="309"/>
      <c r="BN90" s="309"/>
      <c r="BO90" s="309"/>
      <c r="BP90" s="309"/>
      <c r="BQ90" s="309"/>
      <c r="BR90" s="309"/>
      <c r="BS90" s="309"/>
      <c r="BT90" s="309"/>
      <c r="BU90" s="309"/>
      <c r="BV90" s="309"/>
      <c r="BW90" s="309"/>
      <c r="BX90" s="309"/>
      <c r="BY90" s="309"/>
    </row>
    <row r="91" spans="1:77">
      <c r="A91" s="317" t="s">
        <v>229</v>
      </c>
      <c r="B91" s="309" t="s">
        <v>228</v>
      </c>
      <c r="C91" s="309"/>
      <c r="D91" s="318"/>
      <c r="E91" s="309"/>
      <c r="F91" s="307"/>
      <c r="G91" s="308"/>
      <c r="H91" s="309"/>
      <c r="I91" s="309"/>
      <c r="J91" s="310"/>
      <c r="K91" s="311"/>
      <c r="L91" s="311"/>
      <c r="M91" s="311"/>
      <c r="N91" s="311"/>
      <c r="O91" s="311"/>
      <c r="P91" s="311"/>
      <c r="Q91" s="311"/>
      <c r="R91" s="313">
        <v>3.956</v>
      </c>
      <c r="S91" s="310"/>
      <c r="T91" s="309"/>
      <c r="U91" s="309"/>
      <c r="V91" s="309"/>
      <c r="W91" s="314">
        <f>R91</f>
        <v>3.956</v>
      </c>
      <c r="X91" s="309"/>
      <c r="Y91" s="309"/>
      <c r="Z91" s="309"/>
      <c r="AA91" s="309"/>
      <c r="AB91" s="309"/>
      <c r="AC91" s="309"/>
      <c r="AD91" s="319"/>
      <c r="AE91" s="319"/>
      <c r="AF91" s="319"/>
      <c r="AG91" s="309"/>
      <c r="AH91" s="309"/>
      <c r="AI91" s="309"/>
      <c r="AJ91" s="309"/>
      <c r="AK91" s="309"/>
      <c r="AL91" s="309"/>
      <c r="AM91" s="309"/>
      <c r="AN91" s="309"/>
      <c r="AO91" s="309"/>
      <c r="AP91" s="309"/>
      <c r="AQ91" s="309"/>
      <c r="AR91" s="309"/>
      <c r="AS91" s="309"/>
      <c r="AT91" s="309"/>
      <c r="AU91" s="309"/>
      <c r="AV91" s="309"/>
      <c r="AW91" s="309"/>
      <c r="AX91" s="309"/>
      <c r="AY91" s="309"/>
      <c r="AZ91" s="309"/>
      <c r="BA91" s="309"/>
      <c r="BB91" s="309"/>
      <c r="BC91" s="309"/>
      <c r="BD91" s="309"/>
      <c r="BE91" s="309"/>
      <c r="BF91" s="309"/>
      <c r="BG91" s="309"/>
      <c r="BH91" s="309"/>
      <c r="BI91" s="309"/>
      <c r="BJ91" s="309"/>
      <c r="BK91" s="309"/>
      <c r="BL91" s="309"/>
      <c r="BM91" s="309"/>
      <c r="BN91" s="309"/>
      <c r="BO91" s="309"/>
      <c r="BP91" s="309"/>
      <c r="BQ91" s="309"/>
      <c r="BR91" s="309"/>
      <c r="BS91" s="309"/>
      <c r="BT91" s="309"/>
      <c r="BU91" s="309"/>
      <c r="BV91" s="309"/>
      <c r="BW91" s="309"/>
      <c r="BX91" s="309"/>
      <c r="BY91" s="309"/>
    </row>
  </sheetData>
  <mergeCells count="11">
    <mergeCell ref="C21:D21"/>
    <mergeCell ref="E21:M21"/>
    <mergeCell ref="O21:Y21"/>
    <mergeCell ref="Z21:AD21"/>
    <mergeCell ref="AE21:AL21"/>
    <mergeCell ref="AM21:AT21"/>
    <mergeCell ref="AU21:AX21"/>
    <mergeCell ref="H2:I2"/>
    <mergeCell ref="Q5:R5"/>
    <mergeCell ref="O6:R6"/>
    <mergeCell ref="N7:R7"/>
  </mergeCells>
  <conditionalFormatting sqref="Y23:Y74">
    <cfRule type="cellIs" dxfId="92" priority="9" operator="lessThanOrEqual">
      <formula>0</formula>
    </cfRule>
    <cfRule type="cellIs" dxfId="91" priority="10" operator="lessThanOrEqual">
      <formula>0</formula>
    </cfRule>
  </conditionalFormatting>
  <conditionalFormatting sqref="Y76">
    <cfRule type="cellIs" dxfId="90" priority="3" operator="lessThanOrEqual">
      <formula>0</formula>
    </cfRule>
    <cfRule type="cellIs" dxfId="89" priority="2" operator="lessThanOrEqual">
      <formula>0</formula>
    </cfRule>
  </conditionalFormatting>
  <conditionalFormatting sqref="BC23:BF43">
    <cfRule type="cellIs" dxfId="88" priority="4" operator="lessThan">
      <formula>#REF!</formula>
    </cfRule>
    <cfRule type="cellIs" dxfId="87" priority="5" operator="between">
      <formula>#REF!</formula>
      <formula>$J$6</formula>
    </cfRule>
    <cfRule type="cellIs" dxfId="86" priority="6" operator="between">
      <formula>$J$6</formula>
      <formula>$J$5</formula>
    </cfRule>
    <cfRule type="cellIs" dxfId="85" priority="7" operator="greaterThan">
      <formula>$J$4</formula>
    </cfRule>
    <cfRule type="cellIs" dxfId="84" priority="8" operator="between">
      <formula>$J$5</formula>
      <formula>$J$4</formula>
    </cfRule>
  </conditionalFormatting>
  <conditionalFormatting sqref="BC44:BF48">
    <cfRule type="cellIs" dxfId="83" priority="56" operator="between">
      <formula>$J$5</formula>
      <formula>$J$4</formula>
    </cfRule>
    <cfRule type="cellIs" dxfId="82" priority="55" operator="greaterThan">
      <formula>$J$4</formula>
    </cfRule>
  </conditionalFormatting>
  <conditionalFormatting sqref="BC44:BF63">
    <cfRule type="cellIs" dxfId="81" priority="35" operator="lessThan">
      <formula>#REF!</formula>
    </cfRule>
    <cfRule type="cellIs" dxfId="80" priority="36" operator="between">
      <formula>#REF!</formula>
      <formula>$J$6</formula>
    </cfRule>
    <cfRule type="cellIs" dxfId="79" priority="37" operator="between">
      <formula>$J$6</formula>
      <formula>$J$5</formula>
    </cfRule>
  </conditionalFormatting>
  <conditionalFormatting sqref="BC49:BF49">
    <cfRule type="cellIs" dxfId="78" priority="33" operator="greaterThan">
      <formula>$J$4</formula>
    </cfRule>
    <cfRule type="cellIs" dxfId="77" priority="34" operator="between">
      <formula>$J$5</formula>
      <formula>$J$4</formula>
    </cfRule>
  </conditionalFormatting>
  <conditionalFormatting sqref="BC50:BF68">
    <cfRule type="cellIs" dxfId="76" priority="40" operator="between">
      <formula>$J$5</formula>
      <formula>$J$4</formula>
    </cfRule>
    <cfRule type="cellIs" dxfId="75" priority="39" operator="greaterThan">
      <formula>$J$4</formula>
    </cfRule>
  </conditionalFormatting>
  <conditionalFormatting sqref="BC64:BF65">
    <cfRule type="cellIs" dxfId="74" priority="43" operator="between">
      <formula>$J$6</formula>
      <formula>$J$5</formula>
    </cfRule>
    <cfRule type="cellIs" dxfId="73" priority="41" operator="lessThan">
      <formula>#REF!</formula>
    </cfRule>
    <cfRule type="cellIs" dxfId="72" priority="42" operator="between">
      <formula>#REF!</formula>
      <formula>$J$6</formula>
    </cfRule>
  </conditionalFormatting>
  <conditionalFormatting sqref="BC66:BF70">
    <cfRule type="cellIs" dxfId="71" priority="31" operator="between">
      <formula>$J$6</formula>
      <formula>$J$5</formula>
    </cfRule>
    <cfRule type="cellIs" dxfId="70" priority="30" operator="between">
      <formula>#REF!</formula>
      <formula>$J$6</formula>
    </cfRule>
    <cfRule type="cellIs" dxfId="69" priority="29" operator="lessThan">
      <formula>#REF!</formula>
    </cfRule>
  </conditionalFormatting>
  <conditionalFormatting sqref="BC69:BF69">
    <cfRule type="cellIs" dxfId="68" priority="28" operator="between">
      <formula>$J$5</formula>
      <formula>$J$4</formula>
    </cfRule>
    <cfRule type="cellIs" dxfId="67" priority="27" operator="greaterThan">
      <formula>$J$4</formula>
    </cfRule>
  </conditionalFormatting>
  <conditionalFormatting sqref="BC70:BF72">
    <cfRule type="cellIs" dxfId="66" priority="46" operator="between">
      <formula>$J$5</formula>
      <formula>$J$4</formula>
    </cfRule>
    <cfRule type="cellIs" dxfId="65" priority="45" operator="greaterThan">
      <formula>$J$4</formula>
    </cfRule>
  </conditionalFormatting>
  <conditionalFormatting sqref="BC71:BF72">
    <cfRule type="cellIs" dxfId="64" priority="49" operator="between">
      <formula>$J$6</formula>
      <formula>$J$5</formula>
    </cfRule>
    <cfRule type="cellIs" dxfId="63" priority="48" operator="between">
      <formula>#REF!</formula>
      <formula>$J$6</formula>
    </cfRule>
    <cfRule type="cellIs" dxfId="62" priority="47" operator="lessThan">
      <formula>#REF!</formula>
    </cfRule>
  </conditionalFormatting>
  <conditionalFormatting sqref="BC73:BF73">
    <cfRule type="cellIs" dxfId="61" priority="21" operator="greaterThan">
      <formula>$J$4</formula>
    </cfRule>
    <cfRule type="cellIs" dxfId="60" priority="22" operator="between">
      <formula>$J$5</formula>
      <formula>$J$4</formula>
    </cfRule>
  </conditionalFormatting>
  <conditionalFormatting sqref="BC73:BF74">
    <cfRule type="cellIs" dxfId="59" priority="23" operator="lessThan">
      <formula>#REF!</formula>
    </cfRule>
    <cfRule type="cellIs" dxfId="58" priority="24" operator="between">
      <formula>#REF!</formula>
      <formula>$J$6</formula>
    </cfRule>
    <cfRule type="cellIs" dxfId="57" priority="25" operator="between">
      <formula>$J$6</formula>
      <formula>$J$5</formula>
    </cfRule>
  </conditionalFormatting>
  <conditionalFormatting sqref="BC74:BF74">
    <cfRule type="cellIs" dxfId="56" priority="59" operator="greaterThan">
      <formula>$J$4</formula>
    </cfRule>
    <cfRule type="cellIs" dxfId="55" priority="60" operator="between">
      <formula>$J$5</formula>
      <formula>$J$4</formula>
    </cfRule>
  </conditionalFormatting>
  <conditionalFormatting sqref="BW26:BY26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29:BY29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31:BY31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33:BY33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34:BY34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36:BY36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39:BY40">
    <cfRule type="colorScale" priority="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43:BY43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48:BY48"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49:BY49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51:BY51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52:BY52"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61:BY63"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64:BY65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66:BY66 BW41:BY42 BW50:BY50 BW30:BY30 BW32:BY32 BW23:BY25 BW44:BY47 BW27:BY28 BW35:BY35 BW53:BY60 BW37:BY38"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67:BY67"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68:BY68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69:BY69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70:BY70 BW74:BY74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71:BY71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72:BY72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73:BY73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9">
    <dataValidation type="list" allowBlank="1" showInputMessage="1" showErrorMessage="1" sqref="C23:C74 D73 C76:C82" xr:uid="{00000000-0002-0000-0000-000000000000}">
      <formula1>"Rated,Subscribed"</formula1>
      <formula2>0</formula2>
    </dataValidation>
    <dataValidation type="list" allowBlank="1" showInputMessage="1" showErrorMessage="1" sqref="AE23:AE74 AD75 AE76" xr:uid="{00000000-0002-0000-0000-000001000000}">
      <formula1>"No of Seats,Space"</formula1>
      <formula2>0</formula2>
    </dataValidation>
    <dataValidation type="list" allowBlank="1" showInputMessage="1" showErrorMessage="1" sqref="AT76 AT23:AT74" xr:uid="{00000000-0002-0000-0000-000002000000}">
      <formula1>"Qtrly Adv,Qtry Ars,Monthly Adv,Monthly Ars"</formula1>
      <formula2>0</formula2>
    </dataValidation>
    <dataValidation type="list" allowBlank="1" showInputMessage="1" showErrorMessage="1" sqref="AB76 AB23:AB74" xr:uid="{00000000-0002-0000-0000-000004000000}">
      <formula1>"Fixed,Variable"</formula1>
      <formula2>0</formula2>
    </dataValidation>
    <dataValidation type="list" allowBlank="1" showInputMessage="1" showErrorMessage="1" sqref="P76:P77 P23:P74" xr:uid="{00000000-0002-0000-0000-000005000000}">
      <formula1>"KW,KVA"</formula1>
      <formula2>0</formula2>
    </dataValidation>
    <dataValidation type="list" allowBlank="1" showInputMessage="1" showErrorMessage="1" promptTitle="Rack, U Space, Cage" sqref="F76:F85 F23:F74" xr:uid="{00000000-0002-0000-0000-000006000000}">
      <formula1>"Caged,Uncaged"</formula1>
      <formula2>0</formula2>
    </dataValidation>
    <dataValidation type="list" allowBlank="1" showInputMessage="1" showErrorMessage="1" promptTitle="Rack, U Space, Cage" sqref="E76:E81 E23:E74" xr:uid="{00000000-0002-0000-0000-000007000000}">
      <formula1>"Space,Rack,U space"</formula1>
      <formula2>0</formula2>
    </dataValidation>
    <dataValidation type="list" allowBlank="1" showInputMessage="1" showErrorMessage="1" sqref="D76:D85 D23:D72 D74" xr:uid="{00000000-0002-0000-0000-000008000000}">
      <formula1>"Bundled,Metered"</formula1>
      <formula2>0</formula2>
    </dataValidation>
    <dataValidation type="list" allowBlank="1" showInputMessage="1" showErrorMessage="1" promptTitle="Rack, U Space, Cage" sqref="F90:F91 F86" xr:uid="{E54673FD-2267-4A3F-AC94-9C82558418B7}">
      <formula1>"Caged,Uncaged"</formula1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3D101-22FE-45FC-B595-B0750A0A2373}">
  <dimension ref="A1:IV70"/>
  <sheetViews>
    <sheetView tabSelected="1" workbookViewId="0">
      <selection sqref="A1:XFD1048576"/>
    </sheetView>
  </sheetViews>
  <sheetFormatPr defaultRowHeight="12.75"/>
  <cols>
    <col min="1" max="1" width="11.5703125" bestFit="1" customWidth="1"/>
    <col min="2" max="2" width="34.140625" bestFit="1" customWidth="1"/>
    <col min="7" max="7" width="9" bestFit="1" customWidth="1"/>
    <col min="9" max="9" width="5.28515625" bestFit="1" customWidth="1"/>
    <col min="11" max="11" width="5" bestFit="1" customWidth="1"/>
    <col min="14" max="14" width="10.140625" bestFit="1" customWidth="1"/>
    <col min="16" max="16" width="4" bestFit="1" customWidth="1"/>
    <col min="23" max="23" width="10.28515625" bestFit="1" customWidth="1"/>
    <col min="27" max="27" width="8" bestFit="1" customWidth="1"/>
    <col min="30" max="30" width="11.85546875" bestFit="1" customWidth="1"/>
    <col min="34" max="34" width="5.28515625" bestFit="1" customWidth="1"/>
    <col min="36" max="36" width="5" bestFit="1" customWidth="1"/>
    <col min="39" max="39" width="11" bestFit="1" customWidth="1"/>
    <col min="40" max="41" width="10.140625" bestFit="1" customWidth="1"/>
    <col min="43" max="43" width="10.140625" bestFit="1" customWidth="1"/>
    <col min="44" max="44" width="11" bestFit="1" customWidth="1"/>
    <col min="45" max="45" width="11.85546875" bestFit="1" customWidth="1"/>
    <col min="46" max="46" width="10.85546875" bestFit="1" customWidth="1"/>
    <col min="47" max="47" width="33.7109375" bestFit="1" customWidth="1"/>
    <col min="51" max="51" width="22.7109375" bestFit="1" customWidth="1"/>
    <col min="53" max="53" width="10.140625" bestFit="1" customWidth="1"/>
    <col min="55" max="56" width="9.28515625" bestFit="1" customWidth="1"/>
    <col min="59" max="60" width="12" bestFit="1" customWidth="1"/>
    <col min="61" max="61" width="11" bestFit="1" customWidth="1"/>
    <col min="65" max="65" width="9.5703125" bestFit="1" customWidth="1"/>
    <col min="67" max="67" width="9.7109375" bestFit="1" customWidth="1"/>
    <col min="68" max="69" width="9.5703125" bestFit="1" customWidth="1"/>
    <col min="70" max="70" width="4.28515625" bestFit="1" customWidth="1"/>
    <col min="71" max="71" width="8.140625" bestFit="1" customWidth="1"/>
    <col min="72" max="72" width="9.5703125" bestFit="1" customWidth="1"/>
    <col min="73" max="73" width="9.7109375" bestFit="1" customWidth="1"/>
    <col min="74" max="74" width="9.5703125" bestFit="1" customWidth="1"/>
  </cols>
  <sheetData>
    <row r="1" spans="1:256" ht="65.25">
      <c r="A1" s="149" t="s">
        <v>50</v>
      </c>
      <c r="B1" s="149" t="s">
        <v>51</v>
      </c>
      <c r="C1" s="166" t="s">
        <v>52</v>
      </c>
      <c r="D1" s="166" t="s">
        <v>53</v>
      </c>
      <c r="E1" s="166" t="s">
        <v>54</v>
      </c>
      <c r="F1" s="166" t="s">
        <v>55</v>
      </c>
      <c r="G1" s="167" t="s">
        <v>56</v>
      </c>
      <c r="H1" s="168" t="s">
        <v>57</v>
      </c>
      <c r="I1" s="169" t="s">
        <v>58</v>
      </c>
      <c r="J1" s="170" t="s">
        <v>59</v>
      </c>
      <c r="K1" s="168" t="s">
        <v>60</v>
      </c>
      <c r="L1" s="166" t="s">
        <v>61</v>
      </c>
      <c r="M1" s="168" t="s">
        <v>62</v>
      </c>
      <c r="N1" s="171" t="s">
        <v>63</v>
      </c>
      <c r="O1" s="172" t="s">
        <v>64</v>
      </c>
      <c r="P1" s="167" t="s">
        <v>56</v>
      </c>
      <c r="Q1" s="173" t="s">
        <v>65</v>
      </c>
      <c r="R1" s="174" t="s">
        <v>66</v>
      </c>
      <c r="S1" s="175" t="s">
        <v>67</v>
      </c>
      <c r="T1" s="168" t="s">
        <v>68</v>
      </c>
      <c r="U1" s="167" t="s">
        <v>69</v>
      </c>
      <c r="V1" s="173" t="s">
        <v>70</v>
      </c>
      <c r="W1" s="167" t="s">
        <v>71</v>
      </c>
      <c r="X1" s="167" t="s">
        <v>72</v>
      </c>
      <c r="Y1" s="167" t="s">
        <v>73</v>
      </c>
      <c r="Z1" s="173" t="s">
        <v>74</v>
      </c>
      <c r="AA1" s="60" t="s">
        <v>75</v>
      </c>
      <c r="AB1" s="61" t="s">
        <v>76</v>
      </c>
      <c r="AC1" s="62" t="s">
        <v>77</v>
      </c>
      <c r="AD1" s="176" t="s">
        <v>78</v>
      </c>
      <c r="AE1" s="177" t="s">
        <v>64</v>
      </c>
      <c r="AF1" s="176" t="s">
        <v>56</v>
      </c>
      <c r="AG1" s="168" t="s">
        <v>57</v>
      </c>
      <c r="AH1" s="149" t="s">
        <v>58</v>
      </c>
      <c r="AI1" s="168" t="s">
        <v>79</v>
      </c>
      <c r="AJ1" s="168" t="s">
        <v>60</v>
      </c>
      <c r="AK1" s="168" t="s">
        <v>68</v>
      </c>
      <c r="AL1" s="168" t="s">
        <v>80</v>
      </c>
      <c r="AM1" s="62" t="s">
        <v>81</v>
      </c>
      <c r="AN1" s="62" t="s">
        <v>82</v>
      </c>
      <c r="AO1" s="61" t="s">
        <v>83</v>
      </c>
      <c r="AP1" s="62" t="s">
        <v>47</v>
      </c>
      <c r="AQ1" s="62" t="s">
        <v>84</v>
      </c>
      <c r="AR1" s="62" t="s">
        <v>85</v>
      </c>
      <c r="AS1" s="65" t="s">
        <v>63</v>
      </c>
      <c r="AT1" s="62" t="s">
        <v>86</v>
      </c>
      <c r="AU1" s="62" t="s">
        <v>87</v>
      </c>
      <c r="AV1" s="61" t="s">
        <v>88</v>
      </c>
      <c r="AW1" s="61" t="s">
        <v>89</v>
      </c>
      <c r="AX1" s="61" t="s">
        <v>90</v>
      </c>
      <c r="AY1" s="60" t="s">
        <v>91</v>
      </c>
      <c r="AZ1" s="323"/>
      <c r="BA1" s="68" t="s">
        <v>92</v>
      </c>
      <c r="BB1" s="68" t="s">
        <v>93</v>
      </c>
      <c r="BC1" s="68" t="s">
        <v>94</v>
      </c>
      <c r="BD1" s="68" t="s">
        <v>95</v>
      </c>
      <c r="BE1" s="68" t="s">
        <v>96</v>
      </c>
      <c r="BF1" s="68"/>
      <c r="BG1" s="68" t="s">
        <v>97</v>
      </c>
      <c r="BH1" s="68" t="s">
        <v>98</v>
      </c>
      <c r="BI1" s="68" t="s">
        <v>99</v>
      </c>
      <c r="BJ1" s="68" t="s">
        <v>100</v>
      </c>
      <c r="BK1" s="68" t="s">
        <v>101</v>
      </c>
      <c r="BL1" s="68" t="s">
        <v>102</v>
      </c>
      <c r="BM1" s="68" t="s">
        <v>103</v>
      </c>
      <c r="BN1" s="68" t="s">
        <v>104</v>
      </c>
      <c r="BO1" s="68" t="s">
        <v>105</v>
      </c>
      <c r="BP1" s="68" t="s">
        <v>106</v>
      </c>
      <c r="BQ1" s="68" t="s">
        <v>107</v>
      </c>
      <c r="BR1" s="69" t="s">
        <v>108</v>
      </c>
      <c r="BS1" s="69"/>
      <c r="BT1" s="68" t="s">
        <v>106</v>
      </c>
      <c r="BU1" s="68" t="s">
        <v>105</v>
      </c>
      <c r="BV1" s="68" t="s">
        <v>109</v>
      </c>
      <c r="BW1" s="68" t="s">
        <v>110</v>
      </c>
      <c r="BX1" s="68" t="s">
        <v>111</v>
      </c>
      <c r="BY1" s="68" t="s">
        <v>112</v>
      </c>
      <c r="BZ1" s="323"/>
      <c r="CA1" s="323"/>
      <c r="CB1" s="323"/>
      <c r="CC1" s="323"/>
      <c r="CD1" s="323"/>
      <c r="CE1" s="323"/>
      <c r="CF1" s="323"/>
      <c r="CG1" s="323"/>
      <c r="CH1" s="323"/>
      <c r="CI1" s="323"/>
      <c r="CJ1" s="323"/>
      <c r="CK1" s="323"/>
      <c r="CL1" s="323"/>
      <c r="CM1" s="323"/>
      <c r="CN1" s="323"/>
      <c r="CO1" s="323"/>
      <c r="CP1" s="323"/>
      <c r="CQ1" s="323"/>
      <c r="CR1" s="323"/>
      <c r="CS1" s="323"/>
      <c r="CT1" s="323"/>
      <c r="CU1" s="323"/>
      <c r="CV1" s="323"/>
      <c r="CW1" s="323"/>
      <c r="CX1" s="323"/>
      <c r="CY1" s="323"/>
      <c r="CZ1" s="323"/>
      <c r="DA1" s="323"/>
      <c r="DB1" s="323"/>
      <c r="DC1" s="323"/>
      <c r="DD1" s="323"/>
      <c r="DE1" s="323"/>
      <c r="DF1" s="323"/>
      <c r="DG1" s="323"/>
      <c r="DH1" s="323"/>
      <c r="DI1" s="323"/>
      <c r="DJ1" s="323"/>
      <c r="DK1" s="323"/>
      <c r="DL1" s="323"/>
      <c r="DM1" s="323"/>
      <c r="DN1" s="323"/>
      <c r="DO1" s="323"/>
      <c r="DP1" s="323"/>
      <c r="DQ1" s="323"/>
      <c r="DR1" s="323"/>
      <c r="DS1" s="323"/>
      <c r="DT1" s="323"/>
      <c r="DU1" s="323"/>
      <c r="DV1" s="323"/>
      <c r="DW1" s="323"/>
      <c r="DX1" s="323"/>
      <c r="DY1" s="323"/>
      <c r="DZ1" s="323"/>
      <c r="EA1" s="323"/>
      <c r="EB1" s="323"/>
      <c r="EC1" s="323"/>
      <c r="ED1" s="323"/>
      <c r="EE1" s="323"/>
      <c r="EF1" s="323"/>
      <c r="EG1" s="323"/>
      <c r="EH1" s="323"/>
      <c r="EI1" s="323"/>
      <c r="EJ1" s="323"/>
      <c r="EK1" s="323"/>
      <c r="EL1" s="323"/>
      <c r="EM1" s="323"/>
      <c r="EN1" s="323"/>
      <c r="EO1" s="323"/>
      <c r="EP1" s="323"/>
      <c r="EQ1" s="323"/>
      <c r="ER1" s="323"/>
      <c r="ES1" s="323"/>
      <c r="ET1" s="323"/>
      <c r="EU1" s="323"/>
      <c r="EV1" s="323"/>
      <c r="EW1" s="323"/>
      <c r="EX1" s="323"/>
      <c r="EY1" s="323"/>
      <c r="EZ1" s="323"/>
      <c r="FA1" s="323"/>
      <c r="FB1" s="323"/>
      <c r="FC1" s="323"/>
      <c r="FD1" s="323"/>
      <c r="FE1" s="323"/>
      <c r="FF1" s="323"/>
      <c r="FG1" s="323"/>
      <c r="FH1" s="323"/>
      <c r="FI1" s="323"/>
      <c r="FJ1" s="323"/>
      <c r="FK1" s="323"/>
      <c r="FL1" s="323"/>
      <c r="FM1" s="323"/>
      <c r="FN1" s="323"/>
      <c r="FO1" s="323"/>
      <c r="FP1" s="323"/>
      <c r="FQ1" s="323"/>
      <c r="FR1" s="323"/>
      <c r="FS1" s="323"/>
      <c r="FT1" s="323"/>
      <c r="FU1" s="323"/>
      <c r="FV1" s="323"/>
      <c r="FW1" s="323"/>
      <c r="FX1" s="323"/>
      <c r="FY1" s="323"/>
      <c r="FZ1" s="323"/>
      <c r="GA1" s="323"/>
      <c r="GB1" s="323"/>
      <c r="GC1" s="323"/>
      <c r="GD1" s="323"/>
      <c r="GE1" s="323"/>
      <c r="GF1" s="323"/>
      <c r="GG1" s="323"/>
      <c r="GH1" s="323"/>
      <c r="GI1" s="323"/>
      <c r="GJ1" s="323"/>
      <c r="GK1" s="323"/>
      <c r="GL1" s="323"/>
      <c r="GM1" s="323"/>
      <c r="GN1" s="323"/>
      <c r="GO1" s="323"/>
      <c r="GP1" s="323"/>
      <c r="GQ1" s="323"/>
      <c r="GR1" s="323"/>
      <c r="GS1" s="323"/>
      <c r="GT1" s="323"/>
      <c r="GU1" s="323"/>
      <c r="GV1" s="323"/>
      <c r="GW1" s="323"/>
      <c r="GX1" s="323"/>
      <c r="GY1" s="323"/>
      <c r="GZ1" s="323"/>
      <c r="HA1" s="323"/>
      <c r="HB1" s="323"/>
      <c r="HC1" s="323"/>
      <c r="HD1" s="323"/>
      <c r="HE1" s="323"/>
      <c r="HF1" s="323"/>
      <c r="HG1" s="323"/>
      <c r="HH1" s="323"/>
      <c r="HI1" s="323"/>
      <c r="HJ1" s="323"/>
      <c r="HK1" s="323"/>
      <c r="HL1" s="323"/>
      <c r="HM1" s="323"/>
      <c r="HN1" s="323"/>
      <c r="HO1" s="323"/>
      <c r="HP1" s="323"/>
      <c r="HQ1" s="323"/>
      <c r="HR1" s="323"/>
      <c r="HS1" s="323"/>
      <c r="HT1" s="323"/>
      <c r="HU1" s="323"/>
      <c r="HV1" s="323"/>
      <c r="HW1" s="323"/>
      <c r="HX1" s="323"/>
      <c r="HY1" s="323"/>
      <c r="HZ1" s="323"/>
      <c r="IA1" s="323"/>
      <c r="IB1" s="323"/>
      <c r="IC1" s="323"/>
      <c r="ID1" s="323"/>
      <c r="IE1" s="323"/>
      <c r="IF1" s="323"/>
      <c r="IG1" s="323"/>
      <c r="IH1" s="323"/>
      <c r="II1" s="323"/>
      <c r="IJ1" s="323"/>
      <c r="IK1" s="323"/>
      <c r="IL1" s="323"/>
      <c r="IM1" s="323"/>
      <c r="IN1" s="323"/>
      <c r="IO1" s="323"/>
      <c r="IP1" s="323"/>
      <c r="IQ1" s="323"/>
      <c r="IR1" s="323"/>
      <c r="IS1" s="323"/>
      <c r="IT1" s="323"/>
      <c r="IU1" s="323"/>
      <c r="IV1" s="323"/>
    </row>
    <row r="2" spans="1:256" ht="42.75">
      <c r="A2" s="178" t="s">
        <v>113</v>
      </c>
      <c r="B2" s="151" t="s">
        <v>114</v>
      </c>
      <c r="C2" s="151" t="s">
        <v>115</v>
      </c>
      <c r="D2" s="179" t="s">
        <v>116</v>
      </c>
      <c r="E2" s="151" t="s">
        <v>117</v>
      </c>
      <c r="F2" s="151" t="s">
        <v>118</v>
      </c>
      <c r="G2" s="152" t="str">
        <f t="shared" ref="G2:G53" si="0">IF(E2="Rack","No of Racks",(IF(E2="Space","Sq Ft","U Space")))</f>
        <v>No of Racks</v>
      </c>
      <c r="H2" s="151">
        <v>5</v>
      </c>
      <c r="I2" s="151">
        <v>5</v>
      </c>
      <c r="J2" s="180">
        <f>H2-I2</f>
        <v>0</v>
      </c>
      <c r="K2" s="151">
        <v>5</v>
      </c>
      <c r="L2" s="151"/>
      <c r="M2" s="181">
        <f>1395000/12/2</f>
        <v>58125</v>
      </c>
      <c r="N2" s="182">
        <f>M2*12</f>
        <v>697500</v>
      </c>
      <c r="O2" s="183" t="str">
        <f t="shared" ref="O2:O34" si="1">C2</f>
        <v>Subscribed</v>
      </c>
      <c r="P2" s="151" t="s">
        <v>108</v>
      </c>
      <c r="Q2" s="151">
        <v>11</v>
      </c>
      <c r="R2" s="184">
        <v>6.97</v>
      </c>
      <c r="S2" s="185">
        <f t="shared" ref="S2:S10" si="2">Q2-R2</f>
        <v>4.03</v>
      </c>
      <c r="T2" s="186"/>
      <c r="U2" s="186">
        <f t="shared" ref="U2:U43" si="3">IF(S2&lt;=0,0,(IF(O2="Rated",(S2+T2)*$U$20,(S2+T2))))</f>
        <v>4.03</v>
      </c>
      <c r="V2" s="187">
        <f t="shared" ref="V2:V45" si="4">IF(O2="Rated",Q2*$U$20,Q2)</f>
        <v>11</v>
      </c>
      <c r="W2" s="188">
        <v>4.84</v>
      </c>
      <c r="X2" s="186"/>
      <c r="Y2" s="83">
        <f>484100/5/12</f>
        <v>8068.333333333333</v>
      </c>
      <c r="Z2" s="189" t="str">
        <f t="shared" ref="Z2:Z11" si="5">D2</f>
        <v>Bundled</v>
      </c>
      <c r="AA2" s="186"/>
      <c r="AB2" s="186"/>
      <c r="AC2" s="190"/>
      <c r="AD2">
        <v>5015.180999999995</v>
      </c>
      <c r="AE2" s="120"/>
      <c r="AF2" s="152" t="str">
        <f t="shared" ref="AF2:AF23" si="6">IF(AE2="No of Seats","No of Seats",(IF(AE2="Space","Sq Ft","")))</f>
        <v/>
      </c>
      <c r="AG2" s="186"/>
      <c r="AH2" s="186"/>
      <c r="AI2" s="186"/>
      <c r="AJ2" s="186"/>
      <c r="AK2" s="186"/>
      <c r="AL2" s="181"/>
      <c r="AM2" s="83">
        <f t="shared" ref="AM2:AM13" si="7">M2*K2</f>
        <v>290625</v>
      </c>
      <c r="AN2" s="83">
        <f t="shared" ref="AN2:AN24" si="8">Y2*X2</f>
        <v>0</v>
      </c>
      <c r="AO2" s="83">
        <f t="shared" ref="AO2:AO24" si="9">AD2*AC2*AA2</f>
        <v>0</v>
      </c>
      <c r="AP2" s="83">
        <f t="shared" ref="AP2:AP24" si="10">AL2*AJ2</f>
        <v>0</v>
      </c>
      <c r="AQ2" s="84">
        <f>(50000+270000)/12</f>
        <v>26666.666666666668</v>
      </c>
      <c r="AR2" s="85">
        <f t="shared" ref="AR2:AR24" si="11">SUBTOTAL(9,AM2:AQ2)</f>
        <v>317291.66666666669</v>
      </c>
      <c r="AS2" s="86">
        <f t="shared" ref="AS2:AS24" si="12">AR2*12</f>
        <v>3807500</v>
      </c>
      <c r="AT2" s="85" t="s">
        <v>119</v>
      </c>
      <c r="AU2" s="69" t="s">
        <v>120</v>
      </c>
      <c r="AV2" s="191">
        <v>42339</v>
      </c>
      <c r="AW2" s="69">
        <v>4</v>
      </c>
      <c r="AX2" s="191">
        <v>43800</v>
      </c>
      <c r="AY2" s="69" t="s">
        <v>121</v>
      </c>
      <c r="AZ2" s="323"/>
      <c r="BA2" s="84">
        <f t="shared" ref="BA2:BA24" si="13">IF(E2="Rack",AR2/H2,0)+IF(E2="U Space",AR2*40/H2,0)+IF(E2="Space",AR2*30/H2,0)</f>
        <v>63458.333333333336</v>
      </c>
      <c r="BB2" s="84">
        <f t="shared" ref="BB2:BB24" si="14">+AR2/V2</f>
        <v>28844.696969696972</v>
      </c>
      <c r="BC2" s="84" t="e">
        <f t="shared" ref="BC2:BD24" si="15">+($AM2+$AN2+$AO2-BJ2)/$V2</f>
        <v>#VALUE!</v>
      </c>
      <c r="BD2" s="84" t="e">
        <f t="shared" si="15"/>
        <v>#VALUE!</v>
      </c>
      <c r="BE2" s="84">
        <f t="shared" ref="BE2:BE24" si="16">+($AM2+$AN2+IF(D2="Bundled",0,V2*0.85*AA2*AC2*30.5*24)-BL2)/$V2</f>
        <v>17715.863545454537</v>
      </c>
      <c r="BF2" s="84"/>
      <c r="BG2" s="90">
        <f t="shared" ref="BG2:BG24" si="17">+AM2+AN2+AO2</f>
        <v>290625</v>
      </c>
      <c r="BH2" s="90">
        <f t="shared" ref="BH2:BH24" si="18">+BG2-BI2</f>
        <v>0</v>
      </c>
      <c r="BI2" s="90">
        <f t="shared" ref="BI2:BI24" si="19">IF(D2="Bundled",MIN(V2*$AD$20*(1+$K$2),BG2),AO2)</f>
        <v>290625</v>
      </c>
      <c r="BJ2" s="91" t="e">
        <f t="shared" ref="BJ2:BJ43" si="20">IF($AD2&gt;0,$AD2*$AA$20*$AC$20*(1+$AF$20*(20/$AC$20)/732),$AD$20*W2)</f>
        <v>#VALUE!</v>
      </c>
      <c r="BK2" s="91" t="e">
        <f t="shared" ref="BK2:BK43" si="21">IF($AD2&gt;0,$AD2*$AA$20*$AC$20*(1+$AF$20*(20/$AC$20)/732),+$AD$20*(W2+U2))</f>
        <v>#VALUE!</v>
      </c>
      <c r="BL2" s="91">
        <f t="shared" ref="BL2:BL24" si="22">IF(D2="Bundled",$AD$20*V2,$AD$20*V2*0.85)</f>
        <v>95750.501000000106</v>
      </c>
      <c r="BM2" s="91" t="e">
        <f t="shared" ref="BM2:BM24" si="23">+BC2*V2</f>
        <v>#VALUE!</v>
      </c>
      <c r="BN2" s="91">
        <f t="shared" ref="BN2:BN24" si="24">+$J$2*V2</f>
        <v>0</v>
      </c>
      <c r="BO2" s="91">
        <f t="shared" ref="BO2:BO24" si="25">+BH2-BN2</f>
        <v>0</v>
      </c>
      <c r="BP2" s="91" t="e">
        <f t="shared" ref="BP2:BP24" si="26">+BI2-BJ2</f>
        <v>#VALUE!</v>
      </c>
      <c r="BQ2" s="91" t="e">
        <f t="shared" ref="BQ2:BQ24" si="27">+BO2+BP2</f>
        <v>#VALUE!</v>
      </c>
      <c r="BR2" s="91">
        <f t="shared" ref="BR2:BR24" si="28">+V2</f>
        <v>11</v>
      </c>
      <c r="BS2" s="91" t="e">
        <f t="shared" ref="BS2:BS24" si="29">+BC2</f>
        <v>#VALUE!</v>
      </c>
      <c r="BT2" s="91" t="e">
        <f t="shared" ref="BT2:BT24" si="30">IF(D2="Bundled",BL2-BJ2,AO2-BJ2)</f>
        <v>#VALUE!</v>
      </c>
      <c r="BU2" s="91">
        <f t="shared" ref="BU2:BU24" si="31">IF(D2="Bundled",+(BE2-$J$2)*V2,(AM2+AN2)-V2*$J$2)</f>
        <v>194874.49899999989</v>
      </c>
      <c r="BV2" s="91" t="e">
        <f t="shared" ref="BV2:BV24" si="32">+BT2+BU2</f>
        <v>#VALUE!</v>
      </c>
      <c r="BW2" s="91" t="e">
        <f t="shared" ref="BW2:BY24" si="33">+BT2/$BR2</f>
        <v>#VALUE!</v>
      </c>
      <c r="BX2" s="91">
        <f t="shared" si="33"/>
        <v>17715.863545454537</v>
      </c>
      <c r="BY2" s="91" t="e">
        <f t="shared" si="33"/>
        <v>#VALUE!</v>
      </c>
      <c r="BZ2" s="323"/>
      <c r="CA2" s="323"/>
      <c r="CB2" s="323"/>
      <c r="CC2" s="323"/>
      <c r="CD2" s="323"/>
      <c r="CE2" s="323"/>
      <c r="CF2" s="323"/>
      <c r="CG2" s="323"/>
      <c r="CH2" s="323"/>
      <c r="CI2" s="323"/>
      <c r="CJ2" s="323"/>
      <c r="CK2" s="323"/>
      <c r="CL2" s="323"/>
      <c r="CM2" s="323"/>
      <c r="CN2" s="323"/>
      <c r="CO2" s="323"/>
      <c r="CP2" s="323"/>
      <c r="CQ2" s="323"/>
      <c r="CR2" s="323"/>
      <c r="CS2" s="323"/>
      <c r="CT2" s="323"/>
      <c r="CU2" s="323"/>
      <c r="CV2" s="323"/>
      <c r="CW2" s="323"/>
      <c r="CX2" s="323"/>
      <c r="CY2" s="323"/>
      <c r="CZ2" s="323"/>
      <c r="DA2" s="323"/>
      <c r="DB2" s="323"/>
      <c r="DC2" s="323"/>
      <c r="DD2" s="323"/>
      <c r="DE2" s="323"/>
      <c r="DF2" s="323"/>
      <c r="DG2" s="323"/>
      <c r="DH2" s="323"/>
      <c r="DI2" s="323"/>
      <c r="DJ2" s="323"/>
      <c r="DK2" s="323"/>
      <c r="DL2" s="323"/>
      <c r="DM2" s="323"/>
      <c r="DN2" s="323"/>
      <c r="DO2" s="323"/>
      <c r="DP2" s="323"/>
      <c r="DQ2" s="323"/>
      <c r="DR2" s="323"/>
      <c r="DS2" s="323"/>
      <c r="DT2" s="323"/>
      <c r="DU2" s="323"/>
      <c r="DV2" s="323"/>
      <c r="DW2" s="323"/>
      <c r="DX2" s="323"/>
      <c r="DY2" s="323"/>
      <c r="DZ2" s="323"/>
      <c r="EA2" s="323"/>
      <c r="EB2" s="323"/>
      <c r="EC2" s="323"/>
      <c r="ED2" s="323"/>
      <c r="EE2" s="323"/>
      <c r="EF2" s="323"/>
      <c r="EG2" s="323"/>
      <c r="EH2" s="323"/>
      <c r="EI2" s="323"/>
      <c r="EJ2" s="323"/>
      <c r="EK2" s="323"/>
      <c r="EL2" s="323"/>
      <c r="EM2" s="323"/>
      <c r="EN2" s="323"/>
      <c r="EO2" s="323"/>
      <c r="EP2" s="323"/>
      <c r="EQ2" s="323"/>
      <c r="ER2" s="323"/>
      <c r="ES2" s="323"/>
      <c r="ET2" s="323"/>
      <c r="EU2" s="323"/>
      <c r="EV2" s="323"/>
      <c r="EW2" s="323"/>
      <c r="EX2" s="323"/>
      <c r="EY2" s="323"/>
      <c r="EZ2" s="323"/>
      <c r="FA2" s="323"/>
      <c r="FB2" s="323"/>
      <c r="FC2" s="323"/>
      <c r="FD2" s="323"/>
      <c r="FE2" s="323"/>
      <c r="FF2" s="323"/>
      <c r="FG2" s="323"/>
      <c r="FH2" s="323"/>
      <c r="FI2" s="323"/>
      <c r="FJ2" s="323"/>
      <c r="FK2" s="323"/>
      <c r="FL2" s="323"/>
      <c r="FM2" s="323"/>
      <c r="FN2" s="323"/>
      <c r="FO2" s="323"/>
      <c r="FP2" s="323"/>
      <c r="FQ2" s="323"/>
      <c r="FR2" s="323"/>
      <c r="FS2" s="323"/>
      <c r="FT2" s="323"/>
      <c r="FU2" s="323"/>
      <c r="FV2" s="323"/>
      <c r="FW2" s="323"/>
      <c r="FX2" s="323"/>
      <c r="FY2" s="323"/>
      <c r="FZ2" s="323"/>
      <c r="GA2" s="323"/>
      <c r="GB2" s="323"/>
      <c r="GC2" s="323"/>
      <c r="GD2" s="323"/>
      <c r="GE2" s="323"/>
      <c r="GF2" s="323"/>
      <c r="GG2" s="323"/>
      <c r="GH2" s="323"/>
      <c r="GI2" s="323"/>
      <c r="GJ2" s="323"/>
      <c r="GK2" s="323"/>
      <c r="GL2" s="323"/>
      <c r="GM2" s="323"/>
      <c r="GN2" s="323"/>
      <c r="GO2" s="323"/>
      <c r="GP2" s="323"/>
      <c r="GQ2" s="323"/>
      <c r="GR2" s="323"/>
      <c r="GS2" s="323"/>
      <c r="GT2" s="323"/>
      <c r="GU2" s="323"/>
      <c r="GV2" s="323"/>
      <c r="GW2" s="323"/>
      <c r="GX2" s="323"/>
      <c r="GY2" s="323"/>
      <c r="GZ2" s="323"/>
      <c r="HA2" s="323"/>
      <c r="HB2" s="323"/>
      <c r="HC2" s="323"/>
      <c r="HD2" s="323"/>
      <c r="HE2" s="323"/>
      <c r="HF2" s="323"/>
      <c r="HG2" s="323"/>
      <c r="HH2" s="323"/>
      <c r="HI2" s="323"/>
      <c r="HJ2" s="323"/>
      <c r="HK2" s="323"/>
      <c r="HL2" s="323"/>
      <c r="HM2" s="323"/>
      <c r="HN2" s="323"/>
      <c r="HO2" s="323"/>
      <c r="HP2" s="323"/>
      <c r="HQ2" s="323"/>
      <c r="HR2" s="323"/>
      <c r="HS2" s="323"/>
      <c r="HT2" s="323"/>
      <c r="HU2" s="323"/>
      <c r="HV2" s="323"/>
      <c r="HW2" s="323"/>
      <c r="HX2" s="323"/>
      <c r="HY2" s="323"/>
      <c r="HZ2" s="323"/>
      <c r="IA2" s="323"/>
      <c r="IB2" s="323"/>
      <c r="IC2" s="323"/>
      <c r="ID2" s="323"/>
      <c r="IE2" s="323"/>
      <c r="IF2" s="323"/>
      <c r="IG2" s="323"/>
      <c r="IH2" s="323"/>
      <c r="II2" s="323"/>
      <c r="IJ2" s="323"/>
      <c r="IK2" s="323"/>
      <c r="IL2" s="323"/>
      <c r="IM2" s="323"/>
      <c r="IN2" s="323"/>
      <c r="IO2" s="323"/>
      <c r="IP2" s="323"/>
      <c r="IQ2" s="323"/>
      <c r="IR2" s="323"/>
      <c r="IS2" s="323"/>
      <c r="IT2" s="323"/>
      <c r="IU2" s="323"/>
      <c r="IV2" s="323"/>
    </row>
    <row r="3" spans="1:256" ht="32.25">
      <c r="A3" s="178" t="s">
        <v>122</v>
      </c>
      <c r="B3" s="151" t="s">
        <v>123</v>
      </c>
      <c r="C3" s="151" t="s">
        <v>124</v>
      </c>
      <c r="D3" s="179" t="s">
        <v>116</v>
      </c>
      <c r="E3" s="151" t="s">
        <v>117</v>
      </c>
      <c r="F3" s="151" t="s">
        <v>118</v>
      </c>
      <c r="G3" s="152" t="str">
        <f t="shared" si="0"/>
        <v>No of Racks</v>
      </c>
      <c r="H3" s="151">
        <v>1</v>
      </c>
      <c r="I3" s="151">
        <v>1</v>
      </c>
      <c r="J3" s="180">
        <f>H3-I3</f>
        <v>0</v>
      </c>
      <c r="K3" s="151">
        <v>1</v>
      </c>
      <c r="L3" s="151"/>
      <c r="M3" s="181">
        <f>897750/12</f>
        <v>74812.5</v>
      </c>
      <c r="N3" s="182">
        <f t="shared" ref="N3:N24" si="34">M3*12</f>
        <v>897750</v>
      </c>
      <c r="O3" s="183" t="str">
        <f t="shared" si="1"/>
        <v>Rated</v>
      </c>
      <c r="P3" s="151" t="s">
        <v>125</v>
      </c>
      <c r="Q3" s="151">
        <v>7</v>
      </c>
      <c r="R3" s="192">
        <v>1.17</v>
      </c>
      <c r="S3" s="185">
        <f t="shared" si="2"/>
        <v>5.83</v>
      </c>
      <c r="T3" s="186"/>
      <c r="U3" s="186">
        <f t="shared" ca="1" si="3"/>
        <v>2.915</v>
      </c>
      <c r="V3" s="186">
        <f t="shared" ca="1" si="4"/>
        <v>3.5</v>
      </c>
      <c r="W3" s="188">
        <v>0.78</v>
      </c>
      <c r="X3" s="186"/>
      <c r="Y3" s="83"/>
      <c r="Z3" s="189" t="str">
        <f t="shared" si="5"/>
        <v>Bundled</v>
      </c>
      <c r="AA3" s="186"/>
      <c r="AB3" s="186"/>
      <c r="AC3" s="190"/>
      <c r="AD3" s="193"/>
      <c r="AE3" s="120"/>
      <c r="AF3" s="152" t="str">
        <f t="shared" si="6"/>
        <v/>
      </c>
      <c r="AG3" s="186"/>
      <c r="AH3" s="186"/>
      <c r="AI3" s="186"/>
      <c r="AJ3" s="186"/>
      <c r="AK3" s="186"/>
      <c r="AL3" s="181"/>
      <c r="AM3" s="83">
        <f t="shared" si="7"/>
        <v>74812.5</v>
      </c>
      <c r="AN3" s="83">
        <f t="shared" si="8"/>
        <v>0</v>
      </c>
      <c r="AO3" s="83">
        <f t="shared" si="9"/>
        <v>0</v>
      </c>
      <c r="AP3" s="83">
        <f t="shared" si="10"/>
        <v>0</v>
      </c>
      <c r="AQ3" s="323"/>
      <c r="AR3" s="85">
        <f t="shared" si="11"/>
        <v>74812.5</v>
      </c>
      <c r="AS3" s="86">
        <f t="shared" si="12"/>
        <v>897750</v>
      </c>
      <c r="AT3" s="85" t="s">
        <v>119</v>
      </c>
      <c r="AU3" s="69"/>
      <c r="AV3" s="191">
        <v>43040</v>
      </c>
      <c r="AW3" s="69">
        <v>1</v>
      </c>
      <c r="AX3" s="191">
        <v>43374</v>
      </c>
      <c r="AY3" s="69"/>
      <c r="AZ3" s="323"/>
      <c r="BA3" s="84">
        <f t="shared" si="13"/>
        <v>74812.5</v>
      </c>
      <c r="BB3" s="84">
        <f t="shared" ca="1" si="14"/>
        <v>0</v>
      </c>
      <c r="BC3" s="84">
        <f t="shared" ca="1" si="15"/>
        <v>19052.246468571429</v>
      </c>
      <c r="BD3" s="84">
        <f t="shared" ca="1" si="15"/>
        <v>10371.699617142856</v>
      </c>
      <c r="BE3" s="84">
        <f t="shared" ca="1" si="16"/>
        <v>10952.387999999997</v>
      </c>
      <c r="BF3" s="84"/>
      <c r="BG3" s="93">
        <f t="shared" si="17"/>
        <v>74812.5</v>
      </c>
      <c r="BH3" s="93">
        <f t="shared" ca="1" si="18"/>
        <v>38333.357999999993</v>
      </c>
      <c r="BI3" s="93">
        <f t="shared" ca="1" si="19"/>
        <v>36479.142000000007</v>
      </c>
      <c r="BJ3" s="91">
        <f t="shared" si="20"/>
        <v>6789.5809800000079</v>
      </c>
      <c r="BK3" s="91">
        <f t="shared" ca="1" si="21"/>
        <v>38511.551340000005</v>
      </c>
      <c r="BL3" s="91">
        <f t="shared" ca="1" si="22"/>
        <v>36479.142000000007</v>
      </c>
      <c r="BM3" s="91">
        <f t="shared" ca="1" si="23"/>
        <v>66682.862640000007</v>
      </c>
      <c r="BN3" s="91">
        <f t="shared" ca="1" si="24"/>
        <v>21000</v>
      </c>
      <c r="BO3" s="91">
        <f t="shared" ca="1" si="25"/>
        <v>17333.357999999993</v>
      </c>
      <c r="BP3" s="91">
        <f t="shared" ca="1" si="26"/>
        <v>28349.504640000006</v>
      </c>
      <c r="BQ3" s="91">
        <f t="shared" ca="1" si="27"/>
        <v>45682.862639999999</v>
      </c>
      <c r="BR3" s="91">
        <f t="shared" ca="1" si="28"/>
        <v>3.5</v>
      </c>
      <c r="BS3" s="91">
        <f t="shared" ca="1" si="29"/>
        <v>19052.246468571429</v>
      </c>
      <c r="BT3" s="91">
        <f t="shared" ca="1" si="30"/>
        <v>28349.504640000006</v>
      </c>
      <c r="BU3" s="91">
        <f t="shared" ca="1" si="31"/>
        <v>17333.357999999989</v>
      </c>
      <c r="BV3" s="91">
        <f t="shared" ca="1" si="32"/>
        <v>45682.862639999992</v>
      </c>
      <c r="BW3" s="91">
        <f t="shared" ca="1" si="33"/>
        <v>8099.8584685714304</v>
      </c>
      <c r="BX3" s="91">
        <f t="shared" ca="1" si="33"/>
        <v>4952.3879999999972</v>
      </c>
      <c r="BY3" s="91">
        <f t="shared" ca="1" si="33"/>
        <v>13052.246468571426</v>
      </c>
      <c r="BZ3" s="323"/>
      <c r="CA3" s="323"/>
      <c r="CB3" s="323"/>
      <c r="CC3" s="323"/>
      <c r="CD3" s="323"/>
      <c r="CE3" s="323"/>
      <c r="CF3" s="323"/>
      <c r="CG3" s="323"/>
      <c r="CH3" s="323"/>
      <c r="CI3" s="323"/>
      <c r="CJ3" s="323"/>
      <c r="CK3" s="323"/>
      <c r="CL3" s="323"/>
      <c r="CM3" s="323"/>
      <c r="CN3" s="323"/>
      <c r="CO3" s="323"/>
      <c r="CP3" s="323"/>
      <c r="CQ3" s="323"/>
      <c r="CR3" s="323"/>
      <c r="CS3" s="323"/>
      <c r="CT3" s="323"/>
      <c r="CU3" s="323"/>
      <c r="CV3" s="323"/>
      <c r="CW3" s="323"/>
      <c r="CX3" s="323"/>
      <c r="CY3" s="323"/>
      <c r="CZ3" s="323"/>
      <c r="DA3" s="323"/>
      <c r="DB3" s="323"/>
      <c r="DC3" s="323"/>
      <c r="DD3" s="323"/>
      <c r="DE3" s="323"/>
      <c r="DF3" s="323"/>
      <c r="DG3" s="323"/>
      <c r="DH3" s="323"/>
      <c r="DI3" s="323"/>
      <c r="DJ3" s="323"/>
      <c r="DK3" s="323"/>
      <c r="DL3" s="323"/>
      <c r="DM3" s="323"/>
      <c r="DN3" s="323"/>
      <c r="DO3" s="323"/>
      <c r="DP3" s="323"/>
      <c r="DQ3" s="323"/>
      <c r="DR3" s="323"/>
      <c r="DS3" s="323"/>
      <c r="DT3" s="323"/>
      <c r="DU3" s="323"/>
      <c r="DV3" s="323"/>
      <c r="DW3" s="323"/>
      <c r="DX3" s="323"/>
      <c r="DY3" s="323"/>
      <c r="DZ3" s="323"/>
      <c r="EA3" s="323"/>
      <c r="EB3" s="323"/>
      <c r="EC3" s="323"/>
      <c r="ED3" s="323"/>
      <c r="EE3" s="323"/>
      <c r="EF3" s="323"/>
      <c r="EG3" s="323"/>
      <c r="EH3" s="323"/>
      <c r="EI3" s="323"/>
      <c r="EJ3" s="323"/>
      <c r="EK3" s="323"/>
      <c r="EL3" s="323"/>
      <c r="EM3" s="323"/>
      <c r="EN3" s="323"/>
      <c r="EO3" s="323"/>
      <c r="EP3" s="323"/>
      <c r="EQ3" s="323"/>
      <c r="ER3" s="323"/>
      <c r="ES3" s="323"/>
      <c r="ET3" s="323"/>
      <c r="EU3" s="323"/>
      <c r="EV3" s="323"/>
      <c r="EW3" s="323"/>
      <c r="EX3" s="323"/>
      <c r="EY3" s="323"/>
      <c r="EZ3" s="323"/>
      <c r="FA3" s="323"/>
      <c r="FB3" s="323"/>
      <c r="FC3" s="323"/>
      <c r="FD3" s="323"/>
      <c r="FE3" s="323"/>
      <c r="FF3" s="323"/>
      <c r="FG3" s="323"/>
      <c r="FH3" s="323"/>
      <c r="FI3" s="323"/>
      <c r="FJ3" s="323"/>
      <c r="FK3" s="323"/>
      <c r="FL3" s="323"/>
      <c r="FM3" s="323"/>
      <c r="FN3" s="323"/>
      <c r="FO3" s="323"/>
      <c r="FP3" s="323"/>
      <c r="FQ3" s="323"/>
      <c r="FR3" s="323"/>
      <c r="FS3" s="323"/>
      <c r="FT3" s="323"/>
      <c r="FU3" s="323"/>
      <c r="FV3" s="323"/>
      <c r="FW3" s="323"/>
      <c r="FX3" s="323"/>
      <c r="FY3" s="323"/>
      <c r="FZ3" s="323"/>
      <c r="GA3" s="323"/>
      <c r="GB3" s="323"/>
      <c r="GC3" s="323"/>
      <c r="GD3" s="323"/>
      <c r="GE3" s="323"/>
      <c r="GF3" s="323"/>
      <c r="GG3" s="323"/>
      <c r="GH3" s="323"/>
      <c r="GI3" s="323"/>
      <c r="GJ3" s="323"/>
      <c r="GK3" s="323"/>
      <c r="GL3" s="323"/>
      <c r="GM3" s="323"/>
      <c r="GN3" s="323"/>
      <c r="GO3" s="323"/>
      <c r="GP3" s="323"/>
      <c r="GQ3" s="323"/>
      <c r="GR3" s="323"/>
      <c r="GS3" s="323"/>
      <c r="GT3" s="323"/>
      <c r="GU3" s="323"/>
      <c r="GV3" s="323"/>
      <c r="GW3" s="323"/>
      <c r="GX3" s="323"/>
      <c r="GY3" s="323"/>
      <c r="GZ3" s="323"/>
      <c r="HA3" s="323"/>
      <c r="HB3" s="323"/>
      <c r="HC3" s="323"/>
      <c r="HD3" s="323"/>
      <c r="HE3" s="323"/>
      <c r="HF3" s="323"/>
      <c r="HG3" s="323"/>
      <c r="HH3" s="323"/>
      <c r="HI3" s="323"/>
      <c r="HJ3" s="323"/>
      <c r="HK3" s="323"/>
      <c r="HL3" s="323"/>
      <c r="HM3" s="323"/>
      <c r="HN3" s="323"/>
      <c r="HO3" s="323"/>
      <c r="HP3" s="323"/>
      <c r="HQ3" s="323"/>
      <c r="HR3" s="323"/>
      <c r="HS3" s="323"/>
      <c r="HT3" s="323"/>
      <c r="HU3" s="323"/>
      <c r="HV3" s="323"/>
      <c r="HW3" s="323"/>
      <c r="HX3" s="323"/>
      <c r="HY3" s="323"/>
      <c r="HZ3" s="323"/>
      <c r="IA3" s="323"/>
      <c r="IB3" s="323"/>
      <c r="IC3" s="323"/>
      <c r="ID3" s="323"/>
      <c r="IE3" s="323"/>
      <c r="IF3" s="323"/>
      <c r="IG3" s="323"/>
      <c r="IH3" s="323"/>
      <c r="II3" s="323"/>
      <c r="IJ3" s="323"/>
      <c r="IK3" s="323"/>
      <c r="IL3" s="323"/>
      <c r="IM3" s="323"/>
      <c r="IN3" s="323"/>
      <c r="IO3" s="323"/>
      <c r="IP3" s="323"/>
      <c r="IQ3" s="323"/>
      <c r="IR3" s="323"/>
      <c r="IS3" s="323"/>
      <c r="IT3" s="323"/>
      <c r="IU3" s="323"/>
      <c r="IV3" s="323"/>
    </row>
    <row r="4" spans="1:256" ht="32.25">
      <c r="A4" s="178" t="s">
        <v>122</v>
      </c>
      <c r="B4" s="151" t="s">
        <v>126</v>
      </c>
      <c r="C4" s="151" t="s">
        <v>124</v>
      </c>
      <c r="D4" s="179" t="s">
        <v>116</v>
      </c>
      <c r="E4" s="151" t="s">
        <v>117</v>
      </c>
      <c r="F4" s="151" t="s">
        <v>118</v>
      </c>
      <c r="G4" s="152" t="str">
        <f t="shared" si="0"/>
        <v>No of Racks</v>
      </c>
      <c r="H4" s="151">
        <v>5</v>
      </c>
      <c r="I4" s="151">
        <v>5</v>
      </c>
      <c r="J4" s="180">
        <v>0</v>
      </c>
      <c r="K4" s="151">
        <v>5</v>
      </c>
      <c r="L4" s="151"/>
      <c r="M4" s="181">
        <f>2200001/12</f>
        <v>183333.41666666666</v>
      </c>
      <c r="N4" s="182">
        <f t="shared" si="34"/>
        <v>2200001</v>
      </c>
      <c r="O4" s="183" t="str">
        <f t="shared" si="1"/>
        <v>Rated</v>
      </c>
      <c r="P4" s="151" t="s">
        <v>125</v>
      </c>
      <c r="Q4" s="151">
        <v>35</v>
      </c>
      <c r="R4" s="192">
        <v>16.739999999999998</v>
      </c>
      <c r="S4" s="185">
        <f t="shared" si="2"/>
        <v>18.260000000000002</v>
      </c>
      <c r="T4" s="186"/>
      <c r="U4" s="186">
        <f t="shared" ca="1" si="3"/>
        <v>9.1300000000000008</v>
      </c>
      <c r="V4" s="186">
        <f t="shared" ca="1" si="4"/>
        <v>17.5</v>
      </c>
      <c r="W4" s="188">
        <v>12.79</v>
      </c>
      <c r="X4" s="186"/>
      <c r="Y4" s="83">
        <f>90000/12</f>
        <v>7500</v>
      </c>
      <c r="Z4" s="189" t="str">
        <f t="shared" si="5"/>
        <v>Bundled</v>
      </c>
      <c r="AA4" s="186"/>
      <c r="AB4" s="186"/>
      <c r="AC4" s="190"/>
      <c r="AD4" s="193"/>
      <c r="AE4" s="120"/>
      <c r="AF4" s="152" t="str">
        <f t="shared" si="6"/>
        <v/>
      </c>
      <c r="AG4" s="186"/>
      <c r="AH4" s="186"/>
      <c r="AI4" s="186"/>
      <c r="AJ4" s="186"/>
      <c r="AK4" s="186"/>
      <c r="AL4" s="181"/>
      <c r="AM4" s="83">
        <f t="shared" si="7"/>
        <v>916667.08333333326</v>
      </c>
      <c r="AN4" s="83">
        <f t="shared" si="8"/>
        <v>0</v>
      </c>
      <c r="AO4" s="83">
        <f t="shared" si="9"/>
        <v>0</v>
      </c>
      <c r="AP4" s="83">
        <f t="shared" si="10"/>
        <v>0</v>
      </c>
      <c r="AQ4" s="84">
        <f>(50000+65000+25000+100000+629996.99)/12</f>
        <v>72499.749166666661</v>
      </c>
      <c r="AR4" s="85">
        <f t="shared" si="11"/>
        <v>989166.8324999999</v>
      </c>
      <c r="AS4" s="86">
        <f t="shared" si="12"/>
        <v>11870001.989999998</v>
      </c>
      <c r="AT4" s="85" t="s">
        <v>119</v>
      </c>
      <c r="AU4" s="69" t="s">
        <v>127</v>
      </c>
      <c r="AV4" s="191">
        <v>43101</v>
      </c>
      <c r="AW4" s="69">
        <v>2</v>
      </c>
      <c r="AX4" s="191">
        <v>43830</v>
      </c>
      <c r="AY4" s="69"/>
      <c r="AZ4" s="323"/>
      <c r="BA4" s="84">
        <f t="shared" si="13"/>
        <v>197833.36649999997</v>
      </c>
      <c r="BB4" s="84">
        <f t="shared" ca="1" si="14"/>
        <v>0</v>
      </c>
      <c r="BC4" s="84">
        <f t="shared" ca="1" si="15"/>
        <v>44763.535763047614</v>
      </c>
      <c r="BD4" s="84">
        <f t="shared" ca="1" si="15"/>
        <v>39325.910188190464</v>
      </c>
      <c r="BE4" s="84">
        <f t="shared" ca="1" si="16"/>
        <v>41958.36419047619</v>
      </c>
      <c r="BF4" s="84"/>
      <c r="BG4" s="93">
        <f t="shared" si="17"/>
        <v>916667.08333333326</v>
      </c>
      <c r="BH4" s="93">
        <f t="shared" ca="1" si="18"/>
        <v>734271.37333333329</v>
      </c>
      <c r="BI4" s="93">
        <f t="shared" ca="1" si="19"/>
        <v>182395.71000000002</v>
      </c>
      <c r="BJ4" s="91">
        <f t="shared" si="20"/>
        <v>111331.71889000012</v>
      </c>
      <c r="BK4" s="91">
        <f t="shared" ca="1" si="21"/>
        <v>228463.65504000004</v>
      </c>
      <c r="BL4" s="91">
        <f t="shared" ca="1" si="22"/>
        <v>182395.71000000002</v>
      </c>
      <c r="BM4" s="91">
        <f t="shared" ca="1" si="23"/>
        <v>783361.87585333327</v>
      </c>
      <c r="BN4" s="91">
        <f t="shared" ca="1" si="24"/>
        <v>105000</v>
      </c>
      <c r="BO4" s="91">
        <f t="shared" ca="1" si="25"/>
        <v>629271.37333333329</v>
      </c>
      <c r="BP4" s="91">
        <f t="shared" ca="1" si="26"/>
        <v>49090.502520000009</v>
      </c>
      <c r="BQ4" s="91">
        <f t="shared" ca="1" si="27"/>
        <v>678361.87585333327</v>
      </c>
      <c r="BR4" s="91">
        <f t="shared" ca="1" si="28"/>
        <v>17.5</v>
      </c>
      <c r="BS4" s="91">
        <f t="shared" ca="1" si="29"/>
        <v>44763.535763047614</v>
      </c>
      <c r="BT4" s="91">
        <f t="shared" ca="1" si="30"/>
        <v>49090.502520000009</v>
      </c>
      <c r="BU4" s="91">
        <f t="shared" ca="1" si="31"/>
        <v>629271.37333333329</v>
      </c>
      <c r="BV4" s="91">
        <f t="shared" ca="1" si="32"/>
        <v>678361.87585333327</v>
      </c>
      <c r="BW4" s="91">
        <f t="shared" ca="1" si="33"/>
        <v>2805.1715725714289</v>
      </c>
      <c r="BX4" s="91">
        <f t="shared" ca="1" si="33"/>
        <v>35958.36419047619</v>
      </c>
      <c r="BY4" s="91">
        <f t="shared" ca="1" si="33"/>
        <v>38763.535763047614</v>
      </c>
      <c r="BZ4" s="323"/>
      <c r="CA4" s="323"/>
      <c r="CB4" s="323"/>
      <c r="CC4" s="323"/>
      <c r="CD4" s="323"/>
      <c r="CE4" s="323"/>
      <c r="CF4" s="323"/>
      <c r="CG4" s="323"/>
      <c r="CH4" s="323"/>
      <c r="CI4" s="323"/>
      <c r="CJ4" s="323"/>
      <c r="CK4" s="323"/>
      <c r="CL4" s="323"/>
      <c r="CM4" s="323"/>
      <c r="CN4" s="323"/>
      <c r="CO4" s="323"/>
      <c r="CP4" s="323"/>
      <c r="CQ4" s="323"/>
      <c r="CR4" s="323"/>
      <c r="CS4" s="323"/>
      <c r="CT4" s="323"/>
      <c r="CU4" s="323"/>
      <c r="CV4" s="323"/>
      <c r="CW4" s="323"/>
      <c r="CX4" s="323"/>
      <c r="CY4" s="323"/>
      <c r="CZ4" s="323"/>
      <c r="DA4" s="323"/>
      <c r="DB4" s="323"/>
      <c r="DC4" s="323"/>
      <c r="DD4" s="323"/>
      <c r="DE4" s="323"/>
      <c r="DF4" s="323"/>
      <c r="DG4" s="323"/>
      <c r="DH4" s="323"/>
      <c r="DI4" s="323"/>
      <c r="DJ4" s="323"/>
      <c r="DK4" s="323"/>
      <c r="DL4" s="323"/>
      <c r="DM4" s="323"/>
      <c r="DN4" s="323"/>
      <c r="DO4" s="323"/>
      <c r="DP4" s="323"/>
      <c r="DQ4" s="323"/>
      <c r="DR4" s="323"/>
      <c r="DS4" s="323"/>
      <c r="DT4" s="323"/>
      <c r="DU4" s="323"/>
      <c r="DV4" s="323"/>
      <c r="DW4" s="323"/>
      <c r="DX4" s="323"/>
      <c r="DY4" s="323"/>
      <c r="DZ4" s="323"/>
      <c r="EA4" s="323"/>
      <c r="EB4" s="323"/>
      <c r="EC4" s="323"/>
      <c r="ED4" s="323"/>
      <c r="EE4" s="323"/>
      <c r="EF4" s="323"/>
      <c r="EG4" s="323"/>
      <c r="EH4" s="323"/>
      <c r="EI4" s="323"/>
      <c r="EJ4" s="323"/>
      <c r="EK4" s="323"/>
      <c r="EL4" s="323"/>
      <c r="EM4" s="323"/>
      <c r="EN4" s="323"/>
      <c r="EO4" s="323"/>
      <c r="EP4" s="323"/>
      <c r="EQ4" s="323"/>
      <c r="ER4" s="323"/>
      <c r="ES4" s="323"/>
      <c r="ET4" s="323"/>
      <c r="EU4" s="323"/>
      <c r="EV4" s="323"/>
      <c r="EW4" s="323"/>
      <c r="EX4" s="323"/>
      <c r="EY4" s="323"/>
      <c r="EZ4" s="323"/>
      <c r="FA4" s="323"/>
      <c r="FB4" s="323"/>
      <c r="FC4" s="323"/>
      <c r="FD4" s="323"/>
      <c r="FE4" s="323"/>
      <c r="FF4" s="323"/>
      <c r="FG4" s="323"/>
      <c r="FH4" s="323"/>
      <c r="FI4" s="323"/>
      <c r="FJ4" s="323"/>
      <c r="FK4" s="323"/>
      <c r="FL4" s="323"/>
      <c r="FM4" s="323"/>
      <c r="FN4" s="323"/>
      <c r="FO4" s="323"/>
      <c r="FP4" s="323"/>
      <c r="FQ4" s="323"/>
      <c r="FR4" s="323"/>
      <c r="FS4" s="323"/>
      <c r="FT4" s="323"/>
      <c r="FU4" s="323"/>
      <c r="FV4" s="323"/>
      <c r="FW4" s="323"/>
      <c r="FX4" s="323"/>
      <c r="FY4" s="323"/>
      <c r="FZ4" s="323"/>
      <c r="GA4" s="323"/>
      <c r="GB4" s="323"/>
      <c r="GC4" s="323"/>
      <c r="GD4" s="323"/>
      <c r="GE4" s="323"/>
      <c r="GF4" s="323"/>
      <c r="GG4" s="323"/>
      <c r="GH4" s="323"/>
      <c r="GI4" s="323"/>
      <c r="GJ4" s="323"/>
      <c r="GK4" s="323"/>
      <c r="GL4" s="323"/>
      <c r="GM4" s="323"/>
      <c r="GN4" s="323"/>
      <c r="GO4" s="323"/>
      <c r="GP4" s="323"/>
      <c r="GQ4" s="323"/>
      <c r="GR4" s="323"/>
      <c r="GS4" s="323"/>
      <c r="GT4" s="323"/>
      <c r="GU4" s="323"/>
      <c r="GV4" s="323"/>
      <c r="GW4" s="323"/>
      <c r="GX4" s="323"/>
      <c r="GY4" s="323"/>
      <c r="GZ4" s="323"/>
      <c r="HA4" s="323"/>
      <c r="HB4" s="323"/>
      <c r="HC4" s="323"/>
      <c r="HD4" s="323"/>
      <c r="HE4" s="323"/>
      <c r="HF4" s="323"/>
      <c r="HG4" s="323"/>
      <c r="HH4" s="323"/>
      <c r="HI4" s="323"/>
      <c r="HJ4" s="323"/>
      <c r="HK4" s="323"/>
      <c r="HL4" s="323"/>
      <c r="HM4" s="323"/>
      <c r="HN4" s="323"/>
      <c r="HO4" s="323"/>
      <c r="HP4" s="323"/>
      <c r="HQ4" s="323"/>
      <c r="HR4" s="323"/>
      <c r="HS4" s="323"/>
      <c r="HT4" s="323"/>
      <c r="HU4" s="323"/>
      <c r="HV4" s="323"/>
      <c r="HW4" s="323"/>
      <c r="HX4" s="323"/>
      <c r="HY4" s="323"/>
      <c r="HZ4" s="323"/>
      <c r="IA4" s="323"/>
      <c r="IB4" s="323"/>
      <c r="IC4" s="323"/>
      <c r="ID4" s="323"/>
      <c r="IE4" s="323"/>
      <c r="IF4" s="323"/>
      <c r="IG4" s="323"/>
      <c r="IH4" s="323"/>
      <c r="II4" s="323"/>
      <c r="IJ4" s="323"/>
      <c r="IK4" s="323"/>
      <c r="IL4" s="323"/>
      <c r="IM4" s="323"/>
      <c r="IN4" s="323"/>
      <c r="IO4" s="323"/>
      <c r="IP4" s="323"/>
      <c r="IQ4" s="323"/>
      <c r="IR4" s="323"/>
      <c r="IS4" s="323"/>
      <c r="IT4" s="323"/>
      <c r="IU4" s="323"/>
      <c r="IV4" s="323"/>
    </row>
    <row r="5" spans="1:256" ht="54">
      <c r="A5" s="178" t="s">
        <v>122</v>
      </c>
      <c r="B5" s="151" t="s">
        <v>128</v>
      </c>
      <c r="C5" s="151" t="s">
        <v>124</v>
      </c>
      <c r="D5" s="179" t="s">
        <v>116</v>
      </c>
      <c r="E5" s="151" t="s">
        <v>117</v>
      </c>
      <c r="F5" s="151" t="s">
        <v>118</v>
      </c>
      <c r="G5" s="152" t="str">
        <f t="shared" si="0"/>
        <v>No of Racks</v>
      </c>
      <c r="H5" s="151">
        <v>2</v>
      </c>
      <c r="I5" s="151">
        <v>0</v>
      </c>
      <c r="J5" s="180">
        <f t="shared" ref="J5:J25" si="35">H5-I5</f>
        <v>2</v>
      </c>
      <c r="K5" s="151">
        <v>2</v>
      </c>
      <c r="L5" s="151"/>
      <c r="M5" s="181">
        <f>(609500+545100)/12</f>
        <v>96216.666666666672</v>
      </c>
      <c r="N5" s="83">
        <f t="shared" si="34"/>
        <v>1154600</v>
      </c>
      <c r="O5" s="183" t="str">
        <f t="shared" si="1"/>
        <v>Rated</v>
      </c>
      <c r="P5" s="151" t="s">
        <v>125</v>
      </c>
      <c r="Q5" s="151">
        <v>12</v>
      </c>
      <c r="R5" s="194">
        <v>10.130000000000001</v>
      </c>
      <c r="S5" s="185">
        <f t="shared" si="2"/>
        <v>1.8699999999999992</v>
      </c>
      <c r="T5" s="186"/>
      <c r="U5" s="186">
        <f t="shared" ca="1" si="3"/>
        <v>0.93499999999999961</v>
      </c>
      <c r="V5" s="186">
        <f t="shared" ca="1" si="4"/>
        <v>6</v>
      </c>
      <c r="W5" s="188">
        <v>4.1399999999999997</v>
      </c>
      <c r="X5" s="186"/>
      <c r="Y5" s="83">
        <f>65000/12</f>
        <v>5416.666666666667</v>
      </c>
      <c r="Z5" s="189" t="str">
        <f t="shared" si="5"/>
        <v>Bundled</v>
      </c>
      <c r="AA5" s="186"/>
      <c r="AB5" s="186"/>
      <c r="AC5" s="190"/>
      <c r="AD5" s="193"/>
      <c r="AE5" s="120"/>
      <c r="AF5" s="152" t="str">
        <f t="shared" si="6"/>
        <v/>
      </c>
      <c r="AG5" s="186"/>
      <c r="AH5" s="186"/>
      <c r="AI5" s="186"/>
      <c r="AJ5" s="186"/>
      <c r="AK5" s="186"/>
      <c r="AL5" s="181"/>
      <c r="AM5" s="83">
        <f t="shared" si="7"/>
        <v>192433.33333333334</v>
      </c>
      <c r="AN5" s="83">
        <f t="shared" si="8"/>
        <v>0</v>
      </c>
      <c r="AO5" s="83">
        <f t="shared" si="9"/>
        <v>0</v>
      </c>
      <c r="AP5" s="83">
        <f t="shared" si="10"/>
        <v>0</v>
      </c>
      <c r="AQ5" s="84">
        <f>(10000+20000+80000)/12</f>
        <v>9166.6666666666661</v>
      </c>
      <c r="AR5" s="85">
        <f t="shared" si="11"/>
        <v>201600</v>
      </c>
      <c r="AS5" s="85">
        <f t="shared" si="12"/>
        <v>2419200</v>
      </c>
      <c r="AT5" s="85" t="s">
        <v>119</v>
      </c>
      <c r="AU5" s="69">
        <v>121000205</v>
      </c>
      <c r="AV5" s="191">
        <v>43604</v>
      </c>
      <c r="AW5" s="69">
        <v>1</v>
      </c>
      <c r="AX5" s="191">
        <v>43941</v>
      </c>
      <c r="AY5" s="69"/>
      <c r="AZ5" s="323"/>
      <c r="BA5" s="84">
        <f t="shared" si="13"/>
        <v>100800</v>
      </c>
      <c r="BB5" s="84">
        <f t="shared" ca="1" si="14"/>
        <v>0</v>
      </c>
      <c r="BC5" s="84">
        <f t="shared" ca="1" si="15"/>
        <v>24880.619942222223</v>
      </c>
      <c r="BD5" s="84">
        <f t="shared" ca="1" si="15"/>
        <v>23256.429572222227</v>
      </c>
      <c r="BE5" s="84">
        <f t="shared" ca="1" si="16"/>
        <v>21649.610222222222</v>
      </c>
      <c r="BF5" s="84"/>
      <c r="BG5" s="93">
        <f t="shared" si="17"/>
        <v>192433.33333333334</v>
      </c>
      <c r="BH5" s="93">
        <f t="shared" ca="1" si="18"/>
        <v>129897.66133333334</v>
      </c>
      <c r="BI5" s="93">
        <f t="shared" ca="1" si="19"/>
        <v>62535.672000000006</v>
      </c>
      <c r="BJ5" s="91">
        <f t="shared" si="20"/>
        <v>36037.006740000033</v>
      </c>
      <c r="BK5" s="91">
        <f t="shared" ca="1" si="21"/>
        <v>52894.755899999996</v>
      </c>
      <c r="BL5" s="91">
        <f t="shared" ca="1" si="22"/>
        <v>62535.672000000006</v>
      </c>
      <c r="BM5" s="91">
        <f t="shared" ca="1" si="23"/>
        <v>149283.71965333333</v>
      </c>
      <c r="BN5" s="91">
        <f t="shared" ca="1" si="24"/>
        <v>36000</v>
      </c>
      <c r="BO5" s="91">
        <f t="shared" ca="1" si="25"/>
        <v>93897.661333333337</v>
      </c>
      <c r="BP5" s="91">
        <f t="shared" ca="1" si="26"/>
        <v>19386.058320000004</v>
      </c>
      <c r="BQ5" s="91">
        <f t="shared" ca="1" si="27"/>
        <v>113283.71965333333</v>
      </c>
      <c r="BR5" s="91">
        <f t="shared" ca="1" si="28"/>
        <v>6</v>
      </c>
      <c r="BS5" s="91">
        <f t="shared" ca="1" si="29"/>
        <v>24880.619942222223</v>
      </c>
      <c r="BT5" s="91">
        <f t="shared" ca="1" si="30"/>
        <v>19386.058320000004</v>
      </c>
      <c r="BU5" s="91">
        <f t="shared" ca="1" si="31"/>
        <v>93897.661333333323</v>
      </c>
      <c r="BV5" s="91">
        <f t="shared" ca="1" si="32"/>
        <v>113283.71965333333</v>
      </c>
      <c r="BW5" s="91">
        <f t="shared" ca="1" si="33"/>
        <v>3231.0097200000005</v>
      </c>
      <c r="BX5" s="91">
        <f t="shared" ca="1" si="33"/>
        <v>15649.61022222222</v>
      </c>
      <c r="BY5" s="91">
        <f t="shared" ca="1" si="33"/>
        <v>18880.619942222223</v>
      </c>
      <c r="BZ5" s="323"/>
      <c r="CA5" s="323"/>
      <c r="CB5" s="323"/>
      <c r="CC5" s="323"/>
      <c r="CD5" s="323"/>
      <c r="CE5" s="323"/>
      <c r="CF5" s="323"/>
      <c r="CG5" s="323"/>
      <c r="CH5" s="323"/>
      <c r="CI5" s="323"/>
      <c r="CJ5" s="323"/>
      <c r="CK5" s="323"/>
      <c r="CL5" s="323"/>
      <c r="CM5" s="323"/>
      <c r="CN5" s="323"/>
      <c r="CO5" s="323"/>
      <c r="CP5" s="323"/>
      <c r="CQ5" s="323"/>
      <c r="CR5" s="323"/>
      <c r="CS5" s="323"/>
      <c r="CT5" s="323"/>
      <c r="CU5" s="323"/>
      <c r="CV5" s="323"/>
      <c r="CW5" s="323"/>
      <c r="CX5" s="323"/>
      <c r="CY5" s="323"/>
      <c r="CZ5" s="323"/>
      <c r="DA5" s="323"/>
      <c r="DB5" s="323"/>
      <c r="DC5" s="323"/>
      <c r="DD5" s="323"/>
      <c r="DE5" s="323"/>
      <c r="DF5" s="323"/>
      <c r="DG5" s="323"/>
      <c r="DH5" s="323"/>
      <c r="DI5" s="323"/>
      <c r="DJ5" s="323"/>
      <c r="DK5" s="323"/>
      <c r="DL5" s="323"/>
      <c r="DM5" s="323"/>
      <c r="DN5" s="323"/>
      <c r="DO5" s="323"/>
      <c r="DP5" s="323"/>
      <c r="DQ5" s="323"/>
      <c r="DR5" s="323"/>
      <c r="DS5" s="323"/>
      <c r="DT5" s="323"/>
      <c r="DU5" s="323"/>
      <c r="DV5" s="323"/>
      <c r="DW5" s="323"/>
      <c r="DX5" s="323"/>
      <c r="DY5" s="323"/>
      <c r="DZ5" s="323"/>
      <c r="EA5" s="323"/>
      <c r="EB5" s="323"/>
      <c r="EC5" s="323"/>
      <c r="ED5" s="323"/>
      <c r="EE5" s="323"/>
      <c r="EF5" s="323"/>
      <c r="EG5" s="323"/>
      <c r="EH5" s="323"/>
      <c r="EI5" s="323"/>
      <c r="EJ5" s="323"/>
      <c r="EK5" s="323"/>
      <c r="EL5" s="323"/>
      <c r="EM5" s="323"/>
      <c r="EN5" s="323"/>
      <c r="EO5" s="323"/>
      <c r="EP5" s="323"/>
      <c r="EQ5" s="323"/>
      <c r="ER5" s="323"/>
      <c r="ES5" s="323"/>
      <c r="ET5" s="323"/>
      <c r="EU5" s="323"/>
      <c r="EV5" s="323"/>
      <c r="EW5" s="323"/>
      <c r="EX5" s="323"/>
      <c r="EY5" s="323"/>
      <c r="EZ5" s="323"/>
      <c r="FA5" s="323"/>
      <c r="FB5" s="323"/>
      <c r="FC5" s="323"/>
      <c r="FD5" s="323"/>
      <c r="FE5" s="323"/>
      <c r="FF5" s="323"/>
      <c r="FG5" s="323"/>
      <c r="FH5" s="323"/>
      <c r="FI5" s="323"/>
      <c r="FJ5" s="323"/>
      <c r="FK5" s="323"/>
      <c r="FL5" s="323"/>
      <c r="FM5" s="323"/>
      <c r="FN5" s="323"/>
      <c r="FO5" s="323"/>
      <c r="FP5" s="323"/>
      <c r="FQ5" s="323"/>
      <c r="FR5" s="323"/>
      <c r="FS5" s="323"/>
      <c r="FT5" s="323"/>
      <c r="FU5" s="323"/>
      <c r="FV5" s="323"/>
      <c r="FW5" s="323"/>
      <c r="FX5" s="323"/>
      <c r="FY5" s="323"/>
      <c r="FZ5" s="323"/>
      <c r="GA5" s="323"/>
      <c r="GB5" s="323"/>
      <c r="GC5" s="323"/>
      <c r="GD5" s="323"/>
      <c r="GE5" s="323"/>
      <c r="GF5" s="323"/>
      <c r="GG5" s="323"/>
      <c r="GH5" s="323"/>
      <c r="GI5" s="323"/>
      <c r="GJ5" s="323"/>
      <c r="GK5" s="323"/>
      <c r="GL5" s="323"/>
      <c r="GM5" s="323"/>
      <c r="GN5" s="323"/>
      <c r="GO5" s="323"/>
      <c r="GP5" s="323"/>
      <c r="GQ5" s="323"/>
      <c r="GR5" s="323"/>
      <c r="GS5" s="323"/>
      <c r="GT5" s="323"/>
      <c r="GU5" s="323"/>
      <c r="GV5" s="323"/>
      <c r="GW5" s="323"/>
      <c r="GX5" s="323"/>
      <c r="GY5" s="323"/>
      <c r="GZ5" s="323"/>
      <c r="HA5" s="323"/>
      <c r="HB5" s="323"/>
      <c r="HC5" s="323"/>
      <c r="HD5" s="323"/>
      <c r="HE5" s="323"/>
      <c r="HF5" s="323"/>
      <c r="HG5" s="323"/>
      <c r="HH5" s="323"/>
      <c r="HI5" s="323"/>
      <c r="HJ5" s="323"/>
      <c r="HK5" s="323"/>
      <c r="HL5" s="323"/>
      <c r="HM5" s="323"/>
      <c r="HN5" s="323"/>
      <c r="HO5" s="323"/>
      <c r="HP5" s="323"/>
      <c r="HQ5" s="323"/>
      <c r="HR5" s="323"/>
      <c r="HS5" s="323"/>
      <c r="HT5" s="323"/>
      <c r="HU5" s="323"/>
      <c r="HV5" s="323"/>
      <c r="HW5" s="323"/>
      <c r="HX5" s="323"/>
      <c r="HY5" s="323"/>
      <c r="HZ5" s="323"/>
      <c r="IA5" s="323"/>
      <c r="IB5" s="323"/>
      <c r="IC5" s="323"/>
      <c r="ID5" s="323"/>
      <c r="IE5" s="323"/>
      <c r="IF5" s="323"/>
      <c r="IG5" s="323"/>
      <c r="IH5" s="323"/>
      <c r="II5" s="323"/>
      <c r="IJ5" s="323"/>
      <c r="IK5" s="323"/>
      <c r="IL5" s="323"/>
      <c r="IM5" s="323"/>
      <c r="IN5" s="323"/>
      <c r="IO5" s="323"/>
      <c r="IP5" s="323"/>
      <c r="IQ5" s="323"/>
      <c r="IR5" s="323"/>
      <c r="IS5" s="323"/>
      <c r="IT5" s="323"/>
      <c r="IU5" s="323"/>
      <c r="IV5" s="323"/>
    </row>
    <row r="6" spans="1:256" ht="54">
      <c r="A6" s="178" t="s">
        <v>113</v>
      </c>
      <c r="B6" s="151" t="s">
        <v>129</v>
      </c>
      <c r="C6" s="151" t="s">
        <v>124</v>
      </c>
      <c r="D6" s="179" t="s">
        <v>130</v>
      </c>
      <c r="E6" s="151" t="s">
        <v>117</v>
      </c>
      <c r="F6" s="151" t="s">
        <v>131</v>
      </c>
      <c r="G6" s="152" t="str">
        <f t="shared" si="0"/>
        <v>No of Racks</v>
      </c>
      <c r="H6" s="151">
        <v>122</v>
      </c>
      <c r="I6" s="151">
        <v>114</v>
      </c>
      <c r="J6" s="180">
        <f t="shared" si="35"/>
        <v>8</v>
      </c>
      <c r="K6" s="151">
        <v>122</v>
      </c>
      <c r="L6" s="151">
        <v>0</v>
      </c>
      <c r="M6" s="181">
        <f>170000/12</f>
        <v>14166.666666666666</v>
      </c>
      <c r="N6" s="83">
        <f t="shared" si="34"/>
        <v>170000</v>
      </c>
      <c r="O6" s="183" t="str">
        <f t="shared" si="1"/>
        <v>Rated</v>
      </c>
      <c r="P6" s="151" t="s">
        <v>125</v>
      </c>
      <c r="Q6" s="153">
        <f>H6*6</f>
        <v>732</v>
      </c>
      <c r="R6" s="195">
        <v>1240</v>
      </c>
      <c r="S6" s="185">
        <f t="shared" si="2"/>
        <v>-508</v>
      </c>
      <c r="T6" s="186"/>
      <c r="U6" s="186">
        <f t="shared" si="3"/>
        <v>0</v>
      </c>
      <c r="V6" s="186">
        <f t="shared" ca="1" si="4"/>
        <v>366</v>
      </c>
      <c r="W6" s="196">
        <f>AD6/(24*30)</f>
        <v>578.64027777777778</v>
      </c>
      <c r="X6" s="186">
        <v>601.60500000088905</v>
      </c>
      <c r="Y6" s="83">
        <f>39000/12</f>
        <v>3250</v>
      </c>
      <c r="Z6" s="189" t="str">
        <f t="shared" si="5"/>
        <v>Metered</v>
      </c>
      <c r="AA6" s="186">
        <v>1.8</v>
      </c>
      <c r="AB6" s="179" t="s">
        <v>132</v>
      </c>
      <c r="AC6" s="190">
        <v>8.1999999999999993</v>
      </c>
      <c r="AD6" s="197">
        <v>416621</v>
      </c>
      <c r="AE6" s="198" t="s">
        <v>133</v>
      </c>
      <c r="AF6" s="152" t="str">
        <f t="shared" si="6"/>
        <v>No of Seats</v>
      </c>
      <c r="AG6" s="153">
        <v>30</v>
      </c>
      <c r="AH6" s="153">
        <v>30</v>
      </c>
      <c r="AI6" s="151">
        <f>AG6-AH6</f>
        <v>0</v>
      </c>
      <c r="AJ6" s="153">
        <v>30</v>
      </c>
      <c r="AK6" s="153">
        <v>0</v>
      </c>
      <c r="AL6" s="83">
        <f>100000/12</f>
        <v>8333.3333333333339</v>
      </c>
      <c r="AM6" s="83">
        <f t="shared" si="7"/>
        <v>1728333.3333333333</v>
      </c>
      <c r="AN6" s="83">
        <f t="shared" si="8"/>
        <v>1955216.2500028894</v>
      </c>
      <c r="AO6" s="83">
        <f t="shared" si="9"/>
        <v>6149325.96</v>
      </c>
      <c r="AP6" s="83">
        <f t="shared" si="10"/>
        <v>250000.00000000003</v>
      </c>
      <c r="AQ6" s="84"/>
      <c r="AR6" s="85">
        <f t="shared" si="11"/>
        <v>10082875.543336224</v>
      </c>
      <c r="AS6" s="85">
        <f t="shared" si="12"/>
        <v>120994506.52003469</v>
      </c>
      <c r="AT6" s="85" t="s">
        <v>134</v>
      </c>
      <c r="AU6" s="68" t="s">
        <v>135</v>
      </c>
      <c r="AV6" s="191">
        <v>43132</v>
      </c>
      <c r="AW6" s="69">
        <v>4</v>
      </c>
      <c r="AX6" s="191">
        <v>44562</v>
      </c>
      <c r="AY6" s="69"/>
      <c r="AZ6" s="323"/>
      <c r="BA6" s="84">
        <f t="shared" si="13"/>
        <v>82646.520847018226</v>
      </c>
      <c r="BB6" s="84">
        <f t="shared" ca="1" si="14"/>
        <v>27548.84028233941</v>
      </c>
      <c r="BC6" s="84">
        <f t="shared" ca="1" si="15"/>
        <v>10526.720403185058</v>
      </c>
      <c r="BD6" s="84">
        <f t="shared" ca="1" si="15"/>
        <v>10526.720403185058</v>
      </c>
      <c r="BE6" s="84">
        <f t="shared" ca="1" si="16"/>
        <v>10388.794923869458</v>
      </c>
      <c r="BF6" s="84"/>
      <c r="BG6" s="93">
        <f t="shared" si="17"/>
        <v>9832875.5433362238</v>
      </c>
      <c r="BH6" s="93">
        <f t="shared" si="18"/>
        <v>3683549.5833362238</v>
      </c>
      <c r="BI6" s="93">
        <f t="shared" si="19"/>
        <v>6149325.96</v>
      </c>
      <c r="BJ6" s="91" t="e">
        <f t="shared" si="20"/>
        <v>#VALUE!</v>
      </c>
      <c r="BK6" s="91" t="e">
        <f t="shared" si="21"/>
        <v>#VALUE!</v>
      </c>
      <c r="BL6" s="91">
        <f t="shared" ca="1" si="22"/>
        <v>3242474.5932000005</v>
      </c>
      <c r="BM6" s="91">
        <f t="shared" ca="1" si="23"/>
        <v>3852779.6675657313</v>
      </c>
      <c r="BN6" s="91">
        <f t="shared" ca="1" si="24"/>
        <v>2196000</v>
      </c>
      <c r="BO6" s="91">
        <f t="shared" ca="1" si="25"/>
        <v>1487549.5833362238</v>
      </c>
      <c r="BP6" s="91" t="e">
        <f t="shared" si="26"/>
        <v>#VALUE!</v>
      </c>
      <c r="BQ6" s="91">
        <f t="shared" ca="1" si="27"/>
        <v>1656779.6675657313</v>
      </c>
      <c r="BR6" s="91">
        <f t="shared" ca="1" si="28"/>
        <v>366</v>
      </c>
      <c r="BS6" s="91">
        <f t="shared" ca="1" si="29"/>
        <v>10526.720403185058</v>
      </c>
      <c r="BT6" s="91" t="e">
        <f t="shared" si="30"/>
        <v>#VALUE!</v>
      </c>
      <c r="BU6" s="91">
        <f t="shared" ca="1" si="31"/>
        <v>1487549.5833362229</v>
      </c>
      <c r="BV6" s="91">
        <f t="shared" ca="1" si="32"/>
        <v>1656779.6675657304</v>
      </c>
      <c r="BW6" s="91">
        <f t="shared" ca="1" si="33"/>
        <v>462.37727931559419</v>
      </c>
      <c r="BX6" s="91">
        <f t="shared" ca="1" si="33"/>
        <v>4064.3431238694616</v>
      </c>
      <c r="BY6" s="91">
        <f t="shared" ca="1" si="33"/>
        <v>4526.7204031850561</v>
      </c>
      <c r="BZ6" s="323"/>
      <c r="CA6" s="323"/>
      <c r="CB6" s="323"/>
      <c r="CC6" s="323"/>
      <c r="CD6" s="323"/>
      <c r="CE6" s="323"/>
      <c r="CF6" s="323"/>
      <c r="CG6" s="323"/>
      <c r="CH6" s="323"/>
      <c r="CI6" s="323"/>
      <c r="CJ6" s="323"/>
      <c r="CK6" s="323"/>
      <c r="CL6" s="323"/>
      <c r="CM6" s="323"/>
      <c r="CN6" s="323"/>
      <c r="CO6" s="323"/>
      <c r="CP6" s="323"/>
      <c r="CQ6" s="323"/>
      <c r="CR6" s="323"/>
      <c r="CS6" s="323"/>
      <c r="CT6" s="323"/>
      <c r="CU6" s="323"/>
      <c r="CV6" s="323"/>
      <c r="CW6" s="323"/>
      <c r="CX6" s="323"/>
      <c r="CY6" s="323"/>
      <c r="CZ6" s="323"/>
      <c r="DA6" s="323"/>
      <c r="DB6" s="323"/>
      <c r="DC6" s="323"/>
      <c r="DD6" s="323"/>
      <c r="DE6" s="323"/>
      <c r="DF6" s="323"/>
      <c r="DG6" s="323"/>
      <c r="DH6" s="323"/>
      <c r="DI6" s="323"/>
      <c r="DJ6" s="323"/>
      <c r="DK6" s="323"/>
      <c r="DL6" s="323"/>
      <c r="DM6" s="323"/>
      <c r="DN6" s="323"/>
      <c r="DO6" s="323"/>
      <c r="DP6" s="323"/>
      <c r="DQ6" s="323"/>
      <c r="DR6" s="323"/>
      <c r="DS6" s="323"/>
      <c r="DT6" s="323"/>
      <c r="DU6" s="323"/>
      <c r="DV6" s="323"/>
      <c r="DW6" s="323"/>
      <c r="DX6" s="323"/>
      <c r="DY6" s="323"/>
      <c r="DZ6" s="323"/>
      <c r="EA6" s="323"/>
      <c r="EB6" s="323"/>
      <c r="EC6" s="323"/>
      <c r="ED6" s="323"/>
      <c r="EE6" s="323"/>
      <c r="EF6" s="323"/>
      <c r="EG6" s="323"/>
      <c r="EH6" s="323"/>
      <c r="EI6" s="323"/>
      <c r="EJ6" s="323"/>
      <c r="EK6" s="323"/>
      <c r="EL6" s="323"/>
      <c r="EM6" s="323"/>
      <c r="EN6" s="323"/>
      <c r="EO6" s="323"/>
      <c r="EP6" s="323"/>
      <c r="EQ6" s="323"/>
      <c r="ER6" s="323"/>
      <c r="ES6" s="323"/>
      <c r="ET6" s="323"/>
      <c r="EU6" s="323"/>
      <c r="EV6" s="323"/>
      <c r="EW6" s="323"/>
      <c r="EX6" s="323"/>
      <c r="EY6" s="323"/>
      <c r="EZ6" s="323"/>
      <c r="FA6" s="323"/>
      <c r="FB6" s="323"/>
      <c r="FC6" s="323"/>
      <c r="FD6" s="323"/>
      <c r="FE6" s="323"/>
      <c r="FF6" s="323"/>
      <c r="FG6" s="323"/>
      <c r="FH6" s="323"/>
      <c r="FI6" s="323"/>
      <c r="FJ6" s="323"/>
      <c r="FK6" s="323"/>
      <c r="FL6" s="323"/>
      <c r="FM6" s="323"/>
      <c r="FN6" s="323"/>
      <c r="FO6" s="323"/>
      <c r="FP6" s="323"/>
      <c r="FQ6" s="323"/>
      <c r="FR6" s="323"/>
      <c r="FS6" s="323"/>
      <c r="FT6" s="323"/>
      <c r="FU6" s="323"/>
      <c r="FV6" s="323"/>
      <c r="FW6" s="323"/>
      <c r="FX6" s="323"/>
      <c r="FY6" s="323"/>
      <c r="FZ6" s="323"/>
      <c r="GA6" s="323"/>
      <c r="GB6" s="323"/>
      <c r="GC6" s="323"/>
      <c r="GD6" s="323"/>
      <c r="GE6" s="323"/>
      <c r="GF6" s="323"/>
      <c r="GG6" s="323"/>
      <c r="GH6" s="323"/>
      <c r="GI6" s="323"/>
      <c r="GJ6" s="323"/>
      <c r="GK6" s="323"/>
      <c r="GL6" s="323"/>
      <c r="GM6" s="323"/>
      <c r="GN6" s="323"/>
      <c r="GO6" s="323"/>
      <c r="GP6" s="323"/>
      <c r="GQ6" s="323"/>
      <c r="GR6" s="323"/>
      <c r="GS6" s="323"/>
      <c r="GT6" s="323"/>
      <c r="GU6" s="323"/>
      <c r="GV6" s="323"/>
      <c r="GW6" s="323"/>
      <c r="GX6" s="323"/>
      <c r="GY6" s="323"/>
      <c r="GZ6" s="323"/>
      <c r="HA6" s="323"/>
      <c r="HB6" s="323"/>
      <c r="HC6" s="323"/>
      <c r="HD6" s="323"/>
      <c r="HE6" s="323"/>
      <c r="HF6" s="323"/>
      <c r="HG6" s="323"/>
      <c r="HH6" s="323"/>
      <c r="HI6" s="323"/>
      <c r="HJ6" s="323"/>
      <c r="HK6" s="323"/>
      <c r="HL6" s="323"/>
      <c r="HM6" s="323"/>
      <c r="HN6" s="323"/>
      <c r="HO6" s="323"/>
      <c r="HP6" s="323"/>
      <c r="HQ6" s="323"/>
      <c r="HR6" s="323"/>
      <c r="HS6" s="323"/>
      <c r="HT6" s="323"/>
      <c r="HU6" s="323"/>
      <c r="HV6" s="323"/>
      <c r="HW6" s="323"/>
      <c r="HX6" s="323"/>
      <c r="HY6" s="323"/>
      <c r="HZ6" s="323"/>
      <c r="IA6" s="323"/>
      <c r="IB6" s="323"/>
      <c r="IC6" s="323"/>
      <c r="ID6" s="323"/>
      <c r="IE6" s="323"/>
      <c r="IF6" s="323"/>
      <c r="IG6" s="323"/>
      <c r="IH6" s="323"/>
      <c r="II6" s="323"/>
      <c r="IJ6" s="323"/>
      <c r="IK6" s="323"/>
      <c r="IL6" s="323"/>
      <c r="IM6" s="323"/>
      <c r="IN6" s="323"/>
      <c r="IO6" s="323"/>
      <c r="IP6" s="323"/>
      <c r="IQ6" s="323"/>
      <c r="IR6" s="323"/>
      <c r="IS6" s="323"/>
      <c r="IT6" s="323"/>
      <c r="IU6" s="323"/>
      <c r="IV6" s="323"/>
    </row>
    <row r="7" spans="1:256" ht="54">
      <c r="A7" s="178" t="s">
        <v>136</v>
      </c>
      <c r="B7" s="151" t="s">
        <v>129</v>
      </c>
      <c r="C7" s="151" t="s">
        <v>124</v>
      </c>
      <c r="D7" s="179" t="s">
        <v>130</v>
      </c>
      <c r="E7" s="151" t="s">
        <v>117</v>
      </c>
      <c r="F7" s="151" t="s">
        <v>131</v>
      </c>
      <c r="G7" s="152" t="str">
        <f t="shared" si="0"/>
        <v>No of Racks</v>
      </c>
      <c r="H7" s="151">
        <v>325</v>
      </c>
      <c r="I7" s="151">
        <v>279</v>
      </c>
      <c r="J7" s="180">
        <f t="shared" si="35"/>
        <v>46</v>
      </c>
      <c r="K7" s="151">
        <v>325</v>
      </c>
      <c r="L7" s="151">
        <v>0</v>
      </c>
      <c r="M7" s="181">
        <f>170000/12</f>
        <v>14166.666666666666</v>
      </c>
      <c r="N7" s="83">
        <f t="shared" si="34"/>
        <v>170000</v>
      </c>
      <c r="O7" s="183" t="str">
        <f t="shared" si="1"/>
        <v>Rated</v>
      </c>
      <c r="P7" s="151" t="s">
        <v>125</v>
      </c>
      <c r="Q7" s="153">
        <f>H7*6</f>
        <v>1950</v>
      </c>
      <c r="R7" s="195">
        <v>2084.3000000000002</v>
      </c>
      <c r="S7" s="185">
        <f t="shared" si="2"/>
        <v>-134.30000000000018</v>
      </c>
      <c r="T7" s="186"/>
      <c r="U7" s="186">
        <f t="shared" si="3"/>
        <v>0</v>
      </c>
      <c r="V7" s="186">
        <f t="shared" ca="1" si="4"/>
        <v>975</v>
      </c>
      <c r="W7" s="196">
        <f>AD7/(24*30)</f>
        <v>905.875</v>
      </c>
      <c r="X7" s="186">
        <v>1194.4781111111099</v>
      </c>
      <c r="Y7" s="83">
        <f>39000/12</f>
        <v>3250</v>
      </c>
      <c r="Z7" s="189" t="str">
        <f t="shared" si="5"/>
        <v>Metered</v>
      </c>
      <c r="AA7" s="186">
        <v>1.8</v>
      </c>
      <c r="AB7" s="179" t="s">
        <v>132</v>
      </c>
      <c r="AC7" s="190">
        <v>8.1999999999999993</v>
      </c>
      <c r="AD7" s="197">
        <v>652230</v>
      </c>
      <c r="AE7" s="120"/>
      <c r="AF7" s="152" t="str">
        <f t="shared" si="6"/>
        <v/>
      </c>
      <c r="AG7" s="186"/>
      <c r="AH7" s="186"/>
      <c r="AI7" s="151"/>
      <c r="AJ7" s="186"/>
      <c r="AK7" s="186"/>
      <c r="AL7" s="181"/>
      <c r="AM7" s="83">
        <f t="shared" si="7"/>
        <v>4604166.666666666</v>
      </c>
      <c r="AN7" s="83">
        <f t="shared" si="8"/>
        <v>3882053.8611111073</v>
      </c>
      <c r="AO7" s="83">
        <f t="shared" si="9"/>
        <v>9626914.8000000007</v>
      </c>
      <c r="AP7" s="83">
        <f t="shared" si="10"/>
        <v>0</v>
      </c>
      <c r="AQ7" s="84"/>
      <c r="AR7" s="85">
        <f t="shared" si="11"/>
        <v>18113135.327777773</v>
      </c>
      <c r="AS7" s="85">
        <f t="shared" si="12"/>
        <v>217357623.93333328</v>
      </c>
      <c r="AT7" s="85" t="s">
        <v>134</v>
      </c>
      <c r="AU7" s="69" t="s">
        <v>137</v>
      </c>
      <c r="AV7" s="191">
        <v>43132</v>
      </c>
      <c r="AW7" s="69">
        <v>4</v>
      </c>
      <c r="AX7" s="191">
        <v>44562</v>
      </c>
      <c r="AY7" s="69"/>
      <c r="AZ7" s="323"/>
      <c r="BA7" s="84">
        <f t="shared" si="13"/>
        <v>55732.724085470072</v>
      </c>
      <c r="BB7" s="84">
        <f t="shared" ca="1" si="14"/>
        <v>18577.574695156691</v>
      </c>
      <c r="BC7" s="84">
        <f t="shared" ca="1" si="15"/>
        <v>8975.542784942314</v>
      </c>
      <c r="BD7" s="84">
        <f t="shared" ca="1" si="15"/>
        <v>8975.542784942314</v>
      </c>
      <c r="BE7" s="84">
        <f t="shared" ca="1" si="16"/>
        <v>9028.2677259259199</v>
      </c>
      <c r="BF7" s="84"/>
      <c r="BG7" s="93">
        <f t="shared" si="17"/>
        <v>18113135.327777773</v>
      </c>
      <c r="BH7" s="93">
        <f t="shared" si="18"/>
        <v>8486220.5277777724</v>
      </c>
      <c r="BI7" s="93">
        <f t="shared" si="19"/>
        <v>9626914.8000000007</v>
      </c>
      <c r="BJ7" s="91" t="e">
        <f t="shared" si="20"/>
        <v>#VALUE!</v>
      </c>
      <c r="BK7" s="91" t="e">
        <f t="shared" si="21"/>
        <v>#VALUE!</v>
      </c>
      <c r="BL7" s="91">
        <f t="shared" ca="1" si="22"/>
        <v>8637739.6950000003</v>
      </c>
      <c r="BM7" s="91">
        <f t="shared" ca="1" si="23"/>
        <v>8751154.2153187562</v>
      </c>
      <c r="BN7" s="91">
        <f t="shared" ca="1" si="24"/>
        <v>5850000</v>
      </c>
      <c r="BO7" s="91">
        <f t="shared" ca="1" si="25"/>
        <v>2636220.5277777724</v>
      </c>
      <c r="BP7" s="91" t="e">
        <f t="shared" si="26"/>
        <v>#VALUE!</v>
      </c>
      <c r="BQ7" s="91">
        <f t="shared" ca="1" si="27"/>
        <v>2901154.2153187562</v>
      </c>
      <c r="BR7" s="91">
        <f t="shared" ca="1" si="28"/>
        <v>975</v>
      </c>
      <c r="BS7" s="91">
        <f t="shared" ca="1" si="29"/>
        <v>8975.542784942314</v>
      </c>
      <c r="BT7" s="91" t="e">
        <f t="shared" si="30"/>
        <v>#VALUE!</v>
      </c>
      <c r="BU7" s="91">
        <f t="shared" ca="1" si="31"/>
        <v>2636220.5277777724</v>
      </c>
      <c r="BV7" s="91">
        <f t="shared" ca="1" si="32"/>
        <v>2901154.2153187562</v>
      </c>
      <c r="BW7" s="91">
        <f t="shared" ca="1" si="33"/>
        <v>271.72685901639363</v>
      </c>
      <c r="BX7" s="91">
        <f t="shared" ca="1" si="33"/>
        <v>2703.8159259259205</v>
      </c>
      <c r="BY7" s="91">
        <f t="shared" ca="1" si="33"/>
        <v>2975.542784942314</v>
      </c>
      <c r="BZ7" s="323"/>
      <c r="CA7" s="323"/>
      <c r="CB7" s="323"/>
      <c r="CC7" s="323"/>
      <c r="CD7" s="323"/>
      <c r="CE7" s="323"/>
      <c r="CF7" s="323"/>
      <c r="CG7" s="323"/>
      <c r="CH7" s="323"/>
      <c r="CI7" s="323"/>
      <c r="CJ7" s="323"/>
      <c r="CK7" s="323"/>
      <c r="CL7" s="323"/>
      <c r="CM7" s="323"/>
      <c r="CN7" s="323"/>
      <c r="CO7" s="323"/>
      <c r="CP7" s="323"/>
      <c r="CQ7" s="323"/>
      <c r="CR7" s="323"/>
      <c r="CS7" s="323"/>
      <c r="CT7" s="323"/>
      <c r="CU7" s="323"/>
      <c r="CV7" s="323"/>
      <c r="CW7" s="323"/>
      <c r="CX7" s="323"/>
      <c r="CY7" s="323"/>
      <c r="CZ7" s="323"/>
      <c r="DA7" s="323"/>
      <c r="DB7" s="323"/>
      <c r="DC7" s="323"/>
      <c r="DD7" s="323"/>
      <c r="DE7" s="323"/>
      <c r="DF7" s="323"/>
      <c r="DG7" s="323"/>
      <c r="DH7" s="323"/>
      <c r="DI7" s="323"/>
      <c r="DJ7" s="323"/>
      <c r="DK7" s="323"/>
      <c r="DL7" s="323"/>
      <c r="DM7" s="323"/>
      <c r="DN7" s="323"/>
      <c r="DO7" s="323"/>
      <c r="DP7" s="323"/>
      <c r="DQ7" s="323"/>
      <c r="DR7" s="323"/>
      <c r="DS7" s="323"/>
      <c r="DT7" s="323"/>
      <c r="DU7" s="323"/>
      <c r="DV7" s="323"/>
      <c r="DW7" s="323"/>
      <c r="DX7" s="323"/>
      <c r="DY7" s="323"/>
      <c r="DZ7" s="323"/>
      <c r="EA7" s="323"/>
      <c r="EB7" s="323"/>
      <c r="EC7" s="323"/>
      <c r="ED7" s="323"/>
      <c r="EE7" s="323"/>
      <c r="EF7" s="323"/>
      <c r="EG7" s="323"/>
      <c r="EH7" s="323"/>
      <c r="EI7" s="323"/>
      <c r="EJ7" s="323"/>
      <c r="EK7" s="323"/>
      <c r="EL7" s="323"/>
      <c r="EM7" s="323"/>
      <c r="EN7" s="323"/>
      <c r="EO7" s="323"/>
      <c r="EP7" s="323"/>
      <c r="EQ7" s="323"/>
      <c r="ER7" s="323"/>
      <c r="ES7" s="323"/>
      <c r="ET7" s="323"/>
      <c r="EU7" s="323"/>
      <c r="EV7" s="323"/>
      <c r="EW7" s="323"/>
      <c r="EX7" s="323"/>
      <c r="EY7" s="323"/>
      <c r="EZ7" s="323"/>
      <c r="FA7" s="323"/>
      <c r="FB7" s="323"/>
      <c r="FC7" s="323"/>
      <c r="FD7" s="323"/>
      <c r="FE7" s="323"/>
      <c r="FF7" s="323"/>
      <c r="FG7" s="323"/>
      <c r="FH7" s="323"/>
      <c r="FI7" s="323"/>
      <c r="FJ7" s="323"/>
      <c r="FK7" s="323"/>
      <c r="FL7" s="323"/>
      <c r="FM7" s="323"/>
      <c r="FN7" s="323"/>
      <c r="FO7" s="323"/>
      <c r="FP7" s="323"/>
      <c r="FQ7" s="323"/>
      <c r="FR7" s="323"/>
      <c r="FS7" s="323"/>
      <c r="FT7" s="323"/>
      <c r="FU7" s="323"/>
      <c r="FV7" s="323"/>
      <c r="FW7" s="323"/>
      <c r="FX7" s="323"/>
      <c r="FY7" s="323"/>
      <c r="FZ7" s="323"/>
      <c r="GA7" s="323"/>
      <c r="GB7" s="323"/>
      <c r="GC7" s="323"/>
      <c r="GD7" s="323"/>
      <c r="GE7" s="323"/>
      <c r="GF7" s="323"/>
      <c r="GG7" s="323"/>
      <c r="GH7" s="323"/>
      <c r="GI7" s="323"/>
      <c r="GJ7" s="323"/>
      <c r="GK7" s="323"/>
      <c r="GL7" s="323"/>
      <c r="GM7" s="323"/>
      <c r="GN7" s="323"/>
      <c r="GO7" s="323"/>
      <c r="GP7" s="323"/>
      <c r="GQ7" s="323"/>
      <c r="GR7" s="323"/>
      <c r="GS7" s="323"/>
      <c r="GT7" s="323"/>
      <c r="GU7" s="323"/>
      <c r="GV7" s="323"/>
      <c r="GW7" s="323"/>
      <c r="GX7" s="323"/>
      <c r="GY7" s="323"/>
      <c r="GZ7" s="323"/>
      <c r="HA7" s="323"/>
      <c r="HB7" s="323"/>
      <c r="HC7" s="323"/>
      <c r="HD7" s="323"/>
      <c r="HE7" s="323"/>
      <c r="HF7" s="323"/>
      <c r="HG7" s="323"/>
      <c r="HH7" s="323"/>
      <c r="HI7" s="323"/>
      <c r="HJ7" s="323"/>
      <c r="HK7" s="323"/>
      <c r="HL7" s="323"/>
      <c r="HM7" s="323"/>
      <c r="HN7" s="323"/>
      <c r="HO7" s="323"/>
      <c r="HP7" s="323"/>
      <c r="HQ7" s="323"/>
      <c r="HR7" s="323"/>
      <c r="HS7" s="323"/>
      <c r="HT7" s="323"/>
      <c r="HU7" s="323"/>
      <c r="HV7" s="323"/>
      <c r="HW7" s="323"/>
      <c r="HX7" s="323"/>
      <c r="HY7" s="323"/>
      <c r="HZ7" s="323"/>
      <c r="IA7" s="323"/>
      <c r="IB7" s="323"/>
      <c r="IC7" s="323"/>
      <c r="ID7" s="323"/>
      <c r="IE7" s="323"/>
      <c r="IF7" s="323"/>
      <c r="IG7" s="323"/>
      <c r="IH7" s="323"/>
      <c r="II7" s="323"/>
      <c r="IJ7" s="323"/>
      <c r="IK7" s="323"/>
      <c r="IL7" s="323"/>
      <c r="IM7" s="323"/>
      <c r="IN7" s="323"/>
      <c r="IO7" s="323"/>
      <c r="IP7" s="323"/>
      <c r="IQ7" s="323"/>
      <c r="IR7" s="323"/>
      <c r="IS7" s="323"/>
      <c r="IT7" s="323"/>
      <c r="IU7" s="323"/>
      <c r="IV7" s="323"/>
    </row>
    <row r="8" spans="1:256" ht="54">
      <c r="A8" s="178" t="s">
        <v>138</v>
      </c>
      <c r="B8" s="151" t="s">
        <v>129</v>
      </c>
      <c r="C8" s="151" t="s">
        <v>124</v>
      </c>
      <c r="D8" s="179" t="s">
        <v>130</v>
      </c>
      <c r="E8" s="151" t="s">
        <v>117</v>
      </c>
      <c r="F8" s="151" t="s">
        <v>131</v>
      </c>
      <c r="G8" s="152" t="str">
        <f t="shared" si="0"/>
        <v>No of Racks</v>
      </c>
      <c r="H8" s="151">
        <v>150</v>
      </c>
      <c r="I8" s="151">
        <v>121</v>
      </c>
      <c r="J8" s="180">
        <f t="shared" si="35"/>
        <v>29</v>
      </c>
      <c r="K8" s="151">
        <v>150</v>
      </c>
      <c r="L8" s="151">
        <v>0</v>
      </c>
      <c r="M8" s="181">
        <f>170000/12</f>
        <v>14166.666666666666</v>
      </c>
      <c r="N8" s="83">
        <f t="shared" si="34"/>
        <v>170000</v>
      </c>
      <c r="O8" s="183" t="str">
        <f t="shared" si="1"/>
        <v>Rated</v>
      </c>
      <c r="P8" s="151" t="s">
        <v>125</v>
      </c>
      <c r="Q8" s="153">
        <f>H8*6+9*35</f>
        <v>1215</v>
      </c>
      <c r="R8" s="195">
        <v>582</v>
      </c>
      <c r="S8" s="185">
        <f t="shared" si="2"/>
        <v>633</v>
      </c>
      <c r="T8" s="186"/>
      <c r="U8" s="186">
        <f t="shared" ca="1" si="3"/>
        <v>316.5</v>
      </c>
      <c r="V8" s="186">
        <f t="shared" ca="1" si="4"/>
        <v>607.5</v>
      </c>
      <c r="W8" s="196">
        <f>AD8/(24*30)</f>
        <v>480.52499999999998</v>
      </c>
      <c r="X8" s="186">
        <v>572.29111111111104</v>
      </c>
      <c r="Y8" s="83">
        <f>39000/12</f>
        <v>3250</v>
      </c>
      <c r="Z8" s="189" t="str">
        <f t="shared" si="5"/>
        <v>Metered</v>
      </c>
      <c r="AA8" s="186">
        <v>1.8</v>
      </c>
      <c r="AB8" s="179" t="s">
        <v>132</v>
      </c>
      <c r="AC8" s="190">
        <v>8.1999999999999993</v>
      </c>
      <c r="AD8" s="197">
        <v>345978</v>
      </c>
      <c r="AE8" s="120"/>
      <c r="AF8" s="152" t="str">
        <f t="shared" si="6"/>
        <v/>
      </c>
      <c r="AG8" s="186"/>
      <c r="AH8" s="186"/>
      <c r="AI8" s="151"/>
      <c r="AJ8" s="186"/>
      <c r="AK8" s="186"/>
      <c r="AL8" s="181"/>
      <c r="AM8" s="83">
        <f t="shared" si="7"/>
        <v>2125000</v>
      </c>
      <c r="AN8" s="83">
        <f t="shared" si="8"/>
        <v>1859946.1111111108</v>
      </c>
      <c r="AO8" s="83">
        <f t="shared" si="9"/>
        <v>5106635.2799999993</v>
      </c>
      <c r="AP8" s="83">
        <f t="shared" si="10"/>
        <v>0</v>
      </c>
      <c r="AQ8" s="84"/>
      <c r="AR8" s="85">
        <f t="shared" si="11"/>
        <v>9091581.3911111094</v>
      </c>
      <c r="AS8" s="85">
        <f t="shared" si="12"/>
        <v>109098976.69333331</v>
      </c>
      <c r="AT8" s="85" t="s">
        <v>134</v>
      </c>
      <c r="AU8" s="69">
        <v>721006047</v>
      </c>
      <c r="AV8" s="191">
        <v>43132</v>
      </c>
      <c r="AW8" s="69">
        <v>4</v>
      </c>
      <c r="AX8" s="191">
        <v>44562</v>
      </c>
      <c r="AY8" s="69"/>
      <c r="AZ8" s="323"/>
      <c r="BA8" s="84">
        <f t="shared" si="13"/>
        <v>60610.542607407398</v>
      </c>
      <c r="BB8" s="84">
        <f t="shared" ca="1" si="14"/>
        <v>14965.566075903062</v>
      </c>
      <c r="BC8" s="84">
        <f t="shared" ca="1" si="15"/>
        <v>6790.9156219868501</v>
      </c>
      <c r="BD8" s="84">
        <f t="shared" ca="1" si="15"/>
        <v>6790.9156219868501</v>
      </c>
      <c r="BE8" s="84">
        <f t="shared" ca="1" si="16"/>
        <v>6884.033875903061</v>
      </c>
      <c r="BF8" s="84"/>
      <c r="BG8" s="93">
        <f t="shared" si="17"/>
        <v>9091581.3911111094</v>
      </c>
      <c r="BH8" s="93">
        <f t="shared" si="18"/>
        <v>3984946.1111111101</v>
      </c>
      <c r="BI8" s="93">
        <f t="shared" si="19"/>
        <v>5106635.2799999993</v>
      </c>
      <c r="BJ8" s="91" t="e">
        <f t="shared" si="20"/>
        <v>#VALUE!</v>
      </c>
      <c r="BK8" s="91" t="e">
        <f t="shared" si="21"/>
        <v>#VALUE!</v>
      </c>
      <c r="BL8" s="91">
        <f t="shared" ca="1" si="22"/>
        <v>5381976.2715000007</v>
      </c>
      <c r="BM8" s="91">
        <f t="shared" ca="1" si="23"/>
        <v>4125481.2403570116</v>
      </c>
      <c r="BN8" s="91">
        <f t="shared" ca="1" si="24"/>
        <v>3645000</v>
      </c>
      <c r="BO8" s="91">
        <f t="shared" ca="1" si="25"/>
        <v>339946.11111111008</v>
      </c>
      <c r="BP8" s="91" t="e">
        <f t="shared" si="26"/>
        <v>#VALUE!</v>
      </c>
      <c r="BQ8" s="91">
        <f t="shared" ca="1" si="27"/>
        <v>480481.24035701156</v>
      </c>
      <c r="BR8" s="91">
        <f t="shared" ca="1" si="28"/>
        <v>607.5</v>
      </c>
      <c r="BS8" s="91">
        <f t="shared" ca="1" si="29"/>
        <v>6790.9156219868501</v>
      </c>
      <c r="BT8" s="91" t="e">
        <f t="shared" si="30"/>
        <v>#VALUE!</v>
      </c>
      <c r="BU8" s="91">
        <f t="shared" ca="1" si="31"/>
        <v>339946.11111111101</v>
      </c>
      <c r="BV8" s="91">
        <f t="shared" ca="1" si="32"/>
        <v>480481.24035701249</v>
      </c>
      <c r="BW8" s="91">
        <f t="shared" ca="1" si="33"/>
        <v>231.33354608378843</v>
      </c>
      <c r="BX8" s="91">
        <f t="shared" ca="1" si="33"/>
        <v>559.58207590306336</v>
      </c>
      <c r="BY8" s="91">
        <f t="shared" ca="1" si="33"/>
        <v>790.91562198685187</v>
      </c>
      <c r="BZ8" s="323"/>
      <c r="CA8" s="323"/>
      <c r="CB8" s="323"/>
      <c r="CC8" s="323"/>
      <c r="CD8" s="323"/>
      <c r="CE8" s="323"/>
      <c r="CF8" s="323"/>
      <c r="CG8" s="323"/>
      <c r="CH8" s="323"/>
      <c r="CI8" s="323"/>
      <c r="CJ8" s="323"/>
      <c r="CK8" s="323"/>
      <c r="CL8" s="323"/>
      <c r="CM8" s="323"/>
      <c r="CN8" s="323"/>
      <c r="CO8" s="323"/>
      <c r="CP8" s="323"/>
      <c r="CQ8" s="323"/>
      <c r="CR8" s="323"/>
      <c r="CS8" s="323"/>
      <c r="CT8" s="323"/>
      <c r="CU8" s="323"/>
      <c r="CV8" s="323"/>
      <c r="CW8" s="323"/>
      <c r="CX8" s="323"/>
      <c r="CY8" s="323"/>
      <c r="CZ8" s="323"/>
      <c r="DA8" s="323"/>
      <c r="DB8" s="323"/>
      <c r="DC8" s="323"/>
      <c r="DD8" s="323"/>
      <c r="DE8" s="323"/>
      <c r="DF8" s="323"/>
      <c r="DG8" s="323"/>
      <c r="DH8" s="323"/>
      <c r="DI8" s="323"/>
      <c r="DJ8" s="323"/>
      <c r="DK8" s="323"/>
      <c r="DL8" s="323"/>
      <c r="DM8" s="323"/>
      <c r="DN8" s="323"/>
      <c r="DO8" s="323"/>
      <c r="DP8" s="323"/>
      <c r="DQ8" s="323"/>
      <c r="DR8" s="323"/>
      <c r="DS8" s="323"/>
      <c r="DT8" s="323"/>
      <c r="DU8" s="323"/>
      <c r="DV8" s="323"/>
      <c r="DW8" s="323"/>
      <c r="DX8" s="323"/>
      <c r="DY8" s="323"/>
      <c r="DZ8" s="323"/>
      <c r="EA8" s="323"/>
      <c r="EB8" s="323"/>
      <c r="EC8" s="323"/>
      <c r="ED8" s="323"/>
      <c r="EE8" s="323"/>
      <c r="EF8" s="323"/>
      <c r="EG8" s="323"/>
      <c r="EH8" s="323"/>
      <c r="EI8" s="323"/>
      <c r="EJ8" s="323"/>
      <c r="EK8" s="323"/>
      <c r="EL8" s="323"/>
      <c r="EM8" s="323"/>
      <c r="EN8" s="323"/>
      <c r="EO8" s="323"/>
      <c r="EP8" s="323"/>
      <c r="EQ8" s="323"/>
      <c r="ER8" s="323"/>
      <c r="ES8" s="323"/>
      <c r="ET8" s="323"/>
      <c r="EU8" s="323"/>
      <c r="EV8" s="323"/>
      <c r="EW8" s="323"/>
      <c r="EX8" s="323"/>
      <c r="EY8" s="323"/>
      <c r="EZ8" s="323"/>
      <c r="FA8" s="323"/>
      <c r="FB8" s="323"/>
      <c r="FC8" s="323"/>
      <c r="FD8" s="323"/>
      <c r="FE8" s="323"/>
      <c r="FF8" s="323"/>
      <c r="FG8" s="323"/>
      <c r="FH8" s="323"/>
      <c r="FI8" s="323"/>
      <c r="FJ8" s="323"/>
      <c r="FK8" s="323"/>
      <c r="FL8" s="323"/>
      <c r="FM8" s="323"/>
      <c r="FN8" s="323"/>
      <c r="FO8" s="323"/>
      <c r="FP8" s="323"/>
      <c r="FQ8" s="323"/>
      <c r="FR8" s="323"/>
      <c r="FS8" s="323"/>
      <c r="FT8" s="323"/>
      <c r="FU8" s="323"/>
      <c r="FV8" s="323"/>
      <c r="FW8" s="323"/>
      <c r="FX8" s="323"/>
      <c r="FY8" s="323"/>
      <c r="FZ8" s="323"/>
      <c r="GA8" s="323"/>
      <c r="GB8" s="323"/>
      <c r="GC8" s="323"/>
      <c r="GD8" s="323"/>
      <c r="GE8" s="323"/>
      <c r="GF8" s="323"/>
      <c r="GG8" s="323"/>
      <c r="GH8" s="323"/>
      <c r="GI8" s="323"/>
      <c r="GJ8" s="323"/>
      <c r="GK8" s="323"/>
      <c r="GL8" s="323"/>
      <c r="GM8" s="323"/>
      <c r="GN8" s="323"/>
      <c r="GO8" s="323"/>
      <c r="GP8" s="323"/>
      <c r="GQ8" s="323"/>
      <c r="GR8" s="323"/>
      <c r="GS8" s="323"/>
      <c r="GT8" s="323"/>
      <c r="GU8" s="323"/>
      <c r="GV8" s="323"/>
      <c r="GW8" s="323"/>
      <c r="GX8" s="323"/>
      <c r="GY8" s="323"/>
      <c r="GZ8" s="323"/>
      <c r="HA8" s="323"/>
      <c r="HB8" s="323"/>
      <c r="HC8" s="323"/>
      <c r="HD8" s="323"/>
      <c r="HE8" s="323"/>
      <c r="HF8" s="323"/>
      <c r="HG8" s="323"/>
      <c r="HH8" s="323"/>
      <c r="HI8" s="323"/>
      <c r="HJ8" s="323"/>
      <c r="HK8" s="323"/>
      <c r="HL8" s="323"/>
      <c r="HM8" s="323"/>
      <c r="HN8" s="323"/>
      <c r="HO8" s="323"/>
      <c r="HP8" s="323"/>
      <c r="HQ8" s="323"/>
      <c r="HR8" s="323"/>
      <c r="HS8" s="323"/>
      <c r="HT8" s="323"/>
      <c r="HU8" s="323"/>
      <c r="HV8" s="323"/>
      <c r="HW8" s="323"/>
      <c r="HX8" s="323"/>
      <c r="HY8" s="323"/>
      <c r="HZ8" s="323"/>
      <c r="IA8" s="323"/>
      <c r="IB8" s="323"/>
      <c r="IC8" s="323"/>
      <c r="ID8" s="323"/>
      <c r="IE8" s="323"/>
      <c r="IF8" s="323"/>
      <c r="IG8" s="323"/>
      <c r="IH8" s="323"/>
      <c r="II8" s="323"/>
      <c r="IJ8" s="323"/>
      <c r="IK8" s="323"/>
      <c r="IL8" s="323"/>
      <c r="IM8" s="323"/>
      <c r="IN8" s="323"/>
      <c r="IO8" s="323"/>
      <c r="IP8" s="323"/>
      <c r="IQ8" s="323"/>
      <c r="IR8" s="323"/>
      <c r="IS8" s="323"/>
      <c r="IT8" s="323"/>
      <c r="IU8" s="323"/>
      <c r="IV8" s="323"/>
    </row>
    <row r="9" spans="1:256" ht="42.75">
      <c r="A9" s="178" t="s">
        <v>122</v>
      </c>
      <c r="B9" s="151" t="s">
        <v>139</v>
      </c>
      <c r="C9" s="151" t="s">
        <v>124</v>
      </c>
      <c r="D9" s="179" t="s">
        <v>116</v>
      </c>
      <c r="E9" s="151" t="s">
        <v>117</v>
      </c>
      <c r="F9" s="151" t="s">
        <v>118</v>
      </c>
      <c r="G9" s="152" t="str">
        <f t="shared" si="0"/>
        <v>No of Racks</v>
      </c>
      <c r="H9" s="151">
        <v>2</v>
      </c>
      <c r="I9" s="151">
        <v>2</v>
      </c>
      <c r="J9" s="180">
        <f t="shared" si="35"/>
        <v>0</v>
      </c>
      <c r="K9" s="151">
        <v>2</v>
      </c>
      <c r="L9" s="151"/>
      <c r="M9" s="181">
        <f>500000/12</f>
        <v>41666.666666666664</v>
      </c>
      <c r="N9" s="83">
        <f t="shared" si="34"/>
        <v>500000</v>
      </c>
      <c r="O9" s="183" t="str">
        <f t="shared" si="1"/>
        <v>Rated</v>
      </c>
      <c r="P9" s="151" t="s">
        <v>125</v>
      </c>
      <c r="Q9" s="151">
        <v>3</v>
      </c>
      <c r="R9" s="192">
        <v>1.81</v>
      </c>
      <c r="S9" s="185">
        <f t="shared" si="2"/>
        <v>1.19</v>
      </c>
      <c r="T9" s="186"/>
      <c r="U9" s="186">
        <f t="shared" ca="1" si="3"/>
        <v>0.59499999999999997</v>
      </c>
      <c r="V9" s="186">
        <f t="shared" ca="1" si="4"/>
        <v>1.5</v>
      </c>
      <c r="W9" s="188">
        <v>3.57</v>
      </c>
      <c r="X9" s="186">
        <f>S9*-1</f>
        <v>-1.19</v>
      </c>
      <c r="Y9" s="83">
        <f>90000/12</f>
        <v>7500</v>
      </c>
      <c r="Z9" s="189" t="str">
        <f t="shared" si="5"/>
        <v>Bundled</v>
      </c>
      <c r="AA9" s="186"/>
      <c r="AB9" s="186"/>
      <c r="AC9" s="190"/>
      <c r="AD9" s="199"/>
      <c r="AE9" s="120"/>
      <c r="AF9" s="152" t="str">
        <f t="shared" si="6"/>
        <v/>
      </c>
      <c r="AG9" s="186"/>
      <c r="AH9" s="186"/>
      <c r="AI9" s="186"/>
      <c r="AJ9" s="186"/>
      <c r="AK9" s="186"/>
      <c r="AL9" s="181"/>
      <c r="AM9" s="83">
        <f t="shared" si="7"/>
        <v>83333.333333333328</v>
      </c>
      <c r="AN9" s="83">
        <f t="shared" si="8"/>
        <v>-8925</v>
      </c>
      <c r="AO9" s="83">
        <f t="shared" si="9"/>
        <v>0</v>
      </c>
      <c r="AP9" s="83">
        <f t="shared" si="10"/>
        <v>0</v>
      </c>
      <c r="AQ9" s="84">
        <f>60000/12</f>
        <v>5000</v>
      </c>
      <c r="AR9" s="85">
        <f t="shared" si="11"/>
        <v>79408.333333333328</v>
      </c>
      <c r="AS9" s="85">
        <f t="shared" si="12"/>
        <v>952900</v>
      </c>
      <c r="AT9" s="85" t="s">
        <v>134</v>
      </c>
      <c r="AU9" s="69" t="s">
        <v>140</v>
      </c>
      <c r="AV9" s="191">
        <v>42370</v>
      </c>
      <c r="AW9" s="69">
        <v>5</v>
      </c>
      <c r="AX9" s="191">
        <v>44197</v>
      </c>
      <c r="AY9" s="69"/>
      <c r="AZ9" s="323"/>
      <c r="BA9" s="84">
        <f t="shared" si="13"/>
        <v>39704.166666666664</v>
      </c>
      <c r="BB9" s="84">
        <f t="shared" ca="1" si="14"/>
        <v>0</v>
      </c>
      <c r="BC9" s="84">
        <f t="shared" ca="1" si="15"/>
        <v>24799.738995555552</v>
      </c>
      <c r="BD9" s="84">
        <f t="shared" ca="1" si="15"/>
        <v>20665.43623555555</v>
      </c>
      <c r="BE9" s="84">
        <f t="shared" ca="1" si="16"/>
        <v>39182.943555555546</v>
      </c>
      <c r="BF9" s="84"/>
      <c r="BG9" s="93">
        <f t="shared" si="17"/>
        <v>74408.333333333328</v>
      </c>
      <c r="BH9" s="93">
        <f t="shared" ca="1" si="18"/>
        <v>58774.415333333323</v>
      </c>
      <c r="BI9" s="93">
        <f t="shared" ca="1" si="19"/>
        <v>15633.918000000001</v>
      </c>
      <c r="BJ9" s="91">
        <f t="shared" si="20"/>
        <v>31075.389870000032</v>
      </c>
      <c r="BK9" s="91">
        <f t="shared" ca="1" si="21"/>
        <v>43410.178980000004</v>
      </c>
      <c r="BL9" s="91">
        <f t="shared" ca="1" si="22"/>
        <v>15633.918000000001</v>
      </c>
      <c r="BM9" s="91">
        <f t="shared" ca="1" si="23"/>
        <v>37199.608493333326</v>
      </c>
      <c r="BN9" s="91">
        <f t="shared" ca="1" si="24"/>
        <v>9000</v>
      </c>
      <c r="BO9" s="91">
        <f t="shared" ca="1" si="25"/>
        <v>49774.415333333323</v>
      </c>
      <c r="BP9" s="91">
        <f t="shared" ca="1" si="26"/>
        <v>-21574.806840000001</v>
      </c>
      <c r="BQ9" s="91">
        <f t="shared" ca="1" si="27"/>
        <v>28199.608493333322</v>
      </c>
      <c r="BR9" s="91">
        <f t="shared" ca="1" si="28"/>
        <v>1.5</v>
      </c>
      <c r="BS9" s="91">
        <f t="shared" ca="1" si="29"/>
        <v>24799.738995555552</v>
      </c>
      <c r="BT9" s="91">
        <f t="shared" ca="1" si="30"/>
        <v>-21574.806840000001</v>
      </c>
      <c r="BU9" s="91">
        <f t="shared" ca="1" si="31"/>
        <v>49774.415333333323</v>
      </c>
      <c r="BV9" s="91">
        <f t="shared" ca="1" si="32"/>
        <v>28199.608493333322</v>
      </c>
      <c r="BW9" s="91">
        <f t="shared" ca="1" si="33"/>
        <v>-14383.20456</v>
      </c>
      <c r="BX9" s="91">
        <f t="shared" ca="1" si="33"/>
        <v>33182.943555555546</v>
      </c>
      <c r="BY9" s="91">
        <f t="shared" ca="1" si="33"/>
        <v>18799.738995555548</v>
      </c>
      <c r="BZ9" s="323"/>
      <c r="CA9" s="323"/>
      <c r="CB9" s="323"/>
      <c r="CC9" s="323"/>
      <c r="CD9" s="323"/>
      <c r="CE9" s="323"/>
      <c r="CF9" s="323"/>
      <c r="CG9" s="323"/>
      <c r="CH9" s="323"/>
      <c r="CI9" s="323"/>
      <c r="CJ9" s="323"/>
      <c r="CK9" s="323"/>
      <c r="CL9" s="323"/>
      <c r="CM9" s="323"/>
      <c r="CN9" s="323"/>
      <c r="CO9" s="323"/>
      <c r="CP9" s="323"/>
      <c r="CQ9" s="323"/>
      <c r="CR9" s="323"/>
      <c r="CS9" s="323"/>
      <c r="CT9" s="323"/>
      <c r="CU9" s="323"/>
      <c r="CV9" s="323"/>
      <c r="CW9" s="323"/>
      <c r="CX9" s="323"/>
      <c r="CY9" s="323"/>
      <c r="CZ9" s="323"/>
      <c r="DA9" s="323"/>
      <c r="DB9" s="323"/>
      <c r="DC9" s="323"/>
      <c r="DD9" s="323"/>
      <c r="DE9" s="323"/>
      <c r="DF9" s="323"/>
      <c r="DG9" s="323"/>
      <c r="DH9" s="323"/>
      <c r="DI9" s="323"/>
      <c r="DJ9" s="323"/>
      <c r="DK9" s="323"/>
      <c r="DL9" s="323"/>
      <c r="DM9" s="323"/>
      <c r="DN9" s="323"/>
      <c r="DO9" s="323"/>
      <c r="DP9" s="323"/>
      <c r="DQ9" s="323"/>
      <c r="DR9" s="323"/>
      <c r="DS9" s="323"/>
      <c r="DT9" s="323"/>
      <c r="DU9" s="323"/>
      <c r="DV9" s="323"/>
      <c r="DW9" s="323"/>
      <c r="DX9" s="323"/>
      <c r="DY9" s="323"/>
      <c r="DZ9" s="323"/>
      <c r="EA9" s="323"/>
      <c r="EB9" s="323"/>
      <c r="EC9" s="323"/>
      <c r="ED9" s="323"/>
      <c r="EE9" s="323"/>
      <c r="EF9" s="323"/>
      <c r="EG9" s="323"/>
      <c r="EH9" s="323"/>
      <c r="EI9" s="323"/>
      <c r="EJ9" s="323"/>
      <c r="EK9" s="323"/>
      <c r="EL9" s="323"/>
      <c r="EM9" s="323"/>
      <c r="EN9" s="323"/>
      <c r="EO9" s="323"/>
      <c r="EP9" s="323"/>
      <c r="EQ9" s="323"/>
      <c r="ER9" s="323"/>
      <c r="ES9" s="323"/>
      <c r="ET9" s="323"/>
      <c r="EU9" s="323"/>
      <c r="EV9" s="323"/>
      <c r="EW9" s="323"/>
      <c r="EX9" s="323"/>
      <c r="EY9" s="323"/>
      <c r="EZ9" s="323"/>
      <c r="FA9" s="323"/>
      <c r="FB9" s="323"/>
      <c r="FC9" s="323"/>
      <c r="FD9" s="323"/>
      <c r="FE9" s="323"/>
      <c r="FF9" s="323"/>
      <c r="FG9" s="323"/>
      <c r="FH9" s="323"/>
      <c r="FI9" s="323"/>
      <c r="FJ9" s="323"/>
      <c r="FK9" s="323"/>
      <c r="FL9" s="323"/>
      <c r="FM9" s="323"/>
      <c r="FN9" s="323"/>
      <c r="FO9" s="323"/>
      <c r="FP9" s="323"/>
      <c r="FQ9" s="323"/>
      <c r="FR9" s="323"/>
      <c r="FS9" s="323"/>
      <c r="FT9" s="323"/>
      <c r="FU9" s="323"/>
      <c r="FV9" s="323"/>
      <c r="FW9" s="323"/>
      <c r="FX9" s="323"/>
      <c r="FY9" s="323"/>
      <c r="FZ9" s="323"/>
      <c r="GA9" s="323"/>
      <c r="GB9" s="323"/>
      <c r="GC9" s="323"/>
      <c r="GD9" s="323"/>
      <c r="GE9" s="323"/>
      <c r="GF9" s="323"/>
      <c r="GG9" s="323"/>
      <c r="GH9" s="323"/>
      <c r="GI9" s="323"/>
      <c r="GJ9" s="323"/>
      <c r="GK9" s="323"/>
      <c r="GL9" s="323"/>
      <c r="GM9" s="323"/>
      <c r="GN9" s="323"/>
      <c r="GO9" s="323"/>
      <c r="GP9" s="323"/>
      <c r="GQ9" s="323"/>
      <c r="GR9" s="323"/>
      <c r="GS9" s="323"/>
      <c r="GT9" s="323"/>
      <c r="GU9" s="323"/>
      <c r="GV9" s="323"/>
      <c r="GW9" s="323"/>
      <c r="GX9" s="323"/>
      <c r="GY9" s="323"/>
      <c r="GZ9" s="323"/>
      <c r="HA9" s="323"/>
      <c r="HB9" s="323"/>
      <c r="HC9" s="323"/>
      <c r="HD9" s="323"/>
      <c r="HE9" s="323"/>
      <c r="HF9" s="323"/>
      <c r="HG9" s="323"/>
      <c r="HH9" s="323"/>
      <c r="HI9" s="323"/>
      <c r="HJ9" s="323"/>
      <c r="HK9" s="323"/>
      <c r="HL9" s="323"/>
      <c r="HM9" s="323"/>
      <c r="HN9" s="323"/>
      <c r="HO9" s="323"/>
      <c r="HP9" s="323"/>
      <c r="HQ9" s="323"/>
      <c r="HR9" s="323"/>
      <c r="HS9" s="323"/>
      <c r="HT9" s="323"/>
      <c r="HU9" s="323"/>
      <c r="HV9" s="323"/>
      <c r="HW9" s="323"/>
      <c r="HX9" s="323"/>
      <c r="HY9" s="323"/>
      <c r="HZ9" s="323"/>
      <c r="IA9" s="323"/>
      <c r="IB9" s="323"/>
      <c r="IC9" s="323"/>
      <c r="ID9" s="323"/>
      <c r="IE9" s="323"/>
      <c r="IF9" s="323"/>
      <c r="IG9" s="323"/>
      <c r="IH9" s="323"/>
      <c r="II9" s="323"/>
      <c r="IJ9" s="323"/>
      <c r="IK9" s="323"/>
      <c r="IL9" s="323"/>
      <c r="IM9" s="323"/>
      <c r="IN9" s="323"/>
      <c r="IO9" s="323"/>
      <c r="IP9" s="323"/>
      <c r="IQ9" s="323"/>
      <c r="IR9" s="323"/>
      <c r="IS9" s="323"/>
      <c r="IT9" s="323"/>
      <c r="IU9" s="323"/>
      <c r="IV9" s="323"/>
    </row>
    <row r="10" spans="1:256" ht="42.75">
      <c r="A10" s="178" t="s">
        <v>122</v>
      </c>
      <c r="B10" s="151" t="s">
        <v>141</v>
      </c>
      <c r="C10" s="151" t="s">
        <v>124</v>
      </c>
      <c r="D10" s="179" t="s">
        <v>116</v>
      </c>
      <c r="E10" s="151" t="s">
        <v>117</v>
      </c>
      <c r="F10" s="151" t="s">
        <v>118</v>
      </c>
      <c r="G10" s="152" t="str">
        <f t="shared" si="0"/>
        <v>No of Racks</v>
      </c>
      <c r="H10" s="151">
        <v>2</v>
      </c>
      <c r="I10" s="151">
        <v>2</v>
      </c>
      <c r="J10" s="180">
        <f t="shared" si="35"/>
        <v>0</v>
      </c>
      <c r="K10" s="151">
        <v>2</v>
      </c>
      <c r="L10" s="151"/>
      <c r="M10" s="181">
        <f>410000/12</f>
        <v>34166.666666666664</v>
      </c>
      <c r="N10" s="182">
        <f t="shared" si="34"/>
        <v>410000</v>
      </c>
      <c r="O10" s="183" t="str">
        <f t="shared" si="1"/>
        <v>Rated</v>
      </c>
      <c r="P10" s="151" t="s">
        <v>125</v>
      </c>
      <c r="Q10" s="151">
        <v>12</v>
      </c>
      <c r="R10" s="192">
        <v>1.38</v>
      </c>
      <c r="S10" s="185">
        <f t="shared" si="2"/>
        <v>10.620000000000001</v>
      </c>
      <c r="T10" s="186"/>
      <c r="U10" s="186">
        <f t="shared" ca="1" si="3"/>
        <v>5.3100000000000005</v>
      </c>
      <c r="V10" s="186">
        <f t="shared" ca="1" si="4"/>
        <v>6</v>
      </c>
      <c r="W10" s="188">
        <v>2.62</v>
      </c>
      <c r="X10" s="186"/>
      <c r="Y10" s="83">
        <f>80000/12</f>
        <v>6666.666666666667</v>
      </c>
      <c r="Z10" s="189" t="str">
        <f t="shared" si="5"/>
        <v>Bundled</v>
      </c>
      <c r="AA10" s="186"/>
      <c r="AB10" s="186"/>
      <c r="AC10" s="190"/>
      <c r="AD10" s="199"/>
      <c r="AE10" s="120"/>
      <c r="AF10" s="152" t="str">
        <f t="shared" si="6"/>
        <v/>
      </c>
      <c r="AG10" s="186"/>
      <c r="AH10" s="186"/>
      <c r="AI10" s="186"/>
      <c r="AJ10" s="186"/>
      <c r="AK10" s="186"/>
      <c r="AL10" s="181"/>
      <c r="AM10" s="83">
        <f t="shared" si="7"/>
        <v>68333.333333333328</v>
      </c>
      <c r="AN10" s="83">
        <f t="shared" si="8"/>
        <v>0</v>
      </c>
      <c r="AO10" s="83">
        <f t="shared" si="9"/>
        <v>0</v>
      </c>
      <c r="AP10" s="83">
        <f t="shared" si="10"/>
        <v>0</v>
      </c>
      <c r="AQ10" s="84">
        <f>(18750+87500+12500)/12</f>
        <v>9895.8333333333339</v>
      </c>
      <c r="AR10" s="85">
        <f t="shared" si="11"/>
        <v>78229.166666666657</v>
      </c>
      <c r="AS10" s="86">
        <f t="shared" si="12"/>
        <v>938749.99999999988</v>
      </c>
      <c r="AT10" s="85" t="s">
        <v>119</v>
      </c>
      <c r="AU10" s="69" t="s">
        <v>142</v>
      </c>
      <c r="AV10" s="191">
        <v>43132</v>
      </c>
      <c r="AW10" s="69">
        <v>5</v>
      </c>
      <c r="AX10" s="191">
        <v>44927</v>
      </c>
      <c r="AY10" s="69"/>
      <c r="AZ10" s="323"/>
      <c r="BA10" s="84">
        <f t="shared" si="13"/>
        <v>39114.583333333328</v>
      </c>
      <c r="BB10" s="84">
        <f t="shared" ca="1" si="14"/>
        <v>0</v>
      </c>
      <c r="BC10" s="84">
        <f t="shared" ca="1" si="15"/>
        <v>6837.6816488888871</v>
      </c>
      <c r="BD10" s="84">
        <f t="shared" ca="1" si="15"/>
        <v>-2386.3299711111154</v>
      </c>
      <c r="BE10" s="84">
        <f t="shared" ca="1" si="16"/>
        <v>966.27688888888713</v>
      </c>
      <c r="BF10" s="84"/>
      <c r="BG10" s="90">
        <f t="shared" si="17"/>
        <v>68333.333333333328</v>
      </c>
      <c r="BH10" s="90">
        <f t="shared" ca="1" si="18"/>
        <v>5797.6613333333225</v>
      </c>
      <c r="BI10" s="90">
        <f t="shared" ca="1" si="19"/>
        <v>62535.672000000006</v>
      </c>
      <c r="BJ10" s="91">
        <f t="shared" si="20"/>
        <v>22806.028420000024</v>
      </c>
      <c r="BK10" s="91">
        <f t="shared" ca="1" si="21"/>
        <v>82651.31316000002</v>
      </c>
      <c r="BL10" s="91">
        <f t="shared" ca="1" si="22"/>
        <v>62535.672000000006</v>
      </c>
      <c r="BM10" s="91">
        <f t="shared" ca="1" si="23"/>
        <v>41026.089893333323</v>
      </c>
      <c r="BN10" s="91">
        <f t="shared" ca="1" si="24"/>
        <v>36000</v>
      </c>
      <c r="BO10" s="91">
        <f t="shared" ca="1" si="25"/>
        <v>-30202.338666666677</v>
      </c>
      <c r="BP10" s="91">
        <f t="shared" ca="1" si="26"/>
        <v>35228.42856</v>
      </c>
      <c r="BQ10" s="91">
        <f t="shared" ca="1" si="27"/>
        <v>5026.0898933333228</v>
      </c>
      <c r="BR10" s="91">
        <f t="shared" ca="1" si="28"/>
        <v>6</v>
      </c>
      <c r="BS10" s="91">
        <f t="shared" ca="1" si="29"/>
        <v>6837.6816488888871</v>
      </c>
      <c r="BT10" s="91">
        <f t="shared" ca="1" si="30"/>
        <v>35228.42856</v>
      </c>
      <c r="BU10" s="91">
        <f t="shared" ca="1" si="31"/>
        <v>-30202.338666666677</v>
      </c>
      <c r="BV10" s="91">
        <f t="shared" ca="1" si="32"/>
        <v>5026.0898933333228</v>
      </c>
      <c r="BW10" s="91">
        <f t="shared" ca="1" si="33"/>
        <v>5871.4047600000004</v>
      </c>
      <c r="BX10" s="91">
        <f t="shared" ca="1" si="33"/>
        <v>-5033.7231111111132</v>
      </c>
      <c r="BY10" s="91">
        <f t="shared" ca="1" si="33"/>
        <v>837.68164888888714</v>
      </c>
      <c r="BZ10" s="323"/>
      <c r="CA10" s="323"/>
      <c r="CB10" s="323"/>
      <c r="CC10" s="323"/>
      <c r="CD10" s="323"/>
      <c r="CE10" s="323"/>
      <c r="CF10" s="323"/>
      <c r="CG10" s="323"/>
      <c r="CH10" s="323"/>
      <c r="CI10" s="323"/>
      <c r="CJ10" s="323"/>
      <c r="CK10" s="323"/>
      <c r="CL10" s="323"/>
      <c r="CM10" s="323"/>
      <c r="CN10" s="323"/>
      <c r="CO10" s="323"/>
      <c r="CP10" s="323"/>
      <c r="CQ10" s="323"/>
      <c r="CR10" s="323"/>
      <c r="CS10" s="323"/>
      <c r="CT10" s="323"/>
      <c r="CU10" s="323"/>
      <c r="CV10" s="323"/>
      <c r="CW10" s="323"/>
      <c r="CX10" s="323"/>
      <c r="CY10" s="323"/>
      <c r="CZ10" s="323"/>
      <c r="DA10" s="323"/>
      <c r="DB10" s="323"/>
      <c r="DC10" s="323"/>
      <c r="DD10" s="323"/>
      <c r="DE10" s="323"/>
      <c r="DF10" s="323"/>
      <c r="DG10" s="323"/>
      <c r="DH10" s="323"/>
      <c r="DI10" s="323"/>
      <c r="DJ10" s="323"/>
      <c r="DK10" s="323"/>
      <c r="DL10" s="323"/>
      <c r="DM10" s="323"/>
      <c r="DN10" s="323"/>
      <c r="DO10" s="323"/>
      <c r="DP10" s="323"/>
      <c r="DQ10" s="323"/>
      <c r="DR10" s="323"/>
      <c r="DS10" s="323"/>
      <c r="DT10" s="323"/>
      <c r="DU10" s="323"/>
      <c r="DV10" s="323"/>
      <c r="DW10" s="323"/>
      <c r="DX10" s="323"/>
      <c r="DY10" s="323"/>
      <c r="DZ10" s="323"/>
      <c r="EA10" s="323"/>
      <c r="EB10" s="323"/>
      <c r="EC10" s="323"/>
      <c r="ED10" s="323"/>
      <c r="EE10" s="323"/>
      <c r="EF10" s="323"/>
      <c r="EG10" s="323"/>
      <c r="EH10" s="323"/>
      <c r="EI10" s="323"/>
      <c r="EJ10" s="323"/>
      <c r="EK10" s="323"/>
      <c r="EL10" s="323"/>
      <c r="EM10" s="323"/>
      <c r="EN10" s="323"/>
      <c r="EO10" s="323"/>
      <c r="EP10" s="323"/>
      <c r="EQ10" s="323"/>
      <c r="ER10" s="323"/>
      <c r="ES10" s="323"/>
      <c r="ET10" s="323"/>
      <c r="EU10" s="323"/>
      <c r="EV10" s="323"/>
      <c r="EW10" s="323"/>
      <c r="EX10" s="323"/>
      <c r="EY10" s="323"/>
      <c r="EZ10" s="323"/>
      <c r="FA10" s="323"/>
      <c r="FB10" s="323"/>
      <c r="FC10" s="323"/>
      <c r="FD10" s="323"/>
      <c r="FE10" s="323"/>
      <c r="FF10" s="323"/>
      <c r="FG10" s="323"/>
      <c r="FH10" s="323"/>
      <c r="FI10" s="323"/>
      <c r="FJ10" s="323"/>
      <c r="FK10" s="323"/>
      <c r="FL10" s="323"/>
      <c r="FM10" s="323"/>
      <c r="FN10" s="323"/>
      <c r="FO10" s="323"/>
      <c r="FP10" s="323"/>
      <c r="FQ10" s="323"/>
      <c r="FR10" s="323"/>
      <c r="FS10" s="323"/>
      <c r="FT10" s="323"/>
      <c r="FU10" s="323"/>
      <c r="FV10" s="323"/>
      <c r="FW10" s="323"/>
      <c r="FX10" s="323"/>
      <c r="FY10" s="323"/>
      <c r="FZ10" s="323"/>
      <c r="GA10" s="323"/>
      <c r="GB10" s="323"/>
      <c r="GC10" s="323"/>
      <c r="GD10" s="323"/>
      <c r="GE10" s="323"/>
      <c r="GF10" s="323"/>
      <c r="GG10" s="323"/>
      <c r="GH10" s="323"/>
      <c r="GI10" s="323"/>
      <c r="GJ10" s="323"/>
      <c r="GK10" s="323"/>
      <c r="GL10" s="323"/>
      <c r="GM10" s="323"/>
      <c r="GN10" s="323"/>
      <c r="GO10" s="323"/>
      <c r="GP10" s="323"/>
      <c r="GQ10" s="323"/>
      <c r="GR10" s="323"/>
      <c r="GS10" s="323"/>
      <c r="GT10" s="323"/>
      <c r="GU10" s="323"/>
      <c r="GV10" s="323"/>
      <c r="GW10" s="323"/>
      <c r="GX10" s="323"/>
      <c r="GY10" s="323"/>
      <c r="GZ10" s="323"/>
      <c r="HA10" s="323"/>
      <c r="HB10" s="323"/>
      <c r="HC10" s="323"/>
      <c r="HD10" s="323"/>
      <c r="HE10" s="323"/>
      <c r="HF10" s="323"/>
      <c r="HG10" s="323"/>
      <c r="HH10" s="323"/>
      <c r="HI10" s="323"/>
      <c r="HJ10" s="323"/>
      <c r="HK10" s="323"/>
      <c r="HL10" s="323"/>
      <c r="HM10" s="323"/>
      <c r="HN10" s="323"/>
      <c r="HO10" s="323"/>
      <c r="HP10" s="323"/>
      <c r="HQ10" s="323"/>
      <c r="HR10" s="323"/>
      <c r="HS10" s="323"/>
      <c r="HT10" s="323"/>
      <c r="HU10" s="323"/>
      <c r="HV10" s="323"/>
      <c r="HW10" s="323"/>
      <c r="HX10" s="323"/>
      <c r="HY10" s="323"/>
      <c r="HZ10" s="323"/>
      <c r="IA10" s="323"/>
      <c r="IB10" s="323"/>
      <c r="IC10" s="323"/>
      <c r="ID10" s="323"/>
      <c r="IE10" s="323"/>
      <c r="IF10" s="323"/>
      <c r="IG10" s="323"/>
      <c r="IH10" s="323"/>
      <c r="II10" s="323"/>
      <c r="IJ10" s="323"/>
      <c r="IK10" s="323"/>
      <c r="IL10" s="323"/>
      <c r="IM10" s="323"/>
      <c r="IN10" s="323"/>
      <c r="IO10" s="323"/>
      <c r="IP10" s="323"/>
      <c r="IQ10" s="323"/>
      <c r="IR10" s="323"/>
      <c r="IS10" s="323"/>
      <c r="IT10" s="323"/>
      <c r="IU10" s="323"/>
      <c r="IV10" s="323"/>
    </row>
    <row r="11" spans="1:256" ht="15">
      <c r="A11" s="178" t="s">
        <v>122</v>
      </c>
      <c r="B11" s="200" t="s">
        <v>143</v>
      </c>
      <c r="C11" s="151" t="s">
        <v>124</v>
      </c>
      <c r="D11" s="179" t="s">
        <v>116</v>
      </c>
      <c r="E11" s="151" t="s">
        <v>117</v>
      </c>
      <c r="F11" s="151" t="s">
        <v>118</v>
      </c>
      <c r="G11" s="152" t="str">
        <f t="shared" si="0"/>
        <v>No of Racks</v>
      </c>
      <c r="H11" s="151">
        <v>20</v>
      </c>
      <c r="I11" s="151">
        <v>13</v>
      </c>
      <c r="J11" s="180">
        <f t="shared" si="35"/>
        <v>7</v>
      </c>
      <c r="K11" s="151">
        <v>0</v>
      </c>
      <c r="L11" s="151"/>
      <c r="M11" s="181">
        <v>0</v>
      </c>
      <c r="N11" s="182">
        <f t="shared" si="34"/>
        <v>0</v>
      </c>
      <c r="O11" s="183" t="str">
        <f t="shared" si="1"/>
        <v>Rated</v>
      </c>
      <c r="P11" s="151" t="s">
        <v>125</v>
      </c>
      <c r="Q11" s="151">
        <v>120</v>
      </c>
      <c r="R11" s="201">
        <v>19.38</v>
      </c>
      <c r="S11" s="185">
        <v>19.54</v>
      </c>
      <c r="T11" s="186"/>
      <c r="U11" s="186">
        <f t="shared" ca="1" si="3"/>
        <v>9.77</v>
      </c>
      <c r="V11" s="186">
        <f t="shared" ca="1" si="4"/>
        <v>60</v>
      </c>
      <c r="W11" s="202">
        <v>18.45</v>
      </c>
      <c r="X11" s="186"/>
      <c r="Y11" s="83"/>
      <c r="Z11" s="189" t="str">
        <f t="shared" si="5"/>
        <v>Bundled</v>
      </c>
      <c r="AA11" s="186"/>
      <c r="AB11" s="186"/>
      <c r="AC11" s="190"/>
      <c r="AD11" s="199"/>
      <c r="AE11" s="120"/>
      <c r="AF11" s="152" t="str">
        <f t="shared" si="6"/>
        <v/>
      </c>
      <c r="AG11" s="186"/>
      <c r="AH11" s="186"/>
      <c r="AI11" s="186"/>
      <c r="AJ11" s="186"/>
      <c r="AK11" s="186"/>
      <c r="AL11" s="181"/>
      <c r="AM11" s="83">
        <f t="shared" si="7"/>
        <v>0</v>
      </c>
      <c r="AN11" s="83">
        <f t="shared" si="8"/>
        <v>0</v>
      </c>
      <c r="AO11" s="83">
        <f t="shared" si="9"/>
        <v>0</v>
      </c>
      <c r="AP11" s="83">
        <f t="shared" si="10"/>
        <v>0</v>
      </c>
      <c r="AQ11" s="84"/>
      <c r="AR11" s="85">
        <f t="shared" si="11"/>
        <v>0</v>
      </c>
      <c r="AS11" s="86">
        <f t="shared" si="12"/>
        <v>0</v>
      </c>
      <c r="AT11" s="85"/>
      <c r="AU11" s="69"/>
      <c r="AV11" s="69"/>
      <c r="AW11" s="69"/>
      <c r="AX11" s="69"/>
      <c r="AY11" s="69"/>
      <c r="AZ11" s="323"/>
      <c r="BA11" s="84">
        <f t="shared" si="13"/>
        <v>0</v>
      </c>
      <c r="BB11" s="84">
        <f t="shared" ca="1" si="14"/>
        <v>0</v>
      </c>
      <c r="BC11" s="84">
        <f t="shared" ca="1" si="15"/>
        <v>-3204.9531900000002</v>
      </c>
      <c r="BD11" s="84">
        <f t="shared" ca="1" si="15"/>
        <v>-4902.1018440000007</v>
      </c>
      <c r="BE11" s="84">
        <f t="shared" ca="1" si="16"/>
        <v>-10422.612000000001</v>
      </c>
      <c r="BF11" s="84"/>
      <c r="BG11" s="90">
        <f t="shared" si="17"/>
        <v>0</v>
      </c>
      <c r="BH11" s="90">
        <f t="shared" ca="1" si="18"/>
        <v>0</v>
      </c>
      <c r="BI11" s="90">
        <f t="shared" ca="1" si="19"/>
        <v>0</v>
      </c>
      <c r="BJ11" s="91">
        <f t="shared" si="20"/>
        <v>160599.70395000017</v>
      </c>
      <c r="BK11" s="91">
        <f t="shared" ca="1" si="21"/>
        <v>294126.11064000003</v>
      </c>
      <c r="BL11" s="91">
        <f t="shared" ca="1" si="22"/>
        <v>625356.72000000009</v>
      </c>
      <c r="BM11" s="91">
        <f t="shared" ca="1" si="23"/>
        <v>-192297.19140000001</v>
      </c>
      <c r="BN11" s="91">
        <f t="shared" ca="1" si="24"/>
        <v>360000</v>
      </c>
      <c r="BO11" s="91">
        <f t="shared" ca="1" si="25"/>
        <v>-360000</v>
      </c>
      <c r="BP11" s="91">
        <f t="shared" ca="1" si="26"/>
        <v>-192297.19140000001</v>
      </c>
      <c r="BQ11" s="91">
        <f t="shared" ca="1" si="27"/>
        <v>-552297.19140000001</v>
      </c>
      <c r="BR11" s="91">
        <f t="shared" ca="1" si="28"/>
        <v>60</v>
      </c>
      <c r="BS11" s="91">
        <f t="shared" ca="1" si="29"/>
        <v>-3204.9531900000002</v>
      </c>
      <c r="BT11" s="91">
        <f t="shared" ca="1" si="30"/>
        <v>433059.52860000008</v>
      </c>
      <c r="BU11" s="91">
        <f t="shared" ca="1" si="31"/>
        <v>-985356.72000000009</v>
      </c>
      <c r="BV11" s="91">
        <f t="shared" ca="1" si="32"/>
        <v>-552297.19140000001</v>
      </c>
      <c r="BW11" s="91">
        <f t="shared" ca="1" si="33"/>
        <v>7217.6588100000017</v>
      </c>
      <c r="BX11" s="91">
        <f t="shared" ca="1" si="33"/>
        <v>-16422.612000000001</v>
      </c>
      <c r="BY11" s="91">
        <f t="shared" ca="1" si="33"/>
        <v>-9204.9531900000002</v>
      </c>
      <c r="BZ11" s="323"/>
      <c r="CA11" s="323"/>
      <c r="CB11" s="323"/>
      <c r="CC11" s="323"/>
      <c r="CD11" s="323"/>
      <c r="CE11" s="323"/>
      <c r="CF11" s="323"/>
      <c r="CG11" s="323"/>
      <c r="CH11" s="323"/>
      <c r="CI11" s="323"/>
      <c r="CJ11" s="323"/>
      <c r="CK11" s="323"/>
      <c r="CL11" s="323"/>
      <c r="CM11" s="323"/>
      <c r="CN11" s="323"/>
      <c r="CO11" s="323"/>
      <c r="CP11" s="323"/>
      <c r="CQ11" s="323"/>
      <c r="CR11" s="323"/>
      <c r="CS11" s="323"/>
      <c r="CT11" s="323"/>
      <c r="CU11" s="323"/>
      <c r="CV11" s="323"/>
      <c r="CW11" s="323"/>
      <c r="CX11" s="323"/>
      <c r="CY11" s="323"/>
      <c r="CZ11" s="323"/>
      <c r="DA11" s="323"/>
      <c r="DB11" s="323"/>
      <c r="DC11" s="323"/>
      <c r="DD11" s="323"/>
      <c r="DE11" s="323"/>
      <c r="DF11" s="323"/>
      <c r="DG11" s="323"/>
      <c r="DH11" s="323"/>
      <c r="DI11" s="323"/>
      <c r="DJ11" s="323"/>
      <c r="DK11" s="323"/>
      <c r="DL11" s="323"/>
      <c r="DM11" s="323"/>
      <c r="DN11" s="323"/>
      <c r="DO11" s="323"/>
      <c r="DP11" s="323"/>
      <c r="DQ11" s="323"/>
      <c r="DR11" s="323"/>
      <c r="DS11" s="323"/>
      <c r="DT11" s="323"/>
      <c r="DU11" s="323"/>
      <c r="DV11" s="323"/>
      <c r="DW11" s="323"/>
      <c r="DX11" s="323"/>
      <c r="DY11" s="323"/>
      <c r="DZ11" s="323"/>
      <c r="EA11" s="323"/>
      <c r="EB11" s="323"/>
      <c r="EC11" s="323"/>
      <c r="ED11" s="323"/>
      <c r="EE11" s="323"/>
      <c r="EF11" s="323"/>
      <c r="EG11" s="323"/>
      <c r="EH11" s="323"/>
      <c r="EI11" s="323"/>
      <c r="EJ11" s="323"/>
      <c r="EK11" s="323"/>
      <c r="EL11" s="323"/>
      <c r="EM11" s="323"/>
      <c r="EN11" s="323"/>
      <c r="EO11" s="323"/>
      <c r="EP11" s="323"/>
      <c r="EQ11" s="323"/>
      <c r="ER11" s="323"/>
      <c r="ES11" s="323"/>
      <c r="ET11" s="323"/>
      <c r="EU11" s="323"/>
      <c r="EV11" s="323"/>
      <c r="EW11" s="323"/>
      <c r="EX11" s="323"/>
      <c r="EY11" s="323"/>
      <c r="EZ11" s="323"/>
      <c r="FA11" s="323"/>
      <c r="FB11" s="323"/>
      <c r="FC11" s="323"/>
      <c r="FD11" s="323"/>
      <c r="FE11" s="323"/>
      <c r="FF11" s="323"/>
      <c r="FG11" s="323"/>
      <c r="FH11" s="323"/>
      <c r="FI11" s="323"/>
      <c r="FJ11" s="323"/>
      <c r="FK11" s="323"/>
      <c r="FL11" s="323"/>
      <c r="FM11" s="323"/>
      <c r="FN11" s="323"/>
      <c r="FO11" s="323"/>
      <c r="FP11" s="323"/>
      <c r="FQ11" s="323"/>
      <c r="FR11" s="323"/>
      <c r="FS11" s="323"/>
      <c r="FT11" s="323"/>
      <c r="FU11" s="323"/>
      <c r="FV11" s="323"/>
      <c r="FW11" s="323"/>
      <c r="FX11" s="323"/>
      <c r="FY11" s="323"/>
      <c r="FZ11" s="323"/>
      <c r="GA11" s="323"/>
      <c r="GB11" s="323"/>
      <c r="GC11" s="323"/>
      <c r="GD11" s="323"/>
      <c r="GE11" s="323"/>
      <c r="GF11" s="323"/>
      <c r="GG11" s="323"/>
      <c r="GH11" s="323"/>
      <c r="GI11" s="323"/>
      <c r="GJ11" s="323"/>
      <c r="GK11" s="323"/>
      <c r="GL11" s="323"/>
      <c r="GM11" s="323"/>
      <c r="GN11" s="323"/>
      <c r="GO11" s="323"/>
      <c r="GP11" s="323"/>
      <c r="GQ11" s="323"/>
      <c r="GR11" s="323"/>
      <c r="GS11" s="323"/>
      <c r="GT11" s="323"/>
      <c r="GU11" s="323"/>
      <c r="GV11" s="323"/>
      <c r="GW11" s="323"/>
      <c r="GX11" s="323"/>
      <c r="GY11" s="323"/>
      <c r="GZ11" s="323"/>
      <c r="HA11" s="323"/>
      <c r="HB11" s="323"/>
      <c r="HC11" s="323"/>
      <c r="HD11" s="323"/>
      <c r="HE11" s="323"/>
      <c r="HF11" s="323"/>
      <c r="HG11" s="323"/>
      <c r="HH11" s="323"/>
      <c r="HI11" s="323"/>
      <c r="HJ11" s="323"/>
      <c r="HK11" s="323"/>
      <c r="HL11" s="323"/>
      <c r="HM11" s="323"/>
      <c r="HN11" s="323"/>
      <c r="HO11" s="323"/>
      <c r="HP11" s="323"/>
      <c r="HQ11" s="323"/>
      <c r="HR11" s="323"/>
      <c r="HS11" s="323"/>
      <c r="HT11" s="323"/>
      <c r="HU11" s="323"/>
      <c r="HV11" s="323"/>
      <c r="HW11" s="323"/>
      <c r="HX11" s="323"/>
      <c r="HY11" s="323"/>
      <c r="HZ11" s="323"/>
      <c r="IA11" s="323"/>
      <c r="IB11" s="323"/>
      <c r="IC11" s="323"/>
      <c r="ID11" s="323"/>
      <c r="IE11" s="323"/>
      <c r="IF11" s="323"/>
      <c r="IG11" s="323"/>
      <c r="IH11" s="323"/>
      <c r="II11" s="323"/>
      <c r="IJ11" s="323"/>
      <c r="IK11" s="323"/>
      <c r="IL11" s="323"/>
      <c r="IM11" s="323"/>
      <c r="IN11" s="323"/>
      <c r="IO11" s="323"/>
      <c r="IP11" s="323"/>
      <c r="IQ11" s="323"/>
      <c r="IR11" s="323"/>
      <c r="IS11" s="323"/>
      <c r="IT11" s="323"/>
      <c r="IU11" s="323"/>
      <c r="IV11" s="323"/>
    </row>
    <row r="12" spans="1:256" ht="15">
      <c r="A12" s="203" t="s">
        <v>122</v>
      </c>
      <c r="B12" s="151" t="s">
        <v>144</v>
      </c>
      <c r="C12" s="204" t="s">
        <v>115</v>
      </c>
      <c r="D12" s="205" t="s">
        <v>116</v>
      </c>
      <c r="E12" s="204" t="s">
        <v>117</v>
      </c>
      <c r="F12" s="204" t="s">
        <v>118</v>
      </c>
      <c r="G12" s="206" t="str">
        <f t="shared" si="0"/>
        <v>No of Racks</v>
      </c>
      <c r="H12" s="206">
        <v>5</v>
      </c>
      <c r="I12" s="206">
        <v>5</v>
      </c>
      <c r="J12" s="207">
        <f t="shared" si="35"/>
        <v>0</v>
      </c>
      <c r="K12" s="206">
        <v>5</v>
      </c>
      <c r="L12" s="206"/>
      <c r="M12" s="95">
        <f>312500/12</f>
        <v>26041.666666666668</v>
      </c>
      <c r="N12" s="83">
        <f t="shared" si="34"/>
        <v>312500</v>
      </c>
      <c r="O12" s="208" t="str">
        <f t="shared" si="1"/>
        <v>Subscribed</v>
      </c>
      <c r="P12" s="204" t="s">
        <v>108</v>
      </c>
      <c r="Q12" s="187">
        <v>12.6812862903226</v>
      </c>
      <c r="R12" s="209">
        <v>12.13</v>
      </c>
      <c r="S12" s="210">
        <f t="shared" ref="S12:S53" si="36">Q12-R12</f>
        <v>0.55128629032259902</v>
      </c>
      <c r="T12" s="187"/>
      <c r="U12" s="187">
        <f t="shared" si="3"/>
        <v>0.55128629032259902</v>
      </c>
      <c r="V12" s="187">
        <f t="shared" si="4"/>
        <v>12.6812862903226</v>
      </c>
      <c r="W12" s="202">
        <f>R12</f>
        <v>12.13</v>
      </c>
      <c r="X12" s="186"/>
      <c r="Y12" s="95">
        <f>115000/12</f>
        <v>9583.3333333333339</v>
      </c>
      <c r="Z12" s="211" t="s">
        <v>130</v>
      </c>
      <c r="AA12" s="206"/>
      <c r="AB12" s="205" t="s">
        <v>145</v>
      </c>
      <c r="AC12" s="212">
        <v>17</v>
      </c>
      <c r="AD12" s="213">
        <v>8798.4109999999928</v>
      </c>
      <c r="AE12" s="214"/>
      <c r="AF12" s="206" t="str">
        <f t="shared" si="6"/>
        <v/>
      </c>
      <c r="AG12" s="206"/>
      <c r="AH12" s="206"/>
      <c r="AI12" s="206"/>
      <c r="AJ12" s="206"/>
      <c r="AK12" s="206"/>
      <c r="AL12" s="215"/>
      <c r="AM12" s="95">
        <f t="shared" si="7"/>
        <v>130208.33333333334</v>
      </c>
      <c r="AN12" s="95">
        <f t="shared" si="8"/>
        <v>0</v>
      </c>
      <c r="AO12" s="95">
        <f t="shared" si="9"/>
        <v>0</v>
      </c>
      <c r="AP12" s="95">
        <f t="shared" si="10"/>
        <v>0</v>
      </c>
      <c r="AQ12" s="96">
        <f>60000+10000+20000+1250000/12</f>
        <v>194166.66666666669</v>
      </c>
      <c r="AR12" s="97">
        <f t="shared" si="11"/>
        <v>324375</v>
      </c>
      <c r="AS12" s="85">
        <f t="shared" si="12"/>
        <v>3892500</v>
      </c>
      <c r="AT12" s="97" t="s">
        <v>119</v>
      </c>
      <c r="AU12" s="98">
        <v>121000307</v>
      </c>
      <c r="AV12" s="216">
        <v>43391</v>
      </c>
      <c r="AW12" s="98">
        <v>1</v>
      </c>
      <c r="AX12" s="216">
        <v>43727</v>
      </c>
      <c r="AY12" s="98" t="s">
        <v>146</v>
      </c>
      <c r="AZ12" s="99"/>
      <c r="BA12" s="96">
        <f t="shared" si="13"/>
        <v>64875</v>
      </c>
      <c r="BB12" s="96">
        <f t="shared" si="14"/>
        <v>25579.029806111903</v>
      </c>
      <c r="BC12" s="96" t="e">
        <f t="shared" si="15"/>
        <v>#VALUE!</v>
      </c>
      <c r="BD12" s="96" t="e">
        <f t="shared" si="15"/>
        <v>#VALUE!</v>
      </c>
      <c r="BE12" s="96">
        <f t="shared" si="16"/>
        <v>1563.1634179960979</v>
      </c>
      <c r="BF12" s="96"/>
      <c r="BG12" s="217">
        <f t="shared" si="17"/>
        <v>130208.33333333334</v>
      </c>
      <c r="BH12" s="217">
        <f t="shared" si="18"/>
        <v>0</v>
      </c>
      <c r="BI12" s="217">
        <f t="shared" si="19"/>
        <v>130208.33333333334</v>
      </c>
      <c r="BJ12" s="100" t="e">
        <f t="shared" si="20"/>
        <v>#VALUE!</v>
      </c>
      <c r="BK12" s="100" t="e">
        <f t="shared" si="21"/>
        <v>#VALUE!</v>
      </c>
      <c r="BL12" s="100">
        <f t="shared" si="22"/>
        <v>110385.41051116561</v>
      </c>
      <c r="BM12" s="100" t="e">
        <f t="shared" si="23"/>
        <v>#VALUE!</v>
      </c>
      <c r="BN12" s="100">
        <f t="shared" si="24"/>
        <v>0</v>
      </c>
      <c r="BO12" s="100">
        <f t="shared" si="25"/>
        <v>0</v>
      </c>
      <c r="BP12" s="100" t="e">
        <f t="shared" si="26"/>
        <v>#VALUE!</v>
      </c>
      <c r="BQ12" s="100" t="e">
        <f t="shared" si="27"/>
        <v>#VALUE!</v>
      </c>
      <c r="BR12" s="100">
        <f t="shared" si="28"/>
        <v>12.6812862903226</v>
      </c>
      <c r="BS12" s="100" t="e">
        <f t="shared" si="29"/>
        <v>#VALUE!</v>
      </c>
      <c r="BT12" s="100" t="e">
        <f t="shared" si="30"/>
        <v>#VALUE!</v>
      </c>
      <c r="BU12" s="100">
        <f t="shared" si="31"/>
        <v>19822.922822167733</v>
      </c>
      <c r="BV12" s="100" t="e">
        <f t="shared" si="32"/>
        <v>#VALUE!</v>
      </c>
      <c r="BW12" s="100" t="e">
        <f t="shared" si="33"/>
        <v>#VALUE!</v>
      </c>
      <c r="BX12" s="100">
        <f t="shared" si="33"/>
        <v>1563.1634179960979</v>
      </c>
      <c r="BY12" s="100" t="e">
        <f t="shared" si="33"/>
        <v>#VALUE!</v>
      </c>
      <c r="BZ12" s="99"/>
      <c r="CA12" s="99"/>
      <c r="CB12" s="99"/>
      <c r="CC12" s="99"/>
      <c r="CD12" s="99"/>
      <c r="CE12" s="99"/>
      <c r="CF12" s="99"/>
      <c r="CG12" s="99"/>
      <c r="CH12" s="99"/>
      <c r="CI12" s="99"/>
      <c r="CJ12" s="99"/>
      <c r="CK12" s="99"/>
      <c r="CL12" s="99"/>
      <c r="CM12" s="99"/>
      <c r="CN12" s="99"/>
      <c r="CO12" s="99"/>
      <c r="CP12" s="99"/>
      <c r="CQ12" s="99"/>
      <c r="CR12" s="99"/>
      <c r="CS12" s="99"/>
      <c r="CT12" s="99"/>
      <c r="CU12" s="99"/>
      <c r="CV12" s="99"/>
      <c r="CW12" s="99"/>
      <c r="CX12" s="99"/>
      <c r="CY12" s="99"/>
      <c r="CZ12" s="99"/>
      <c r="DA12" s="99"/>
      <c r="DB12" s="99"/>
      <c r="DC12" s="99"/>
      <c r="DD12" s="99"/>
      <c r="DE12" s="99"/>
      <c r="DF12" s="99"/>
      <c r="DG12" s="99"/>
      <c r="DH12" s="99"/>
      <c r="DI12" s="99"/>
      <c r="DJ12" s="99"/>
      <c r="DK12" s="99"/>
      <c r="DL12" s="99"/>
      <c r="DM12" s="99"/>
      <c r="DN12" s="99"/>
      <c r="DO12" s="99"/>
      <c r="DP12" s="99"/>
      <c r="DQ12" s="99"/>
      <c r="DR12" s="99"/>
      <c r="DS12" s="99"/>
      <c r="DT12" s="99"/>
      <c r="DU12" s="99"/>
      <c r="DV12" s="99"/>
      <c r="DW12" s="99"/>
      <c r="DX12" s="99"/>
      <c r="DY12" s="99"/>
      <c r="DZ12" s="99"/>
      <c r="EA12" s="99"/>
      <c r="EB12" s="99"/>
      <c r="EC12" s="99"/>
      <c r="ED12" s="99"/>
      <c r="EE12" s="99"/>
      <c r="EF12" s="99"/>
      <c r="EG12" s="99"/>
      <c r="EH12" s="99"/>
      <c r="EI12" s="99"/>
      <c r="EJ12" s="99"/>
      <c r="EK12" s="99"/>
      <c r="EL12" s="99"/>
      <c r="EM12" s="99"/>
      <c r="EN12" s="99"/>
      <c r="EO12" s="99"/>
      <c r="EP12" s="99"/>
      <c r="EQ12" s="99"/>
      <c r="ER12" s="99"/>
      <c r="ES12" s="99"/>
      <c r="ET12" s="99"/>
      <c r="EU12" s="99"/>
      <c r="EV12" s="99"/>
      <c r="EW12" s="99"/>
      <c r="EX12" s="99"/>
      <c r="EY12" s="99"/>
      <c r="EZ12" s="99"/>
      <c r="FA12" s="99"/>
      <c r="FB12" s="99"/>
      <c r="FC12" s="99"/>
      <c r="FD12" s="99"/>
      <c r="FE12" s="99"/>
      <c r="FF12" s="99"/>
      <c r="FG12" s="99"/>
      <c r="FH12" s="99"/>
      <c r="FI12" s="99"/>
      <c r="FJ12" s="99"/>
      <c r="FK12" s="99"/>
      <c r="FL12" s="99"/>
      <c r="FM12" s="99"/>
      <c r="FN12" s="99"/>
      <c r="FO12" s="99"/>
      <c r="FP12" s="99"/>
      <c r="FQ12" s="99"/>
      <c r="FR12" s="99"/>
      <c r="FS12" s="99"/>
      <c r="FT12" s="99"/>
      <c r="FU12" s="99"/>
      <c r="FV12" s="99"/>
      <c r="FW12" s="99"/>
      <c r="FX12" s="99"/>
      <c r="FY12" s="99"/>
      <c r="FZ12" s="99"/>
      <c r="GA12" s="99"/>
      <c r="GB12" s="99"/>
      <c r="GC12" s="99"/>
      <c r="GD12" s="99"/>
      <c r="GE12" s="99"/>
      <c r="GF12" s="99"/>
      <c r="GG12" s="99"/>
      <c r="GH12" s="99"/>
      <c r="GI12" s="99"/>
      <c r="GJ12" s="99"/>
      <c r="GK12" s="99"/>
      <c r="GL12" s="99"/>
      <c r="GM12" s="99"/>
      <c r="GN12" s="99"/>
      <c r="GO12" s="99"/>
      <c r="GP12" s="99"/>
      <c r="GQ12" s="99"/>
      <c r="GR12" s="99"/>
      <c r="GS12" s="99"/>
      <c r="GT12" s="99"/>
      <c r="GU12" s="99"/>
      <c r="GV12" s="99"/>
      <c r="GW12" s="99"/>
      <c r="GX12" s="99"/>
      <c r="GY12" s="99"/>
      <c r="GZ12" s="99"/>
      <c r="HA12" s="99"/>
      <c r="HB12" s="99"/>
      <c r="HC12" s="99"/>
      <c r="HD12" s="99"/>
      <c r="HE12" s="99"/>
      <c r="HF12" s="99"/>
      <c r="HG12" s="99"/>
      <c r="HH12" s="99"/>
      <c r="HI12" s="99"/>
      <c r="HJ12" s="99"/>
      <c r="HK12" s="99"/>
      <c r="HL12" s="99"/>
      <c r="HM12" s="99"/>
      <c r="HN12" s="99"/>
      <c r="HO12" s="99"/>
      <c r="HP12" s="99"/>
      <c r="HQ12" s="99"/>
      <c r="HR12" s="99"/>
      <c r="HS12" s="99"/>
      <c r="HT12" s="99"/>
      <c r="HU12" s="99"/>
      <c r="HV12" s="99"/>
      <c r="HW12" s="99"/>
      <c r="HX12" s="99"/>
      <c r="HY12" s="99"/>
      <c r="HZ12" s="99"/>
      <c r="IA12" s="99"/>
      <c r="IB12" s="99"/>
      <c r="IC12" s="99"/>
      <c r="ID12" s="99"/>
      <c r="IE12" s="99"/>
      <c r="IF12" s="99"/>
      <c r="IG12" s="99"/>
      <c r="IH12" s="99"/>
      <c r="II12" s="99"/>
      <c r="IJ12" s="99"/>
      <c r="IK12" s="99"/>
      <c r="IL12" s="99"/>
      <c r="IM12" s="99"/>
      <c r="IN12" s="99"/>
      <c r="IO12" s="99"/>
      <c r="IP12" s="99"/>
      <c r="IQ12" s="99"/>
      <c r="IR12" s="99"/>
      <c r="IS12" s="99"/>
      <c r="IT12" s="99"/>
      <c r="IU12" s="99"/>
      <c r="IV12" s="99"/>
    </row>
    <row r="13" spans="1:256" ht="15">
      <c r="A13" s="203" t="s">
        <v>122</v>
      </c>
      <c r="B13" s="151" t="s">
        <v>144</v>
      </c>
      <c r="C13" s="204" t="s">
        <v>115</v>
      </c>
      <c r="D13" s="205" t="s">
        <v>116</v>
      </c>
      <c r="E13" s="204" t="s">
        <v>117</v>
      </c>
      <c r="F13" s="204" t="s">
        <v>118</v>
      </c>
      <c r="G13" s="206" t="str">
        <f t="shared" si="0"/>
        <v>No of Racks</v>
      </c>
      <c r="H13" s="206">
        <v>2</v>
      </c>
      <c r="I13" s="206">
        <v>2</v>
      </c>
      <c r="J13" s="207">
        <f t="shared" si="35"/>
        <v>0</v>
      </c>
      <c r="K13" s="206">
        <v>2</v>
      </c>
      <c r="L13" s="206"/>
      <c r="M13" s="95">
        <f>(124164+112877)/12</f>
        <v>19753.416666666668</v>
      </c>
      <c r="N13" s="83">
        <f t="shared" si="34"/>
        <v>237041</v>
      </c>
      <c r="O13" s="208" t="str">
        <f t="shared" si="1"/>
        <v>Subscribed</v>
      </c>
      <c r="P13" s="204" t="s">
        <v>108</v>
      </c>
      <c r="Q13" s="187">
        <v>1.49</v>
      </c>
      <c r="R13" s="209">
        <v>0</v>
      </c>
      <c r="S13" s="210">
        <f t="shared" si="36"/>
        <v>1.49</v>
      </c>
      <c r="T13" s="187"/>
      <c r="U13" s="187">
        <f t="shared" si="3"/>
        <v>1.49</v>
      </c>
      <c r="V13" s="187">
        <f t="shared" si="4"/>
        <v>1.49</v>
      </c>
      <c r="W13" s="202">
        <f>R13</f>
        <v>0</v>
      </c>
      <c r="X13" s="186"/>
      <c r="Y13" s="95">
        <f>115000/12</f>
        <v>9583.3333333333339</v>
      </c>
      <c r="Z13" s="211" t="s">
        <v>130</v>
      </c>
      <c r="AA13" s="206"/>
      <c r="AB13" s="205" t="s">
        <v>145</v>
      </c>
      <c r="AC13" s="212">
        <v>17</v>
      </c>
      <c r="AD13" s="218">
        <v>0</v>
      </c>
      <c r="AE13" s="214"/>
      <c r="AF13" s="206" t="str">
        <f t="shared" si="6"/>
        <v/>
      </c>
      <c r="AG13" s="206"/>
      <c r="AH13" s="206"/>
      <c r="AI13" s="206"/>
      <c r="AJ13" s="206"/>
      <c r="AK13" s="206"/>
      <c r="AL13" s="215"/>
      <c r="AM13" s="95">
        <f t="shared" si="7"/>
        <v>39506.833333333336</v>
      </c>
      <c r="AN13" s="95">
        <f t="shared" si="8"/>
        <v>0</v>
      </c>
      <c r="AO13" s="95">
        <f t="shared" si="9"/>
        <v>0</v>
      </c>
      <c r="AP13" s="95">
        <f t="shared" si="10"/>
        <v>0</v>
      </c>
      <c r="AQ13" s="96"/>
      <c r="AR13" s="97">
        <f t="shared" si="11"/>
        <v>39506.833333333336</v>
      </c>
      <c r="AS13" s="85">
        <f t="shared" si="12"/>
        <v>474082</v>
      </c>
      <c r="AT13" s="97" t="s">
        <v>119</v>
      </c>
      <c r="AU13" s="98">
        <v>121000317</v>
      </c>
      <c r="AV13" s="216">
        <v>43574</v>
      </c>
      <c r="AW13" s="98">
        <v>0.6</v>
      </c>
      <c r="AX13" s="216">
        <v>43757</v>
      </c>
      <c r="AY13" s="98" t="s">
        <v>146</v>
      </c>
      <c r="AZ13" s="99"/>
      <c r="BA13" s="96">
        <f t="shared" si="13"/>
        <v>19753.416666666668</v>
      </c>
      <c r="BB13" s="96">
        <f t="shared" si="14"/>
        <v>26514.653243847875</v>
      </c>
      <c r="BC13" s="96">
        <f t="shared" si="15"/>
        <v>26514.653243847875</v>
      </c>
      <c r="BD13" s="96">
        <f t="shared" si="15"/>
        <v>17810.062243847868</v>
      </c>
      <c r="BE13" s="96">
        <f t="shared" si="16"/>
        <v>17810.062243847868</v>
      </c>
      <c r="BF13" s="96"/>
      <c r="BG13" s="217">
        <f t="shared" si="17"/>
        <v>39506.833333333336</v>
      </c>
      <c r="BH13" s="217">
        <f t="shared" si="18"/>
        <v>0</v>
      </c>
      <c r="BI13" s="217">
        <f t="shared" si="19"/>
        <v>39506.833333333336</v>
      </c>
      <c r="BJ13" s="100">
        <f t="shared" si="20"/>
        <v>0</v>
      </c>
      <c r="BK13" s="100">
        <f t="shared" si="21"/>
        <v>12969.840590000014</v>
      </c>
      <c r="BL13" s="100">
        <f t="shared" si="22"/>
        <v>12969.840590000014</v>
      </c>
      <c r="BM13" s="100">
        <f t="shared" si="23"/>
        <v>39506.833333333336</v>
      </c>
      <c r="BN13" s="100">
        <f t="shared" si="24"/>
        <v>0</v>
      </c>
      <c r="BO13" s="100">
        <f t="shared" si="25"/>
        <v>0</v>
      </c>
      <c r="BP13" s="100">
        <f t="shared" si="26"/>
        <v>39506.833333333336</v>
      </c>
      <c r="BQ13" s="100">
        <f t="shared" si="27"/>
        <v>39506.833333333336</v>
      </c>
      <c r="BR13" s="100">
        <f t="shared" si="28"/>
        <v>1.49</v>
      </c>
      <c r="BS13" s="100">
        <f t="shared" si="29"/>
        <v>26514.653243847875</v>
      </c>
      <c r="BT13" s="100">
        <f t="shared" si="30"/>
        <v>12969.840590000014</v>
      </c>
      <c r="BU13" s="100">
        <f t="shared" si="31"/>
        <v>26536.992743333321</v>
      </c>
      <c r="BV13" s="100">
        <f t="shared" si="32"/>
        <v>39506.833333333336</v>
      </c>
      <c r="BW13" s="100">
        <f t="shared" si="33"/>
        <v>8704.5910000000094</v>
      </c>
      <c r="BX13" s="100">
        <f t="shared" si="33"/>
        <v>17810.062243847868</v>
      </c>
      <c r="BY13" s="100">
        <f t="shared" si="33"/>
        <v>26514.653243847875</v>
      </c>
      <c r="BZ13" s="99"/>
      <c r="CA13" s="99"/>
      <c r="CB13" s="99"/>
      <c r="CC13" s="99"/>
      <c r="CD13" s="99"/>
      <c r="CE13" s="99"/>
      <c r="CF13" s="99"/>
      <c r="CG13" s="99"/>
      <c r="CH13" s="99"/>
      <c r="CI13" s="99"/>
      <c r="CJ13" s="99"/>
      <c r="CK13" s="99"/>
      <c r="CL13" s="99"/>
      <c r="CM13" s="99"/>
      <c r="CN13" s="99"/>
      <c r="CO13" s="99"/>
      <c r="CP13" s="99"/>
      <c r="CQ13" s="99"/>
      <c r="CR13" s="99"/>
      <c r="CS13" s="99"/>
      <c r="CT13" s="99"/>
      <c r="CU13" s="99"/>
      <c r="CV13" s="99"/>
      <c r="CW13" s="99"/>
      <c r="CX13" s="99"/>
      <c r="CY13" s="99"/>
      <c r="CZ13" s="99"/>
      <c r="DA13" s="99"/>
      <c r="DB13" s="99"/>
      <c r="DC13" s="99"/>
      <c r="DD13" s="99"/>
      <c r="DE13" s="99"/>
      <c r="DF13" s="99"/>
      <c r="DG13" s="99"/>
      <c r="DH13" s="99"/>
      <c r="DI13" s="99"/>
      <c r="DJ13" s="99"/>
      <c r="DK13" s="99"/>
      <c r="DL13" s="99"/>
      <c r="DM13" s="99"/>
      <c r="DN13" s="99"/>
      <c r="DO13" s="99"/>
      <c r="DP13" s="99"/>
      <c r="DQ13" s="99"/>
      <c r="DR13" s="99"/>
      <c r="DS13" s="99"/>
      <c r="DT13" s="99"/>
      <c r="DU13" s="99"/>
      <c r="DV13" s="99"/>
      <c r="DW13" s="99"/>
      <c r="DX13" s="99"/>
      <c r="DY13" s="99"/>
      <c r="DZ13" s="99"/>
      <c r="EA13" s="99"/>
      <c r="EB13" s="99"/>
      <c r="EC13" s="99"/>
      <c r="ED13" s="99"/>
      <c r="EE13" s="99"/>
      <c r="EF13" s="99"/>
      <c r="EG13" s="99"/>
      <c r="EH13" s="99"/>
      <c r="EI13" s="99"/>
      <c r="EJ13" s="99"/>
      <c r="EK13" s="99"/>
      <c r="EL13" s="99"/>
      <c r="EM13" s="99"/>
      <c r="EN13" s="99"/>
      <c r="EO13" s="99"/>
      <c r="EP13" s="99"/>
      <c r="EQ13" s="99"/>
      <c r="ER13" s="99"/>
      <c r="ES13" s="99"/>
      <c r="ET13" s="99"/>
      <c r="EU13" s="99"/>
      <c r="EV13" s="99"/>
      <c r="EW13" s="99"/>
      <c r="EX13" s="99"/>
      <c r="EY13" s="99"/>
      <c r="EZ13" s="99"/>
      <c r="FA13" s="99"/>
      <c r="FB13" s="99"/>
      <c r="FC13" s="99"/>
      <c r="FD13" s="99"/>
      <c r="FE13" s="99"/>
      <c r="FF13" s="99"/>
      <c r="FG13" s="99"/>
      <c r="FH13" s="99"/>
      <c r="FI13" s="99"/>
      <c r="FJ13" s="99"/>
      <c r="FK13" s="99"/>
      <c r="FL13" s="99"/>
      <c r="FM13" s="99"/>
      <c r="FN13" s="99"/>
      <c r="FO13" s="99"/>
      <c r="FP13" s="99"/>
      <c r="FQ13" s="99"/>
      <c r="FR13" s="99"/>
      <c r="FS13" s="99"/>
      <c r="FT13" s="99"/>
      <c r="FU13" s="99"/>
      <c r="FV13" s="99"/>
      <c r="FW13" s="99"/>
      <c r="FX13" s="99"/>
      <c r="FY13" s="99"/>
      <c r="FZ13" s="99"/>
      <c r="GA13" s="99"/>
      <c r="GB13" s="99"/>
      <c r="GC13" s="99"/>
      <c r="GD13" s="99"/>
      <c r="GE13" s="99"/>
      <c r="GF13" s="99"/>
      <c r="GG13" s="99"/>
      <c r="GH13" s="99"/>
      <c r="GI13" s="99"/>
      <c r="GJ13" s="99"/>
      <c r="GK13" s="99"/>
      <c r="GL13" s="99"/>
      <c r="GM13" s="99"/>
      <c r="GN13" s="99"/>
      <c r="GO13" s="99"/>
      <c r="GP13" s="99"/>
      <c r="GQ13" s="99"/>
      <c r="GR13" s="99"/>
      <c r="GS13" s="99"/>
      <c r="GT13" s="99"/>
      <c r="GU13" s="99"/>
      <c r="GV13" s="99"/>
      <c r="GW13" s="99"/>
      <c r="GX13" s="99"/>
      <c r="GY13" s="99"/>
      <c r="GZ13" s="99"/>
      <c r="HA13" s="99"/>
      <c r="HB13" s="99"/>
      <c r="HC13" s="99"/>
      <c r="HD13" s="99"/>
      <c r="HE13" s="99"/>
      <c r="HF13" s="99"/>
      <c r="HG13" s="99"/>
      <c r="HH13" s="99"/>
      <c r="HI13" s="99"/>
      <c r="HJ13" s="99"/>
      <c r="HK13" s="99"/>
      <c r="HL13" s="99"/>
      <c r="HM13" s="99"/>
      <c r="HN13" s="99"/>
      <c r="HO13" s="99"/>
      <c r="HP13" s="99"/>
      <c r="HQ13" s="99"/>
      <c r="HR13" s="99"/>
      <c r="HS13" s="99"/>
      <c r="HT13" s="99"/>
      <c r="HU13" s="99"/>
      <c r="HV13" s="99"/>
      <c r="HW13" s="99"/>
      <c r="HX13" s="99"/>
      <c r="HY13" s="99"/>
      <c r="HZ13" s="99"/>
      <c r="IA13" s="99"/>
      <c r="IB13" s="99"/>
      <c r="IC13" s="99"/>
      <c r="ID13" s="99"/>
      <c r="IE13" s="99"/>
      <c r="IF13" s="99"/>
      <c r="IG13" s="99"/>
      <c r="IH13" s="99"/>
      <c r="II13" s="99"/>
      <c r="IJ13" s="99"/>
      <c r="IK13" s="99"/>
      <c r="IL13" s="99"/>
      <c r="IM13" s="99"/>
      <c r="IN13" s="99"/>
      <c r="IO13" s="99"/>
      <c r="IP13" s="99"/>
      <c r="IQ13" s="99"/>
      <c r="IR13" s="99"/>
      <c r="IS13" s="99"/>
      <c r="IT13" s="99"/>
      <c r="IU13" s="99"/>
      <c r="IV13" s="99"/>
    </row>
    <row r="14" spans="1:256" ht="65.25">
      <c r="A14" s="151" t="s">
        <v>147</v>
      </c>
      <c r="B14" s="219" t="s">
        <v>148</v>
      </c>
      <c r="C14" s="151" t="s">
        <v>124</v>
      </c>
      <c r="D14" s="179" t="s">
        <v>116</v>
      </c>
      <c r="E14" s="151" t="s">
        <v>117</v>
      </c>
      <c r="F14" s="151" t="s">
        <v>118</v>
      </c>
      <c r="G14" s="152" t="str">
        <f t="shared" si="0"/>
        <v>No of Racks</v>
      </c>
      <c r="H14" s="151">
        <v>3</v>
      </c>
      <c r="I14" s="151">
        <v>3</v>
      </c>
      <c r="J14" s="180">
        <f t="shared" si="35"/>
        <v>0</v>
      </c>
      <c r="K14" s="151">
        <v>2</v>
      </c>
      <c r="L14" s="151"/>
      <c r="M14" s="181">
        <f>(485000+675000)/12/2</f>
        <v>48333.333333333336</v>
      </c>
      <c r="N14" s="182">
        <f t="shared" si="34"/>
        <v>580000</v>
      </c>
      <c r="O14" s="183" t="str">
        <f t="shared" si="1"/>
        <v>Rated</v>
      </c>
      <c r="P14" s="151" t="s">
        <v>125</v>
      </c>
      <c r="Q14" s="151">
        <v>12</v>
      </c>
      <c r="R14" s="220">
        <v>3.8</v>
      </c>
      <c r="S14" s="185">
        <f t="shared" si="36"/>
        <v>8.1999999999999993</v>
      </c>
      <c r="T14" s="186"/>
      <c r="U14" s="186">
        <f t="shared" ca="1" si="3"/>
        <v>4.0999999999999996</v>
      </c>
      <c r="V14" s="186">
        <f t="shared" ca="1" si="4"/>
        <v>6</v>
      </c>
      <c r="W14" s="220">
        <v>3.8</v>
      </c>
      <c r="X14" s="186"/>
      <c r="Y14" s="83"/>
      <c r="Z14" s="189" t="str">
        <f t="shared" ref="Z14:Z24" si="37">D14</f>
        <v>Bundled</v>
      </c>
      <c r="AA14" s="186"/>
      <c r="AB14" s="186"/>
      <c r="AC14" s="190"/>
      <c r="AD14" s="199"/>
      <c r="AE14" s="120"/>
      <c r="AF14" s="152" t="str">
        <f t="shared" si="6"/>
        <v/>
      </c>
      <c r="AG14" s="186"/>
      <c r="AH14" s="186"/>
      <c r="AI14" s="186"/>
      <c r="AJ14" s="186"/>
      <c r="AK14" s="186"/>
      <c r="AL14" s="181"/>
      <c r="AM14" s="83">
        <f>M14</f>
        <v>48333.333333333336</v>
      </c>
      <c r="AN14" s="83">
        <f t="shared" si="8"/>
        <v>0</v>
      </c>
      <c r="AO14" s="83">
        <f t="shared" si="9"/>
        <v>0</v>
      </c>
      <c r="AP14" s="83">
        <f t="shared" si="10"/>
        <v>0</v>
      </c>
      <c r="AQ14" s="84">
        <f>1200000/12</f>
        <v>100000</v>
      </c>
      <c r="AR14" s="85">
        <f t="shared" si="11"/>
        <v>148333.33333333334</v>
      </c>
      <c r="AS14" s="86">
        <f t="shared" si="12"/>
        <v>1780000</v>
      </c>
      <c r="AT14" s="85" t="s">
        <v>119</v>
      </c>
      <c r="AU14" s="69" t="s">
        <v>149</v>
      </c>
      <c r="AV14" s="191">
        <v>42309</v>
      </c>
      <c r="AW14" s="69">
        <v>1</v>
      </c>
      <c r="AX14" s="191">
        <v>42675</v>
      </c>
      <c r="AY14" s="68" t="s">
        <v>150</v>
      </c>
      <c r="AZ14" s="323"/>
      <c r="BA14" s="84">
        <f t="shared" si="13"/>
        <v>49444.444444444445</v>
      </c>
      <c r="BB14" s="84">
        <f t="shared" ca="1" si="14"/>
        <v>0</v>
      </c>
      <c r="BC14" s="84">
        <f t="shared" ca="1" si="15"/>
        <v>1454.5679555555555</v>
      </c>
      <c r="BD14" s="84">
        <f t="shared" ca="1" si="15"/>
        <v>-5667.5502444444437</v>
      </c>
      <c r="BE14" s="84">
        <f t="shared" ca="1" si="16"/>
        <v>-2367.0564444444449</v>
      </c>
      <c r="BF14" s="84"/>
      <c r="BG14" s="93">
        <f t="shared" si="17"/>
        <v>48333.333333333336</v>
      </c>
      <c r="BH14" s="93">
        <f t="shared" ca="1" si="18"/>
        <v>0</v>
      </c>
      <c r="BI14" s="93">
        <f t="shared" ca="1" si="19"/>
        <v>48333.333333333336</v>
      </c>
      <c r="BJ14" s="91">
        <f t="shared" si="20"/>
        <v>33077.445800000038</v>
      </c>
      <c r="BK14" s="91">
        <f t="shared" ca="1" si="21"/>
        <v>82338.6348</v>
      </c>
      <c r="BL14" s="91">
        <f t="shared" ca="1" si="22"/>
        <v>62535.672000000006</v>
      </c>
      <c r="BM14" s="91">
        <f t="shared" ca="1" si="23"/>
        <v>8727.4077333333335</v>
      </c>
      <c r="BN14" s="91">
        <f t="shared" ca="1" si="24"/>
        <v>36000</v>
      </c>
      <c r="BO14" s="91">
        <f t="shared" ca="1" si="25"/>
        <v>-36000</v>
      </c>
      <c r="BP14" s="91">
        <f t="shared" ca="1" si="26"/>
        <v>8727.4077333333335</v>
      </c>
      <c r="BQ14" s="91">
        <f t="shared" ca="1" si="27"/>
        <v>-27272.592266666667</v>
      </c>
      <c r="BR14" s="91">
        <f t="shared" ca="1" si="28"/>
        <v>6</v>
      </c>
      <c r="BS14" s="91">
        <f t="shared" ca="1" si="29"/>
        <v>1454.5679555555555</v>
      </c>
      <c r="BT14" s="91">
        <f t="shared" ca="1" si="30"/>
        <v>22929.746400000004</v>
      </c>
      <c r="BU14" s="91">
        <f t="shared" ca="1" si="31"/>
        <v>-50202.338666666663</v>
      </c>
      <c r="BV14" s="91">
        <f t="shared" ca="1" si="32"/>
        <v>-27272.592266666659</v>
      </c>
      <c r="BW14" s="91">
        <f t="shared" ca="1" si="33"/>
        <v>3821.6244000000006</v>
      </c>
      <c r="BX14" s="91">
        <f t="shared" ca="1" si="33"/>
        <v>-8367.0564444444444</v>
      </c>
      <c r="BY14" s="91">
        <f t="shared" ca="1" si="33"/>
        <v>-4545.4320444444429</v>
      </c>
      <c r="BZ14" s="323"/>
      <c r="CA14" s="323"/>
      <c r="CB14" s="323"/>
      <c r="CC14" s="323"/>
      <c r="CD14" s="323"/>
      <c r="CE14" s="323"/>
      <c r="CF14" s="323"/>
      <c r="CG14" s="323"/>
      <c r="CH14" s="323"/>
      <c r="CI14" s="323"/>
      <c r="CJ14" s="323"/>
      <c r="CK14" s="323"/>
      <c r="CL14" s="323"/>
      <c r="CM14" s="323"/>
      <c r="CN14" s="323"/>
      <c r="CO14" s="323"/>
      <c r="CP14" s="323"/>
      <c r="CQ14" s="323"/>
      <c r="CR14" s="323"/>
      <c r="CS14" s="323"/>
      <c r="CT14" s="323"/>
      <c r="CU14" s="323"/>
      <c r="CV14" s="323"/>
      <c r="CW14" s="323"/>
      <c r="CX14" s="323"/>
      <c r="CY14" s="323"/>
      <c r="CZ14" s="323"/>
      <c r="DA14" s="323"/>
      <c r="DB14" s="323"/>
      <c r="DC14" s="323"/>
      <c r="DD14" s="323"/>
      <c r="DE14" s="323"/>
      <c r="DF14" s="323"/>
      <c r="DG14" s="323"/>
      <c r="DH14" s="323"/>
      <c r="DI14" s="323"/>
      <c r="DJ14" s="323"/>
      <c r="DK14" s="323"/>
      <c r="DL14" s="323"/>
      <c r="DM14" s="323"/>
      <c r="DN14" s="323"/>
      <c r="DO14" s="323"/>
      <c r="DP14" s="323"/>
      <c r="DQ14" s="323"/>
      <c r="DR14" s="323"/>
      <c r="DS14" s="323"/>
      <c r="DT14" s="323"/>
      <c r="DU14" s="323"/>
      <c r="DV14" s="323"/>
      <c r="DW14" s="323"/>
      <c r="DX14" s="323"/>
      <c r="DY14" s="323"/>
      <c r="DZ14" s="323"/>
      <c r="EA14" s="323"/>
      <c r="EB14" s="323"/>
      <c r="EC14" s="323"/>
      <c r="ED14" s="323"/>
      <c r="EE14" s="323"/>
      <c r="EF14" s="323"/>
      <c r="EG14" s="323"/>
      <c r="EH14" s="323"/>
      <c r="EI14" s="323"/>
      <c r="EJ14" s="323"/>
      <c r="EK14" s="323"/>
      <c r="EL14" s="323"/>
      <c r="EM14" s="323"/>
      <c r="EN14" s="323"/>
      <c r="EO14" s="323"/>
      <c r="EP14" s="323"/>
      <c r="EQ14" s="323"/>
      <c r="ER14" s="323"/>
      <c r="ES14" s="323"/>
      <c r="ET14" s="323"/>
      <c r="EU14" s="323"/>
      <c r="EV14" s="323"/>
      <c r="EW14" s="323"/>
      <c r="EX14" s="323"/>
      <c r="EY14" s="323"/>
      <c r="EZ14" s="323"/>
      <c r="FA14" s="323"/>
      <c r="FB14" s="323"/>
      <c r="FC14" s="323"/>
      <c r="FD14" s="323"/>
      <c r="FE14" s="323"/>
      <c r="FF14" s="323"/>
      <c r="FG14" s="323"/>
      <c r="FH14" s="323"/>
      <c r="FI14" s="323"/>
      <c r="FJ14" s="323"/>
      <c r="FK14" s="323"/>
      <c r="FL14" s="323"/>
      <c r="FM14" s="323"/>
      <c r="FN14" s="323"/>
      <c r="FO14" s="323"/>
      <c r="FP14" s="323"/>
      <c r="FQ14" s="323"/>
      <c r="FR14" s="323"/>
      <c r="FS14" s="323"/>
      <c r="FT14" s="323"/>
      <c r="FU14" s="323"/>
      <c r="FV14" s="323"/>
      <c r="FW14" s="323"/>
      <c r="FX14" s="323"/>
      <c r="FY14" s="323"/>
      <c r="FZ14" s="323"/>
      <c r="GA14" s="323"/>
      <c r="GB14" s="323"/>
      <c r="GC14" s="323"/>
      <c r="GD14" s="323"/>
      <c r="GE14" s="323"/>
      <c r="GF14" s="323"/>
      <c r="GG14" s="323"/>
      <c r="GH14" s="323"/>
      <c r="GI14" s="323"/>
      <c r="GJ14" s="323"/>
      <c r="GK14" s="323"/>
      <c r="GL14" s="323"/>
      <c r="GM14" s="323"/>
      <c r="GN14" s="323"/>
      <c r="GO14" s="323"/>
      <c r="GP14" s="323"/>
      <c r="GQ14" s="323"/>
      <c r="GR14" s="323"/>
      <c r="GS14" s="323"/>
      <c r="GT14" s="323"/>
      <c r="GU14" s="323"/>
      <c r="GV14" s="323"/>
      <c r="GW14" s="323"/>
      <c r="GX14" s="323"/>
      <c r="GY14" s="323"/>
      <c r="GZ14" s="323"/>
      <c r="HA14" s="323"/>
      <c r="HB14" s="323"/>
      <c r="HC14" s="323"/>
      <c r="HD14" s="323"/>
      <c r="HE14" s="323"/>
      <c r="HF14" s="323"/>
      <c r="HG14" s="323"/>
      <c r="HH14" s="323"/>
      <c r="HI14" s="323"/>
      <c r="HJ14" s="323"/>
      <c r="HK14" s="323"/>
      <c r="HL14" s="323"/>
      <c r="HM14" s="323"/>
      <c r="HN14" s="323"/>
      <c r="HO14" s="323"/>
      <c r="HP14" s="323"/>
      <c r="HQ14" s="323"/>
      <c r="HR14" s="323"/>
      <c r="HS14" s="323"/>
      <c r="HT14" s="323"/>
      <c r="HU14" s="323"/>
      <c r="HV14" s="323"/>
      <c r="HW14" s="323"/>
      <c r="HX14" s="323"/>
      <c r="HY14" s="323"/>
      <c r="HZ14" s="323"/>
      <c r="IA14" s="323"/>
      <c r="IB14" s="323"/>
      <c r="IC14" s="323"/>
      <c r="ID14" s="323"/>
      <c r="IE14" s="323"/>
      <c r="IF14" s="323"/>
      <c r="IG14" s="323"/>
      <c r="IH14" s="323"/>
      <c r="II14" s="323"/>
      <c r="IJ14" s="323"/>
      <c r="IK14" s="323"/>
      <c r="IL14" s="323"/>
      <c r="IM14" s="323"/>
      <c r="IN14" s="323"/>
      <c r="IO14" s="323"/>
      <c r="IP14" s="323"/>
      <c r="IQ14" s="323"/>
      <c r="IR14" s="323"/>
      <c r="IS14" s="323"/>
      <c r="IT14" s="323"/>
      <c r="IU14" s="323"/>
      <c r="IV14" s="323"/>
    </row>
    <row r="15" spans="1:256" ht="21.75">
      <c r="A15" s="151" t="s">
        <v>151</v>
      </c>
      <c r="B15" s="219" t="s">
        <v>148</v>
      </c>
      <c r="C15" s="151" t="s">
        <v>124</v>
      </c>
      <c r="D15" s="179" t="s">
        <v>116</v>
      </c>
      <c r="E15" s="151" t="s">
        <v>117</v>
      </c>
      <c r="F15" s="151" t="s">
        <v>118</v>
      </c>
      <c r="G15" s="152" t="str">
        <f t="shared" si="0"/>
        <v>No of Racks</v>
      </c>
      <c r="H15" s="151">
        <v>1</v>
      </c>
      <c r="I15" s="151">
        <v>1</v>
      </c>
      <c r="J15" s="180">
        <f t="shared" si="35"/>
        <v>0</v>
      </c>
      <c r="K15" s="151">
        <v>1</v>
      </c>
      <c r="L15" s="151"/>
      <c r="M15" s="181">
        <f>920000/12</f>
        <v>76666.666666666672</v>
      </c>
      <c r="N15" s="182">
        <f t="shared" si="34"/>
        <v>920000</v>
      </c>
      <c r="O15" s="183" t="str">
        <f t="shared" si="1"/>
        <v>Rated</v>
      </c>
      <c r="P15" s="151" t="s">
        <v>125</v>
      </c>
      <c r="Q15" s="151">
        <v>6</v>
      </c>
      <c r="R15" s="220">
        <v>5</v>
      </c>
      <c r="S15" s="185">
        <f t="shared" si="36"/>
        <v>1</v>
      </c>
      <c r="T15" s="186"/>
      <c r="U15" s="186">
        <f t="shared" ca="1" si="3"/>
        <v>0.5</v>
      </c>
      <c r="V15" s="186">
        <f t="shared" ca="1" si="4"/>
        <v>3</v>
      </c>
      <c r="W15" s="220">
        <v>5</v>
      </c>
      <c r="X15" s="186"/>
      <c r="Y15" s="83"/>
      <c r="Z15" s="189" t="str">
        <f t="shared" si="37"/>
        <v>Bundled</v>
      </c>
      <c r="AA15" s="186"/>
      <c r="AB15" s="186"/>
      <c r="AC15" s="190"/>
      <c r="AD15" s="199"/>
      <c r="AE15" s="120"/>
      <c r="AF15" s="152" t="str">
        <f t="shared" si="6"/>
        <v/>
      </c>
      <c r="AG15" s="186"/>
      <c r="AH15" s="186"/>
      <c r="AI15" s="186"/>
      <c r="AJ15" s="186"/>
      <c r="AK15" s="186"/>
      <c r="AL15" s="181"/>
      <c r="AM15" s="83">
        <f>M15</f>
        <v>76666.666666666672</v>
      </c>
      <c r="AN15" s="83">
        <f t="shared" si="8"/>
        <v>0</v>
      </c>
      <c r="AO15" s="83">
        <f t="shared" si="9"/>
        <v>0</v>
      </c>
      <c r="AP15" s="83">
        <f t="shared" si="10"/>
        <v>0</v>
      </c>
      <c r="AQ15" s="84">
        <f>400000/12</f>
        <v>33333.333333333336</v>
      </c>
      <c r="AR15" s="85">
        <f t="shared" si="11"/>
        <v>110000</v>
      </c>
      <c r="AS15" s="86">
        <f t="shared" si="12"/>
        <v>1320000</v>
      </c>
      <c r="AT15" s="85" t="s">
        <v>119</v>
      </c>
      <c r="AU15" s="221" t="s">
        <v>152</v>
      </c>
      <c r="AV15" s="191">
        <v>43635</v>
      </c>
      <c r="AW15" s="69">
        <v>1</v>
      </c>
      <c r="AX15" s="191">
        <v>43971</v>
      </c>
      <c r="AY15" s="69"/>
      <c r="AZ15" s="323"/>
      <c r="BA15" s="84">
        <f t="shared" si="13"/>
        <v>110000</v>
      </c>
      <c r="BB15" s="84">
        <f t="shared" ca="1" si="14"/>
        <v>0</v>
      </c>
      <c r="BC15" s="84">
        <f t="shared" ca="1" si="15"/>
        <v>8184.5355555555552</v>
      </c>
      <c r="BD15" s="84">
        <f t="shared" ca="1" si="15"/>
        <v>6447.4335555555544</v>
      </c>
      <c r="BE15" s="84">
        <f t="shared" ca="1" si="16"/>
        <v>15132.943555555556</v>
      </c>
      <c r="BF15" s="84"/>
      <c r="BG15" s="93">
        <f t="shared" si="17"/>
        <v>76666.666666666672</v>
      </c>
      <c r="BH15" s="93">
        <f t="shared" ca="1" si="18"/>
        <v>45398.830666666669</v>
      </c>
      <c r="BI15" s="93">
        <f t="shared" ca="1" si="19"/>
        <v>31267.836000000003</v>
      </c>
      <c r="BJ15" s="91">
        <f t="shared" si="20"/>
        <v>43522.955000000045</v>
      </c>
      <c r="BK15" s="91">
        <f t="shared" ca="1" si="21"/>
        <v>57324.366000000009</v>
      </c>
      <c r="BL15" s="91">
        <f t="shared" ca="1" si="22"/>
        <v>31267.836000000003</v>
      </c>
      <c r="BM15" s="91">
        <f t="shared" ca="1" si="23"/>
        <v>24553.606666666667</v>
      </c>
      <c r="BN15" s="91">
        <f t="shared" ca="1" si="24"/>
        <v>18000</v>
      </c>
      <c r="BO15" s="91">
        <f t="shared" ca="1" si="25"/>
        <v>27398.830666666669</v>
      </c>
      <c r="BP15" s="91">
        <f t="shared" ca="1" si="26"/>
        <v>-20845.224000000002</v>
      </c>
      <c r="BQ15" s="91">
        <f t="shared" ca="1" si="27"/>
        <v>6553.6066666666666</v>
      </c>
      <c r="BR15" s="91">
        <f t="shared" ca="1" si="28"/>
        <v>3</v>
      </c>
      <c r="BS15" s="91">
        <f t="shared" ca="1" si="29"/>
        <v>8184.5355555555552</v>
      </c>
      <c r="BT15" s="91">
        <f t="shared" ca="1" si="30"/>
        <v>-20845.224000000002</v>
      </c>
      <c r="BU15" s="91">
        <f t="shared" ca="1" si="31"/>
        <v>27398.830666666669</v>
      </c>
      <c r="BV15" s="91">
        <f t="shared" ca="1" si="32"/>
        <v>6553.6066666666666</v>
      </c>
      <c r="BW15" s="91">
        <f t="shared" ca="1" si="33"/>
        <v>-6948.4080000000004</v>
      </c>
      <c r="BX15" s="91">
        <f t="shared" ca="1" si="33"/>
        <v>9132.9435555555556</v>
      </c>
      <c r="BY15" s="91">
        <f t="shared" ca="1" si="33"/>
        <v>2184.5355555555557</v>
      </c>
      <c r="BZ15" s="323"/>
      <c r="CA15" s="323"/>
      <c r="CB15" s="323"/>
      <c r="CC15" s="323"/>
      <c r="CD15" s="323"/>
      <c r="CE15" s="323"/>
      <c r="CF15" s="323"/>
      <c r="CG15" s="323"/>
      <c r="CH15" s="323"/>
      <c r="CI15" s="323"/>
      <c r="CJ15" s="323"/>
      <c r="CK15" s="323"/>
      <c r="CL15" s="323"/>
      <c r="CM15" s="323"/>
      <c r="CN15" s="323"/>
      <c r="CO15" s="323"/>
      <c r="CP15" s="323"/>
      <c r="CQ15" s="323"/>
      <c r="CR15" s="323"/>
      <c r="CS15" s="323"/>
      <c r="CT15" s="323"/>
      <c r="CU15" s="323"/>
      <c r="CV15" s="323"/>
      <c r="CW15" s="323"/>
      <c r="CX15" s="323"/>
      <c r="CY15" s="323"/>
      <c r="CZ15" s="323"/>
      <c r="DA15" s="323"/>
      <c r="DB15" s="323"/>
      <c r="DC15" s="323"/>
      <c r="DD15" s="323"/>
      <c r="DE15" s="323"/>
      <c r="DF15" s="323"/>
      <c r="DG15" s="323"/>
      <c r="DH15" s="323"/>
      <c r="DI15" s="323"/>
      <c r="DJ15" s="323"/>
      <c r="DK15" s="323"/>
      <c r="DL15" s="323"/>
      <c r="DM15" s="323"/>
      <c r="DN15" s="323"/>
      <c r="DO15" s="323"/>
      <c r="DP15" s="323"/>
      <c r="DQ15" s="323"/>
      <c r="DR15" s="323"/>
      <c r="DS15" s="323"/>
      <c r="DT15" s="323"/>
      <c r="DU15" s="323"/>
      <c r="DV15" s="323"/>
      <c r="DW15" s="323"/>
      <c r="DX15" s="323"/>
      <c r="DY15" s="323"/>
      <c r="DZ15" s="323"/>
      <c r="EA15" s="323"/>
      <c r="EB15" s="323"/>
      <c r="EC15" s="323"/>
      <c r="ED15" s="323"/>
      <c r="EE15" s="323"/>
      <c r="EF15" s="323"/>
      <c r="EG15" s="323"/>
      <c r="EH15" s="323"/>
      <c r="EI15" s="323"/>
      <c r="EJ15" s="323"/>
      <c r="EK15" s="323"/>
      <c r="EL15" s="323"/>
      <c r="EM15" s="323"/>
      <c r="EN15" s="323"/>
      <c r="EO15" s="323"/>
      <c r="EP15" s="323"/>
      <c r="EQ15" s="323"/>
      <c r="ER15" s="323"/>
      <c r="ES15" s="323"/>
      <c r="ET15" s="323"/>
      <c r="EU15" s="323"/>
      <c r="EV15" s="323"/>
      <c r="EW15" s="323"/>
      <c r="EX15" s="323"/>
      <c r="EY15" s="323"/>
      <c r="EZ15" s="323"/>
      <c r="FA15" s="323"/>
      <c r="FB15" s="323"/>
      <c r="FC15" s="323"/>
      <c r="FD15" s="323"/>
      <c r="FE15" s="323"/>
      <c r="FF15" s="323"/>
      <c r="FG15" s="323"/>
      <c r="FH15" s="323"/>
      <c r="FI15" s="323"/>
      <c r="FJ15" s="323"/>
      <c r="FK15" s="323"/>
      <c r="FL15" s="323"/>
      <c r="FM15" s="323"/>
      <c r="FN15" s="323"/>
      <c r="FO15" s="323"/>
      <c r="FP15" s="323"/>
      <c r="FQ15" s="323"/>
      <c r="FR15" s="323"/>
      <c r="FS15" s="323"/>
      <c r="FT15" s="323"/>
      <c r="FU15" s="323"/>
      <c r="FV15" s="323"/>
      <c r="FW15" s="323"/>
      <c r="FX15" s="323"/>
      <c r="FY15" s="323"/>
      <c r="FZ15" s="323"/>
      <c r="GA15" s="323"/>
      <c r="GB15" s="323"/>
      <c r="GC15" s="323"/>
      <c r="GD15" s="323"/>
      <c r="GE15" s="323"/>
      <c r="GF15" s="323"/>
      <c r="GG15" s="323"/>
      <c r="GH15" s="323"/>
      <c r="GI15" s="323"/>
      <c r="GJ15" s="323"/>
      <c r="GK15" s="323"/>
      <c r="GL15" s="323"/>
      <c r="GM15" s="323"/>
      <c r="GN15" s="323"/>
      <c r="GO15" s="323"/>
      <c r="GP15" s="323"/>
      <c r="GQ15" s="323"/>
      <c r="GR15" s="323"/>
      <c r="GS15" s="323"/>
      <c r="GT15" s="323"/>
      <c r="GU15" s="323"/>
      <c r="GV15" s="323"/>
      <c r="GW15" s="323"/>
      <c r="GX15" s="323"/>
      <c r="GY15" s="323"/>
      <c r="GZ15" s="323"/>
      <c r="HA15" s="323"/>
      <c r="HB15" s="323"/>
      <c r="HC15" s="323"/>
      <c r="HD15" s="323"/>
      <c r="HE15" s="323"/>
      <c r="HF15" s="323"/>
      <c r="HG15" s="323"/>
      <c r="HH15" s="323"/>
      <c r="HI15" s="323"/>
      <c r="HJ15" s="323"/>
      <c r="HK15" s="323"/>
      <c r="HL15" s="323"/>
      <c r="HM15" s="323"/>
      <c r="HN15" s="323"/>
      <c r="HO15" s="323"/>
      <c r="HP15" s="323"/>
      <c r="HQ15" s="323"/>
      <c r="HR15" s="323"/>
      <c r="HS15" s="323"/>
      <c r="HT15" s="323"/>
      <c r="HU15" s="323"/>
      <c r="HV15" s="323"/>
      <c r="HW15" s="323"/>
      <c r="HX15" s="323"/>
      <c r="HY15" s="323"/>
      <c r="HZ15" s="323"/>
      <c r="IA15" s="323"/>
      <c r="IB15" s="323"/>
      <c r="IC15" s="323"/>
      <c r="ID15" s="323"/>
      <c r="IE15" s="323"/>
      <c r="IF15" s="323"/>
      <c r="IG15" s="323"/>
      <c r="IH15" s="323"/>
      <c r="II15" s="323"/>
      <c r="IJ15" s="323"/>
      <c r="IK15" s="323"/>
      <c r="IL15" s="323"/>
      <c r="IM15" s="323"/>
      <c r="IN15" s="323"/>
      <c r="IO15" s="323"/>
      <c r="IP15" s="323"/>
      <c r="IQ15" s="323"/>
      <c r="IR15" s="323"/>
      <c r="IS15" s="323"/>
      <c r="IT15" s="323"/>
      <c r="IU15" s="323"/>
      <c r="IV15" s="323"/>
    </row>
    <row r="16" spans="1:256" ht="21.75">
      <c r="A16" s="151" t="s">
        <v>147</v>
      </c>
      <c r="B16" s="200" t="s">
        <v>153</v>
      </c>
      <c r="C16" s="151" t="s">
        <v>124</v>
      </c>
      <c r="D16" s="179" t="s">
        <v>116</v>
      </c>
      <c r="E16" s="151" t="s">
        <v>117</v>
      </c>
      <c r="F16" s="151" t="s">
        <v>118</v>
      </c>
      <c r="G16" s="152" t="str">
        <f t="shared" si="0"/>
        <v>No of Racks</v>
      </c>
      <c r="H16" s="151">
        <v>1</v>
      </c>
      <c r="I16" s="151">
        <v>1</v>
      </c>
      <c r="J16" s="180">
        <f t="shared" si="35"/>
        <v>0</v>
      </c>
      <c r="K16" s="151">
        <v>1</v>
      </c>
      <c r="L16" s="151"/>
      <c r="M16" s="181"/>
      <c r="N16" s="182">
        <f t="shared" si="34"/>
        <v>0</v>
      </c>
      <c r="O16" s="183" t="str">
        <f t="shared" si="1"/>
        <v>Rated</v>
      </c>
      <c r="P16" s="151" t="s">
        <v>125</v>
      </c>
      <c r="Q16" s="151">
        <v>3</v>
      </c>
      <c r="R16" s="220">
        <v>2</v>
      </c>
      <c r="S16" s="185">
        <f t="shared" si="36"/>
        <v>1</v>
      </c>
      <c r="T16" s="186"/>
      <c r="U16" s="186">
        <f t="shared" ca="1" si="3"/>
        <v>0.5</v>
      </c>
      <c r="V16" s="186">
        <f t="shared" ca="1" si="4"/>
        <v>1.5</v>
      </c>
      <c r="W16" s="220">
        <v>2</v>
      </c>
      <c r="X16" s="186"/>
      <c r="Y16" s="83"/>
      <c r="Z16" s="189" t="str">
        <f t="shared" si="37"/>
        <v>Bundled</v>
      </c>
      <c r="AA16" s="186"/>
      <c r="AB16" s="186"/>
      <c r="AC16" s="190"/>
      <c r="AD16" s="199"/>
      <c r="AE16" s="120"/>
      <c r="AF16" s="152" t="str">
        <f t="shared" si="6"/>
        <v/>
      </c>
      <c r="AG16" s="186"/>
      <c r="AH16" s="186"/>
      <c r="AI16" s="186"/>
      <c r="AJ16" s="186"/>
      <c r="AK16" s="186"/>
      <c r="AL16" s="181"/>
      <c r="AM16" s="83">
        <f>M16*K16</f>
        <v>0</v>
      </c>
      <c r="AN16" s="83">
        <f t="shared" si="8"/>
        <v>0</v>
      </c>
      <c r="AO16" s="83">
        <f t="shared" si="9"/>
        <v>0</v>
      </c>
      <c r="AP16" s="83">
        <f t="shared" si="10"/>
        <v>0</v>
      </c>
      <c r="AQ16" s="84">
        <f>(100000+100000+70000+10000)/12</f>
        <v>23333.333333333332</v>
      </c>
      <c r="AR16" s="85">
        <f t="shared" si="11"/>
        <v>23333.333333333332</v>
      </c>
      <c r="AS16" s="86">
        <f t="shared" si="12"/>
        <v>280000</v>
      </c>
      <c r="AT16" s="85" t="s">
        <v>119</v>
      </c>
      <c r="AU16" s="69"/>
      <c r="AV16" s="69"/>
      <c r="AW16" s="69"/>
      <c r="AX16" s="69"/>
      <c r="AY16" s="101" t="s">
        <v>154</v>
      </c>
      <c r="AZ16" s="323"/>
      <c r="BA16" s="84">
        <f t="shared" si="13"/>
        <v>23333.333333333332</v>
      </c>
      <c r="BB16" s="84">
        <f t="shared" ca="1" si="14"/>
        <v>0</v>
      </c>
      <c r="BC16" s="84">
        <f t="shared" ca="1" si="15"/>
        <v>-13896.816000000001</v>
      </c>
      <c r="BD16" s="84">
        <f t="shared" ca="1" si="15"/>
        <v>-17371.02</v>
      </c>
      <c r="BE16" s="84">
        <f t="shared" ca="1" si="16"/>
        <v>-10422.612000000001</v>
      </c>
      <c r="BF16" s="84"/>
      <c r="BG16" s="90">
        <f t="shared" si="17"/>
        <v>0</v>
      </c>
      <c r="BH16" s="90">
        <f t="shared" ca="1" si="18"/>
        <v>0</v>
      </c>
      <c r="BI16" s="90">
        <f t="shared" ca="1" si="19"/>
        <v>0</v>
      </c>
      <c r="BJ16" s="91">
        <f t="shared" si="20"/>
        <v>17409.182000000019</v>
      </c>
      <c r="BK16" s="91">
        <f t="shared" ca="1" si="21"/>
        <v>26056.530000000002</v>
      </c>
      <c r="BL16" s="91">
        <f t="shared" ca="1" si="22"/>
        <v>15633.918000000001</v>
      </c>
      <c r="BM16" s="91">
        <f t="shared" ca="1" si="23"/>
        <v>-20845.224000000002</v>
      </c>
      <c r="BN16" s="91">
        <f t="shared" ca="1" si="24"/>
        <v>9000</v>
      </c>
      <c r="BO16" s="91">
        <f t="shared" ca="1" si="25"/>
        <v>-9000</v>
      </c>
      <c r="BP16" s="91">
        <f t="shared" ca="1" si="26"/>
        <v>-20845.224000000002</v>
      </c>
      <c r="BQ16" s="91">
        <f t="shared" ca="1" si="27"/>
        <v>-29845.224000000002</v>
      </c>
      <c r="BR16" s="91">
        <f t="shared" ca="1" si="28"/>
        <v>1.5</v>
      </c>
      <c r="BS16" s="91">
        <f t="shared" ca="1" si="29"/>
        <v>-13896.816000000001</v>
      </c>
      <c r="BT16" s="91">
        <f t="shared" ca="1" si="30"/>
        <v>-5211.3060000000005</v>
      </c>
      <c r="BU16" s="91">
        <f t="shared" ca="1" si="31"/>
        <v>-24633.918000000001</v>
      </c>
      <c r="BV16" s="91">
        <f t="shared" ca="1" si="32"/>
        <v>-29845.224000000002</v>
      </c>
      <c r="BW16" s="91">
        <f t="shared" ca="1" si="33"/>
        <v>-3474.2040000000002</v>
      </c>
      <c r="BX16" s="91">
        <f t="shared" ca="1" si="33"/>
        <v>-16422.612000000001</v>
      </c>
      <c r="BY16" s="91">
        <f t="shared" ca="1" si="33"/>
        <v>-19896.816000000003</v>
      </c>
      <c r="BZ16" s="323"/>
      <c r="CA16" s="323"/>
      <c r="CB16" s="323"/>
      <c r="CC16" s="323"/>
      <c r="CD16" s="323"/>
      <c r="CE16" s="323"/>
      <c r="CF16" s="323"/>
      <c r="CG16" s="323"/>
      <c r="CH16" s="323"/>
      <c r="CI16" s="323"/>
      <c r="CJ16" s="323"/>
      <c r="CK16" s="323"/>
      <c r="CL16" s="323"/>
      <c r="CM16" s="323"/>
      <c r="CN16" s="323"/>
      <c r="CO16" s="323"/>
      <c r="CP16" s="323"/>
      <c r="CQ16" s="323"/>
      <c r="CR16" s="323"/>
      <c r="CS16" s="323"/>
      <c r="CT16" s="323"/>
      <c r="CU16" s="323"/>
      <c r="CV16" s="323"/>
      <c r="CW16" s="323"/>
      <c r="CX16" s="323"/>
      <c r="CY16" s="323"/>
      <c r="CZ16" s="323"/>
      <c r="DA16" s="323"/>
      <c r="DB16" s="323"/>
      <c r="DC16" s="323"/>
      <c r="DD16" s="323"/>
      <c r="DE16" s="323"/>
      <c r="DF16" s="323"/>
      <c r="DG16" s="323"/>
      <c r="DH16" s="323"/>
      <c r="DI16" s="323"/>
      <c r="DJ16" s="323"/>
      <c r="DK16" s="323"/>
      <c r="DL16" s="323"/>
      <c r="DM16" s="323"/>
      <c r="DN16" s="323"/>
      <c r="DO16" s="323"/>
      <c r="DP16" s="323"/>
      <c r="DQ16" s="323"/>
      <c r="DR16" s="323"/>
      <c r="DS16" s="323"/>
      <c r="DT16" s="323"/>
      <c r="DU16" s="323"/>
      <c r="DV16" s="323"/>
      <c r="DW16" s="323"/>
      <c r="DX16" s="323"/>
      <c r="DY16" s="323"/>
      <c r="DZ16" s="323"/>
      <c r="EA16" s="323"/>
      <c r="EB16" s="323"/>
      <c r="EC16" s="323"/>
      <c r="ED16" s="323"/>
      <c r="EE16" s="323"/>
      <c r="EF16" s="323"/>
      <c r="EG16" s="323"/>
      <c r="EH16" s="323"/>
      <c r="EI16" s="323"/>
      <c r="EJ16" s="323"/>
      <c r="EK16" s="323"/>
      <c r="EL16" s="323"/>
      <c r="EM16" s="323"/>
      <c r="EN16" s="323"/>
      <c r="EO16" s="323"/>
      <c r="EP16" s="323"/>
      <c r="EQ16" s="323"/>
      <c r="ER16" s="323"/>
      <c r="ES16" s="323"/>
      <c r="ET16" s="323"/>
      <c r="EU16" s="323"/>
      <c r="EV16" s="323"/>
      <c r="EW16" s="323"/>
      <c r="EX16" s="323"/>
      <c r="EY16" s="323"/>
      <c r="EZ16" s="323"/>
      <c r="FA16" s="323"/>
      <c r="FB16" s="323"/>
      <c r="FC16" s="323"/>
      <c r="FD16" s="323"/>
      <c r="FE16" s="323"/>
      <c r="FF16" s="323"/>
      <c r="FG16" s="323"/>
      <c r="FH16" s="323"/>
      <c r="FI16" s="323"/>
      <c r="FJ16" s="323"/>
      <c r="FK16" s="323"/>
      <c r="FL16" s="323"/>
      <c r="FM16" s="323"/>
      <c r="FN16" s="323"/>
      <c r="FO16" s="323"/>
      <c r="FP16" s="323"/>
      <c r="FQ16" s="323"/>
      <c r="FR16" s="323"/>
      <c r="FS16" s="323"/>
      <c r="FT16" s="323"/>
      <c r="FU16" s="323"/>
      <c r="FV16" s="323"/>
      <c r="FW16" s="323"/>
      <c r="FX16" s="323"/>
      <c r="FY16" s="323"/>
      <c r="FZ16" s="323"/>
      <c r="GA16" s="323"/>
      <c r="GB16" s="323"/>
      <c r="GC16" s="323"/>
      <c r="GD16" s="323"/>
      <c r="GE16" s="323"/>
      <c r="GF16" s="323"/>
      <c r="GG16" s="323"/>
      <c r="GH16" s="323"/>
      <c r="GI16" s="323"/>
      <c r="GJ16" s="323"/>
      <c r="GK16" s="323"/>
      <c r="GL16" s="323"/>
      <c r="GM16" s="323"/>
      <c r="GN16" s="323"/>
      <c r="GO16" s="323"/>
      <c r="GP16" s="323"/>
      <c r="GQ16" s="323"/>
      <c r="GR16" s="323"/>
      <c r="GS16" s="323"/>
      <c r="GT16" s="323"/>
      <c r="GU16" s="323"/>
      <c r="GV16" s="323"/>
      <c r="GW16" s="323"/>
      <c r="GX16" s="323"/>
      <c r="GY16" s="323"/>
      <c r="GZ16" s="323"/>
      <c r="HA16" s="323"/>
      <c r="HB16" s="323"/>
      <c r="HC16" s="323"/>
      <c r="HD16" s="323"/>
      <c r="HE16" s="323"/>
      <c r="HF16" s="323"/>
      <c r="HG16" s="323"/>
      <c r="HH16" s="323"/>
      <c r="HI16" s="323"/>
      <c r="HJ16" s="323"/>
      <c r="HK16" s="323"/>
      <c r="HL16" s="323"/>
      <c r="HM16" s="323"/>
      <c r="HN16" s="323"/>
      <c r="HO16" s="323"/>
      <c r="HP16" s="323"/>
      <c r="HQ16" s="323"/>
      <c r="HR16" s="323"/>
      <c r="HS16" s="323"/>
      <c r="HT16" s="323"/>
      <c r="HU16" s="323"/>
      <c r="HV16" s="323"/>
      <c r="HW16" s="323"/>
      <c r="HX16" s="323"/>
      <c r="HY16" s="323"/>
      <c r="HZ16" s="323"/>
      <c r="IA16" s="323"/>
      <c r="IB16" s="323"/>
      <c r="IC16" s="323"/>
      <c r="ID16" s="323"/>
      <c r="IE16" s="323"/>
      <c r="IF16" s="323"/>
      <c r="IG16" s="323"/>
      <c r="IH16" s="323"/>
      <c r="II16" s="323"/>
      <c r="IJ16" s="323"/>
      <c r="IK16" s="323"/>
      <c r="IL16" s="323"/>
      <c r="IM16" s="323"/>
      <c r="IN16" s="323"/>
      <c r="IO16" s="323"/>
      <c r="IP16" s="323"/>
      <c r="IQ16" s="323"/>
      <c r="IR16" s="323"/>
      <c r="IS16" s="323"/>
      <c r="IT16" s="323"/>
      <c r="IU16" s="323"/>
      <c r="IV16" s="323"/>
    </row>
    <row r="17" spans="1:256" ht="32.25">
      <c r="A17" s="151" t="s">
        <v>147</v>
      </c>
      <c r="B17" s="219" t="s">
        <v>155</v>
      </c>
      <c r="C17" s="151" t="s">
        <v>124</v>
      </c>
      <c r="D17" s="179" t="s">
        <v>116</v>
      </c>
      <c r="E17" s="151" t="s">
        <v>117</v>
      </c>
      <c r="F17" s="151" t="s">
        <v>118</v>
      </c>
      <c r="G17" s="152" t="str">
        <f t="shared" si="0"/>
        <v>No of Racks</v>
      </c>
      <c r="H17" s="151">
        <v>5</v>
      </c>
      <c r="I17" s="151">
        <v>5</v>
      </c>
      <c r="J17" s="180">
        <f t="shared" si="35"/>
        <v>0</v>
      </c>
      <c r="K17" s="151">
        <v>5</v>
      </c>
      <c r="L17" s="151"/>
      <c r="M17" s="181">
        <f>(750000+750000+650000)/12</f>
        <v>179166.66666666666</v>
      </c>
      <c r="N17" s="182">
        <f t="shared" si="34"/>
        <v>2150000</v>
      </c>
      <c r="O17" s="183" t="str">
        <f t="shared" si="1"/>
        <v>Rated</v>
      </c>
      <c r="P17" s="151" t="s">
        <v>125</v>
      </c>
      <c r="Q17" s="151">
        <v>15</v>
      </c>
      <c r="R17" s="220">
        <v>10</v>
      </c>
      <c r="S17" s="185">
        <f t="shared" si="36"/>
        <v>5</v>
      </c>
      <c r="T17" s="186"/>
      <c r="U17" s="186">
        <f t="shared" ca="1" si="3"/>
        <v>2.5</v>
      </c>
      <c r="V17" s="186">
        <f t="shared" ca="1" si="4"/>
        <v>7.5</v>
      </c>
      <c r="W17" s="220">
        <v>10</v>
      </c>
      <c r="X17" s="186"/>
      <c r="Y17" s="83"/>
      <c r="Z17" s="189" t="str">
        <f t="shared" si="37"/>
        <v>Bundled</v>
      </c>
      <c r="AA17" s="186"/>
      <c r="AB17" s="186"/>
      <c r="AC17" s="190"/>
      <c r="AD17" s="199"/>
      <c r="AE17" s="120"/>
      <c r="AF17" s="152" t="str">
        <f t="shared" si="6"/>
        <v/>
      </c>
      <c r="AG17" s="186"/>
      <c r="AH17" s="186"/>
      <c r="AI17" s="186"/>
      <c r="AJ17" s="186"/>
      <c r="AK17" s="186"/>
      <c r="AL17" s="181"/>
      <c r="AM17" s="83">
        <f>M17</f>
        <v>179166.66666666666</v>
      </c>
      <c r="AN17" s="83">
        <f t="shared" si="8"/>
        <v>0</v>
      </c>
      <c r="AO17" s="83">
        <f t="shared" si="9"/>
        <v>0</v>
      </c>
      <c r="AP17" s="83">
        <f t="shared" si="10"/>
        <v>0</v>
      </c>
      <c r="AQ17" s="84">
        <f>810000/12</f>
        <v>67500</v>
      </c>
      <c r="AR17" s="85">
        <f t="shared" si="11"/>
        <v>246666.66666666666</v>
      </c>
      <c r="AS17" s="86">
        <f t="shared" si="12"/>
        <v>2960000</v>
      </c>
      <c r="AT17" s="85" t="s">
        <v>119</v>
      </c>
      <c r="AU17" s="69" t="s">
        <v>156</v>
      </c>
      <c r="AV17" s="191">
        <v>42370</v>
      </c>
      <c r="AW17" s="69">
        <v>1</v>
      </c>
      <c r="AX17" s="191">
        <v>42736</v>
      </c>
      <c r="AY17" s="69" t="s">
        <v>157</v>
      </c>
      <c r="AZ17" s="323"/>
      <c r="BA17" s="84">
        <f t="shared" si="13"/>
        <v>49333.333333333328</v>
      </c>
      <c r="BB17" s="84">
        <f t="shared" ca="1" si="14"/>
        <v>0</v>
      </c>
      <c r="BC17" s="84">
        <f t="shared" ca="1" si="15"/>
        <v>9992.0728888888862</v>
      </c>
      <c r="BD17" s="84">
        <f t="shared" ca="1" si="15"/>
        <v>6517.8688888888864</v>
      </c>
      <c r="BE17" s="84">
        <f t="shared" ca="1" si="16"/>
        <v>13466.276888888886</v>
      </c>
      <c r="BF17" s="84"/>
      <c r="BG17" s="93">
        <f t="shared" si="17"/>
        <v>179166.66666666666</v>
      </c>
      <c r="BH17" s="93">
        <f t="shared" ca="1" si="18"/>
        <v>100997.07666666665</v>
      </c>
      <c r="BI17" s="93">
        <f t="shared" ca="1" si="19"/>
        <v>78169.590000000011</v>
      </c>
      <c r="BJ17" s="91">
        <f t="shared" si="20"/>
        <v>87045.910000000091</v>
      </c>
      <c r="BK17" s="91">
        <f t="shared" ca="1" si="21"/>
        <v>130282.65000000001</v>
      </c>
      <c r="BL17" s="91">
        <f t="shared" ca="1" si="22"/>
        <v>78169.590000000011</v>
      </c>
      <c r="BM17" s="91">
        <f t="shared" ca="1" si="23"/>
        <v>74940.546666666647</v>
      </c>
      <c r="BN17" s="91">
        <f t="shared" ca="1" si="24"/>
        <v>45000</v>
      </c>
      <c r="BO17" s="91">
        <f t="shared" ca="1" si="25"/>
        <v>55997.076666666646</v>
      </c>
      <c r="BP17" s="91">
        <f t="shared" ca="1" si="26"/>
        <v>-26056.53</v>
      </c>
      <c r="BQ17" s="91">
        <f t="shared" ca="1" si="27"/>
        <v>29940.546666666647</v>
      </c>
      <c r="BR17" s="91">
        <f t="shared" ca="1" si="28"/>
        <v>7.5</v>
      </c>
      <c r="BS17" s="91">
        <f t="shared" ca="1" si="29"/>
        <v>9992.0728888888862</v>
      </c>
      <c r="BT17" s="91">
        <f t="shared" ca="1" si="30"/>
        <v>-26056.53</v>
      </c>
      <c r="BU17" s="91">
        <f t="shared" ca="1" si="31"/>
        <v>55997.076666666646</v>
      </c>
      <c r="BV17" s="91">
        <f t="shared" ca="1" si="32"/>
        <v>29940.546666666647</v>
      </c>
      <c r="BW17" s="91">
        <f t="shared" ca="1" si="33"/>
        <v>-3474.2039999999997</v>
      </c>
      <c r="BX17" s="91">
        <f t="shared" ca="1" si="33"/>
        <v>7466.2768888888859</v>
      </c>
      <c r="BY17" s="91">
        <f t="shared" ca="1" si="33"/>
        <v>3992.0728888888862</v>
      </c>
      <c r="BZ17" s="323"/>
      <c r="CA17" s="323"/>
      <c r="CB17" s="323"/>
      <c r="CC17" s="323"/>
      <c r="CD17" s="323"/>
      <c r="CE17" s="323"/>
      <c r="CF17" s="323"/>
      <c r="CG17" s="323"/>
      <c r="CH17" s="323"/>
      <c r="CI17" s="323"/>
      <c r="CJ17" s="323"/>
      <c r="CK17" s="323"/>
      <c r="CL17" s="323"/>
      <c r="CM17" s="323"/>
      <c r="CN17" s="323"/>
      <c r="CO17" s="323"/>
      <c r="CP17" s="323"/>
      <c r="CQ17" s="323"/>
      <c r="CR17" s="323"/>
      <c r="CS17" s="323"/>
      <c r="CT17" s="323"/>
      <c r="CU17" s="323"/>
      <c r="CV17" s="323"/>
      <c r="CW17" s="323"/>
      <c r="CX17" s="323"/>
      <c r="CY17" s="323"/>
      <c r="CZ17" s="323"/>
      <c r="DA17" s="323"/>
      <c r="DB17" s="323"/>
      <c r="DC17" s="323"/>
      <c r="DD17" s="323"/>
      <c r="DE17" s="323"/>
      <c r="DF17" s="323"/>
      <c r="DG17" s="323"/>
      <c r="DH17" s="323"/>
      <c r="DI17" s="323"/>
      <c r="DJ17" s="323"/>
      <c r="DK17" s="323"/>
      <c r="DL17" s="323"/>
      <c r="DM17" s="323"/>
      <c r="DN17" s="323"/>
      <c r="DO17" s="323"/>
      <c r="DP17" s="323"/>
      <c r="DQ17" s="323"/>
      <c r="DR17" s="323"/>
      <c r="DS17" s="323"/>
      <c r="DT17" s="323"/>
      <c r="DU17" s="323"/>
      <c r="DV17" s="323"/>
      <c r="DW17" s="323"/>
      <c r="DX17" s="323"/>
      <c r="DY17" s="323"/>
      <c r="DZ17" s="323"/>
      <c r="EA17" s="323"/>
      <c r="EB17" s="323"/>
      <c r="EC17" s="323"/>
      <c r="ED17" s="323"/>
      <c r="EE17" s="323"/>
      <c r="EF17" s="323"/>
      <c r="EG17" s="323"/>
      <c r="EH17" s="323"/>
      <c r="EI17" s="323"/>
      <c r="EJ17" s="323"/>
      <c r="EK17" s="323"/>
      <c r="EL17" s="323"/>
      <c r="EM17" s="323"/>
      <c r="EN17" s="323"/>
      <c r="EO17" s="323"/>
      <c r="EP17" s="323"/>
      <c r="EQ17" s="323"/>
      <c r="ER17" s="323"/>
      <c r="ES17" s="323"/>
      <c r="ET17" s="323"/>
      <c r="EU17" s="323"/>
      <c r="EV17" s="323"/>
      <c r="EW17" s="323"/>
      <c r="EX17" s="323"/>
      <c r="EY17" s="323"/>
      <c r="EZ17" s="323"/>
      <c r="FA17" s="323"/>
      <c r="FB17" s="323"/>
      <c r="FC17" s="323"/>
      <c r="FD17" s="323"/>
      <c r="FE17" s="323"/>
      <c r="FF17" s="323"/>
      <c r="FG17" s="323"/>
      <c r="FH17" s="323"/>
      <c r="FI17" s="323"/>
      <c r="FJ17" s="323"/>
      <c r="FK17" s="323"/>
      <c r="FL17" s="323"/>
      <c r="FM17" s="323"/>
      <c r="FN17" s="323"/>
      <c r="FO17" s="323"/>
      <c r="FP17" s="323"/>
      <c r="FQ17" s="323"/>
      <c r="FR17" s="323"/>
      <c r="FS17" s="323"/>
      <c r="FT17" s="323"/>
      <c r="FU17" s="323"/>
      <c r="FV17" s="323"/>
      <c r="FW17" s="323"/>
      <c r="FX17" s="323"/>
      <c r="FY17" s="323"/>
      <c r="FZ17" s="323"/>
      <c r="GA17" s="323"/>
      <c r="GB17" s="323"/>
      <c r="GC17" s="323"/>
      <c r="GD17" s="323"/>
      <c r="GE17" s="323"/>
      <c r="GF17" s="323"/>
      <c r="GG17" s="323"/>
      <c r="GH17" s="323"/>
      <c r="GI17" s="323"/>
      <c r="GJ17" s="323"/>
      <c r="GK17" s="323"/>
      <c r="GL17" s="323"/>
      <c r="GM17" s="323"/>
      <c r="GN17" s="323"/>
      <c r="GO17" s="323"/>
      <c r="GP17" s="323"/>
      <c r="GQ17" s="323"/>
      <c r="GR17" s="323"/>
      <c r="GS17" s="323"/>
      <c r="GT17" s="323"/>
      <c r="GU17" s="323"/>
      <c r="GV17" s="323"/>
      <c r="GW17" s="323"/>
      <c r="GX17" s="323"/>
      <c r="GY17" s="323"/>
      <c r="GZ17" s="323"/>
      <c r="HA17" s="323"/>
      <c r="HB17" s="323"/>
      <c r="HC17" s="323"/>
      <c r="HD17" s="323"/>
      <c r="HE17" s="323"/>
      <c r="HF17" s="323"/>
      <c r="HG17" s="323"/>
      <c r="HH17" s="323"/>
      <c r="HI17" s="323"/>
      <c r="HJ17" s="323"/>
      <c r="HK17" s="323"/>
      <c r="HL17" s="323"/>
      <c r="HM17" s="323"/>
      <c r="HN17" s="323"/>
      <c r="HO17" s="323"/>
      <c r="HP17" s="323"/>
      <c r="HQ17" s="323"/>
      <c r="HR17" s="323"/>
      <c r="HS17" s="323"/>
      <c r="HT17" s="323"/>
      <c r="HU17" s="323"/>
      <c r="HV17" s="323"/>
      <c r="HW17" s="323"/>
      <c r="HX17" s="323"/>
      <c r="HY17" s="323"/>
      <c r="HZ17" s="323"/>
      <c r="IA17" s="323"/>
      <c r="IB17" s="323"/>
      <c r="IC17" s="323"/>
      <c r="ID17" s="323"/>
      <c r="IE17" s="323"/>
      <c r="IF17" s="323"/>
      <c r="IG17" s="323"/>
      <c r="IH17" s="323"/>
      <c r="II17" s="323"/>
      <c r="IJ17" s="323"/>
      <c r="IK17" s="323"/>
      <c r="IL17" s="323"/>
      <c r="IM17" s="323"/>
      <c r="IN17" s="323"/>
      <c r="IO17" s="323"/>
      <c r="IP17" s="323"/>
      <c r="IQ17" s="323"/>
      <c r="IR17" s="323"/>
      <c r="IS17" s="323"/>
      <c r="IT17" s="323"/>
      <c r="IU17" s="323"/>
      <c r="IV17" s="323"/>
    </row>
    <row r="18" spans="1:256" ht="32.25">
      <c r="A18" s="151" t="s">
        <v>158</v>
      </c>
      <c r="B18" s="219" t="s">
        <v>159</v>
      </c>
      <c r="C18" s="151" t="s">
        <v>124</v>
      </c>
      <c r="D18" s="179" t="s">
        <v>116</v>
      </c>
      <c r="E18" s="151" t="s">
        <v>117</v>
      </c>
      <c r="F18" s="151" t="s">
        <v>118</v>
      </c>
      <c r="G18" s="152" t="str">
        <f t="shared" si="0"/>
        <v>No of Racks</v>
      </c>
      <c r="H18" s="151">
        <v>1</v>
      </c>
      <c r="I18" s="151">
        <v>1</v>
      </c>
      <c r="J18" s="180">
        <f t="shared" si="35"/>
        <v>0</v>
      </c>
      <c r="K18" s="151">
        <v>1</v>
      </c>
      <c r="L18" s="151"/>
      <c r="M18" s="181">
        <f>600000/12</f>
        <v>50000</v>
      </c>
      <c r="N18" s="182">
        <f t="shared" si="34"/>
        <v>600000</v>
      </c>
      <c r="O18" s="183" t="str">
        <f t="shared" si="1"/>
        <v>Rated</v>
      </c>
      <c r="P18" s="151" t="s">
        <v>125</v>
      </c>
      <c r="Q18" s="151">
        <v>3</v>
      </c>
      <c r="R18" s="220">
        <v>2.1</v>
      </c>
      <c r="S18" s="185">
        <f t="shared" si="36"/>
        <v>0.89999999999999991</v>
      </c>
      <c r="T18" s="186"/>
      <c r="U18" s="186">
        <f t="shared" ca="1" si="3"/>
        <v>0.44999999999999996</v>
      </c>
      <c r="V18" s="186">
        <f t="shared" ca="1" si="4"/>
        <v>1.5</v>
      </c>
      <c r="W18" s="220">
        <v>2.1</v>
      </c>
      <c r="X18" s="186"/>
      <c r="Y18" s="83"/>
      <c r="Z18" s="189" t="str">
        <f t="shared" si="37"/>
        <v>Bundled</v>
      </c>
      <c r="AA18" s="186"/>
      <c r="AB18" s="186"/>
      <c r="AC18" s="190"/>
      <c r="AD18" s="199"/>
      <c r="AE18" s="120"/>
      <c r="AF18" s="152" t="str">
        <f t="shared" si="6"/>
        <v/>
      </c>
      <c r="AG18" s="186"/>
      <c r="AH18" s="186"/>
      <c r="AI18" s="186"/>
      <c r="AJ18" s="186"/>
      <c r="AK18" s="186"/>
      <c r="AL18" s="181"/>
      <c r="AM18" s="83">
        <f t="shared" ref="AM18:AM24" si="38">M18*K18</f>
        <v>50000</v>
      </c>
      <c r="AN18" s="83">
        <f t="shared" si="8"/>
        <v>0</v>
      </c>
      <c r="AO18" s="83">
        <f t="shared" si="9"/>
        <v>0</v>
      </c>
      <c r="AP18" s="83">
        <f t="shared" si="10"/>
        <v>0</v>
      </c>
      <c r="AQ18" s="84"/>
      <c r="AR18" s="85">
        <f t="shared" si="11"/>
        <v>50000</v>
      </c>
      <c r="AS18" s="86">
        <f t="shared" si="12"/>
        <v>600000</v>
      </c>
      <c r="AT18" s="85" t="s">
        <v>119</v>
      </c>
      <c r="AU18" s="69">
        <v>721004903</v>
      </c>
      <c r="AV18" s="222">
        <v>42783</v>
      </c>
      <c r="AW18" s="69">
        <v>1</v>
      </c>
      <c r="AX18" s="191">
        <v>43117</v>
      </c>
      <c r="AY18" s="69" t="s">
        <v>160</v>
      </c>
      <c r="AZ18" s="323"/>
      <c r="BA18" s="84">
        <f t="shared" si="13"/>
        <v>50000</v>
      </c>
      <c r="BB18" s="84">
        <f t="shared" ca="1" si="14"/>
        <v>0</v>
      </c>
      <c r="BC18" s="84">
        <f t="shared" ca="1" si="15"/>
        <v>18741.676533333331</v>
      </c>
      <c r="BD18" s="84">
        <f t="shared" ca="1" si="15"/>
        <v>15614.892933333334</v>
      </c>
      <c r="BE18" s="84">
        <f t="shared" ca="1" si="16"/>
        <v>22910.721333333331</v>
      </c>
      <c r="BF18" s="84"/>
      <c r="BG18" s="93">
        <f t="shared" si="17"/>
        <v>50000</v>
      </c>
      <c r="BH18" s="93">
        <f t="shared" ca="1" si="18"/>
        <v>34366.081999999995</v>
      </c>
      <c r="BI18" s="93">
        <f t="shared" ca="1" si="19"/>
        <v>15633.918000000001</v>
      </c>
      <c r="BJ18" s="91">
        <f t="shared" si="20"/>
        <v>18279.641100000019</v>
      </c>
      <c r="BK18" s="91">
        <f t="shared" ca="1" si="21"/>
        <v>26577.660599999999</v>
      </c>
      <c r="BL18" s="91">
        <f t="shared" ca="1" si="22"/>
        <v>15633.918000000001</v>
      </c>
      <c r="BM18" s="91">
        <f t="shared" ca="1" si="23"/>
        <v>28112.514799999997</v>
      </c>
      <c r="BN18" s="91">
        <f t="shared" ca="1" si="24"/>
        <v>9000</v>
      </c>
      <c r="BO18" s="91">
        <f t="shared" ca="1" si="25"/>
        <v>25366.081999999995</v>
      </c>
      <c r="BP18" s="91">
        <f t="shared" ca="1" si="26"/>
        <v>-6253.5672000000013</v>
      </c>
      <c r="BQ18" s="91">
        <f t="shared" ca="1" si="27"/>
        <v>19112.514799999994</v>
      </c>
      <c r="BR18" s="91">
        <f t="shared" ca="1" si="28"/>
        <v>1.5</v>
      </c>
      <c r="BS18" s="91">
        <f t="shared" ca="1" si="29"/>
        <v>18741.676533333331</v>
      </c>
      <c r="BT18" s="91">
        <f t="shared" ca="1" si="30"/>
        <v>-6253.5672000000013</v>
      </c>
      <c r="BU18" s="91">
        <f t="shared" ca="1" si="31"/>
        <v>25366.081999999995</v>
      </c>
      <c r="BV18" s="91">
        <f t="shared" ca="1" si="32"/>
        <v>19112.514799999994</v>
      </c>
      <c r="BW18" s="91">
        <f t="shared" ca="1" si="33"/>
        <v>-4169.0448000000006</v>
      </c>
      <c r="BX18" s="91">
        <f t="shared" ca="1" si="33"/>
        <v>16910.721333333331</v>
      </c>
      <c r="BY18" s="91">
        <f t="shared" ca="1" si="33"/>
        <v>12741.67653333333</v>
      </c>
      <c r="BZ18" s="323"/>
      <c r="CA18" s="323"/>
      <c r="CB18" s="323"/>
      <c r="CC18" s="323"/>
      <c r="CD18" s="323"/>
      <c r="CE18" s="323"/>
      <c r="CF18" s="323"/>
      <c r="CG18" s="323"/>
      <c r="CH18" s="323"/>
      <c r="CI18" s="323"/>
      <c r="CJ18" s="323"/>
      <c r="CK18" s="323"/>
      <c r="CL18" s="323"/>
      <c r="CM18" s="323"/>
      <c r="CN18" s="323"/>
      <c r="CO18" s="323"/>
      <c r="CP18" s="323"/>
      <c r="CQ18" s="323"/>
      <c r="CR18" s="323"/>
      <c r="CS18" s="323"/>
      <c r="CT18" s="323"/>
      <c r="CU18" s="323"/>
      <c r="CV18" s="323"/>
      <c r="CW18" s="323"/>
      <c r="CX18" s="323"/>
      <c r="CY18" s="323"/>
      <c r="CZ18" s="323"/>
      <c r="DA18" s="323"/>
      <c r="DB18" s="323"/>
      <c r="DC18" s="323"/>
      <c r="DD18" s="323"/>
      <c r="DE18" s="323"/>
      <c r="DF18" s="323"/>
      <c r="DG18" s="323"/>
      <c r="DH18" s="323"/>
      <c r="DI18" s="323"/>
      <c r="DJ18" s="323"/>
      <c r="DK18" s="323"/>
      <c r="DL18" s="323"/>
      <c r="DM18" s="323"/>
      <c r="DN18" s="323"/>
      <c r="DO18" s="323"/>
      <c r="DP18" s="323"/>
      <c r="DQ18" s="323"/>
      <c r="DR18" s="323"/>
      <c r="DS18" s="323"/>
      <c r="DT18" s="323"/>
      <c r="DU18" s="323"/>
      <c r="DV18" s="323"/>
      <c r="DW18" s="323"/>
      <c r="DX18" s="323"/>
      <c r="DY18" s="323"/>
      <c r="DZ18" s="323"/>
      <c r="EA18" s="323"/>
      <c r="EB18" s="323"/>
      <c r="EC18" s="323"/>
      <c r="ED18" s="323"/>
      <c r="EE18" s="323"/>
      <c r="EF18" s="323"/>
      <c r="EG18" s="323"/>
      <c r="EH18" s="323"/>
      <c r="EI18" s="323"/>
      <c r="EJ18" s="323"/>
      <c r="EK18" s="323"/>
      <c r="EL18" s="323"/>
      <c r="EM18" s="323"/>
      <c r="EN18" s="323"/>
      <c r="EO18" s="323"/>
      <c r="EP18" s="323"/>
      <c r="EQ18" s="323"/>
      <c r="ER18" s="323"/>
      <c r="ES18" s="323"/>
      <c r="ET18" s="323"/>
      <c r="EU18" s="323"/>
      <c r="EV18" s="323"/>
      <c r="EW18" s="323"/>
      <c r="EX18" s="323"/>
      <c r="EY18" s="323"/>
      <c r="EZ18" s="323"/>
      <c r="FA18" s="323"/>
      <c r="FB18" s="323"/>
      <c r="FC18" s="323"/>
      <c r="FD18" s="323"/>
      <c r="FE18" s="323"/>
      <c r="FF18" s="323"/>
      <c r="FG18" s="323"/>
      <c r="FH18" s="323"/>
      <c r="FI18" s="323"/>
      <c r="FJ18" s="323"/>
      <c r="FK18" s="323"/>
      <c r="FL18" s="323"/>
      <c r="FM18" s="323"/>
      <c r="FN18" s="323"/>
      <c r="FO18" s="323"/>
      <c r="FP18" s="323"/>
      <c r="FQ18" s="323"/>
      <c r="FR18" s="323"/>
      <c r="FS18" s="323"/>
      <c r="FT18" s="323"/>
      <c r="FU18" s="323"/>
      <c r="FV18" s="323"/>
      <c r="FW18" s="323"/>
      <c r="FX18" s="323"/>
      <c r="FY18" s="323"/>
      <c r="FZ18" s="323"/>
      <c r="GA18" s="323"/>
      <c r="GB18" s="323"/>
      <c r="GC18" s="323"/>
      <c r="GD18" s="323"/>
      <c r="GE18" s="323"/>
      <c r="GF18" s="323"/>
      <c r="GG18" s="323"/>
      <c r="GH18" s="323"/>
      <c r="GI18" s="323"/>
      <c r="GJ18" s="323"/>
      <c r="GK18" s="323"/>
      <c r="GL18" s="323"/>
      <c r="GM18" s="323"/>
      <c r="GN18" s="323"/>
      <c r="GO18" s="323"/>
      <c r="GP18" s="323"/>
      <c r="GQ18" s="323"/>
      <c r="GR18" s="323"/>
      <c r="GS18" s="323"/>
      <c r="GT18" s="323"/>
      <c r="GU18" s="323"/>
      <c r="GV18" s="323"/>
      <c r="GW18" s="323"/>
      <c r="GX18" s="323"/>
      <c r="GY18" s="323"/>
      <c r="GZ18" s="323"/>
      <c r="HA18" s="323"/>
      <c r="HB18" s="323"/>
      <c r="HC18" s="323"/>
      <c r="HD18" s="323"/>
      <c r="HE18" s="323"/>
      <c r="HF18" s="323"/>
      <c r="HG18" s="323"/>
      <c r="HH18" s="323"/>
      <c r="HI18" s="323"/>
      <c r="HJ18" s="323"/>
      <c r="HK18" s="323"/>
      <c r="HL18" s="323"/>
      <c r="HM18" s="323"/>
      <c r="HN18" s="323"/>
      <c r="HO18" s="323"/>
      <c r="HP18" s="323"/>
      <c r="HQ18" s="323"/>
      <c r="HR18" s="323"/>
      <c r="HS18" s="323"/>
      <c r="HT18" s="323"/>
      <c r="HU18" s="323"/>
      <c r="HV18" s="323"/>
      <c r="HW18" s="323"/>
      <c r="HX18" s="323"/>
      <c r="HY18" s="323"/>
      <c r="HZ18" s="323"/>
      <c r="IA18" s="323"/>
      <c r="IB18" s="323"/>
      <c r="IC18" s="323"/>
      <c r="ID18" s="323"/>
      <c r="IE18" s="323"/>
      <c r="IF18" s="323"/>
      <c r="IG18" s="323"/>
      <c r="IH18" s="323"/>
      <c r="II18" s="323"/>
      <c r="IJ18" s="323"/>
      <c r="IK18" s="323"/>
      <c r="IL18" s="323"/>
      <c r="IM18" s="323"/>
      <c r="IN18" s="323"/>
      <c r="IO18" s="323"/>
      <c r="IP18" s="323"/>
      <c r="IQ18" s="323"/>
      <c r="IR18" s="323"/>
      <c r="IS18" s="323"/>
      <c r="IT18" s="323"/>
      <c r="IU18" s="323"/>
      <c r="IV18" s="323"/>
    </row>
    <row r="19" spans="1:256" ht="42.75">
      <c r="A19" s="151" t="s">
        <v>158</v>
      </c>
      <c r="B19" s="219" t="s">
        <v>161</v>
      </c>
      <c r="C19" s="151" t="s">
        <v>124</v>
      </c>
      <c r="D19" s="179" t="s">
        <v>116</v>
      </c>
      <c r="E19" s="151" t="s">
        <v>117</v>
      </c>
      <c r="F19" s="151" t="s">
        <v>118</v>
      </c>
      <c r="G19" s="152" t="str">
        <f t="shared" si="0"/>
        <v>No of Racks</v>
      </c>
      <c r="H19" s="151">
        <v>1</v>
      </c>
      <c r="I19" s="151">
        <v>1</v>
      </c>
      <c r="J19" s="180">
        <f t="shared" si="35"/>
        <v>0</v>
      </c>
      <c r="K19" s="151">
        <v>0</v>
      </c>
      <c r="L19" s="151"/>
      <c r="M19" s="181">
        <f>480000/12</f>
        <v>40000</v>
      </c>
      <c r="N19" s="182">
        <f t="shared" si="34"/>
        <v>480000</v>
      </c>
      <c r="O19" s="183" t="str">
        <f t="shared" si="1"/>
        <v>Rated</v>
      </c>
      <c r="P19" s="151" t="s">
        <v>125</v>
      </c>
      <c r="Q19" s="151">
        <v>3</v>
      </c>
      <c r="R19" s="220">
        <v>2</v>
      </c>
      <c r="S19" s="185">
        <f t="shared" si="36"/>
        <v>1</v>
      </c>
      <c r="T19" s="186"/>
      <c r="U19" s="186">
        <f t="shared" ca="1" si="3"/>
        <v>0.5</v>
      </c>
      <c r="V19" s="186">
        <f t="shared" ca="1" si="4"/>
        <v>1.5</v>
      </c>
      <c r="W19" s="220">
        <v>2</v>
      </c>
      <c r="X19" s="186"/>
      <c r="Y19" s="83">
        <f>110000/12</f>
        <v>9166.6666666666661</v>
      </c>
      <c r="Z19" s="189" t="str">
        <f t="shared" si="37"/>
        <v>Bundled</v>
      </c>
      <c r="AA19" s="186"/>
      <c r="AB19" s="186"/>
      <c r="AC19" s="190"/>
      <c r="AD19" s="199"/>
      <c r="AE19" s="120"/>
      <c r="AF19" s="152" t="str">
        <f t="shared" si="6"/>
        <v/>
      </c>
      <c r="AG19" s="186"/>
      <c r="AH19" s="186"/>
      <c r="AI19" s="186"/>
      <c r="AJ19" s="186"/>
      <c r="AK19" s="186"/>
      <c r="AL19" s="181"/>
      <c r="AM19" s="83">
        <f t="shared" si="38"/>
        <v>0</v>
      </c>
      <c r="AN19" s="83">
        <f t="shared" si="8"/>
        <v>0</v>
      </c>
      <c r="AO19" s="83">
        <f t="shared" si="9"/>
        <v>0</v>
      </c>
      <c r="AP19" s="83">
        <f t="shared" si="10"/>
        <v>0</v>
      </c>
      <c r="AQ19" s="84">
        <f>(100000+100000)/12</f>
        <v>16666.666666666668</v>
      </c>
      <c r="AR19" s="85">
        <f t="shared" si="11"/>
        <v>16666.666666666668</v>
      </c>
      <c r="AS19" s="86">
        <f t="shared" si="12"/>
        <v>200000</v>
      </c>
      <c r="AT19" s="85" t="s">
        <v>119</v>
      </c>
      <c r="AU19" s="69">
        <v>721005279</v>
      </c>
      <c r="AV19" s="191">
        <v>42965</v>
      </c>
      <c r="AW19" s="69">
        <v>1</v>
      </c>
      <c r="AX19" s="191">
        <v>43299</v>
      </c>
      <c r="AY19" s="101" t="s">
        <v>154</v>
      </c>
      <c r="AZ19" s="323"/>
      <c r="BA19" s="84">
        <f t="shared" si="13"/>
        <v>16666.666666666668</v>
      </c>
      <c r="BB19" s="84">
        <f t="shared" ca="1" si="14"/>
        <v>0</v>
      </c>
      <c r="BC19" s="84">
        <f t="shared" ca="1" si="15"/>
        <v>-13896.816000000001</v>
      </c>
      <c r="BD19" s="84">
        <f t="shared" ca="1" si="15"/>
        <v>-17371.02</v>
      </c>
      <c r="BE19" s="84">
        <f t="shared" ca="1" si="16"/>
        <v>-10422.612000000001</v>
      </c>
      <c r="BF19" s="84"/>
      <c r="BG19" s="90">
        <f t="shared" si="17"/>
        <v>0</v>
      </c>
      <c r="BH19" s="90">
        <f t="shared" ca="1" si="18"/>
        <v>0</v>
      </c>
      <c r="BI19" s="90">
        <f t="shared" ca="1" si="19"/>
        <v>0</v>
      </c>
      <c r="BJ19" s="91">
        <f t="shared" si="20"/>
        <v>17409.182000000019</v>
      </c>
      <c r="BK19" s="91">
        <f t="shared" ca="1" si="21"/>
        <v>26056.530000000002</v>
      </c>
      <c r="BL19" s="91">
        <f t="shared" ca="1" si="22"/>
        <v>15633.918000000001</v>
      </c>
      <c r="BM19" s="91">
        <f t="shared" ca="1" si="23"/>
        <v>-20845.224000000002</v>
      </c>
      <c r="BN19" s="91">
        <f t="shared" ca="1" si="24"/>
        <v>9000</v>
      </c>
      <c r="BO19" s="91">
        <f t="shared" ca="1" si="25"/>
        <v>-9000</v>
      </c>
      <c r="BP19" s="91">
        <f t="shared" ca="1" si="26"/>
        <v>-20845.224000000002</v>
      </c>
      <c r="BQ19" s="91">
        <f t="shared" ca="1" si="27"/>
        <v>-29845.224000000002</v>
      </c>
      <c r="BR19" s="91">
        <f t="shared" ca="1" si="28"/>
        <v>1.5</v>
      </c>
      <c r="BS19" s="91">
        <f t="shared" ca="1" si="29"/>
        <v>-13896.816000000001</v>
      </c>
      <c r="BT19" s="91">
        <f t="shared" ca="1" si="30"/>
        <v>-5211.3060000000005</v>
      </c>
      <c r="BU19" s="91">
        <f t="shared" ca="1" si="31"/>
        <v>-24633.918000000001</v>
      </c>
      <c r="BV19" s="91">
        <f t="shared" ca="1" si="32"/>
        <v>-29845.224000000002</v>
      </c>
      <c r="BW19" s="91">
        <f t="shared" ca="1" si="33"/>
        <v>-3474.2040000000002</v>
      </c>
      <c r="BX19" s="91">
        <f t="shared" ca="1" si="33"/>
        <v>-16422.612000000001</v>
      </c>
      <c r="BY19" s="91">
        <f t="shared" ca="1" si="33"/>
        <v>-19896.816000000003</v>
      </c>
      <c r="BZ19" s="323"/>
      <c r="CA19" s="323"/>
      <c r="CB19" s="323"/>
      <c r="CC19" s="323"/>
      <c r="CD19" s="323"/>
      <c r="CE19" s="323"/>
      <c r="CF19" s="323"/>
      <c r="CG19" s="323"/>
      <c r="CH19" s="323"/>
      <c r="CI19" s="323"/>
      <c r="CJ19" s="323"/>
      <c r="CK19" s="323"/>
      <c r="CL19" s="323"/>
      <c r="CM19" s="323"/>
      <c r="CN19" s="323"/>
      <c r="CO19" s="323"/>
      <c r="CP19" s="323"/>
      <c r="CQ19" s="323"/>
      <c r="CR19" s="323"/>
      <c r="CS19" s="323"/>
      <c r="CT19" s="323"/>
      <c r="CU19" s="323"/>
      <c r="CV19" s="323"/>
      <c r="CW19" s="323"/>
      <c r="CX19" s="323"/>
      <c r="CY19" s="323"/>
      <c r="CZ19" s="323"/>
      <c r="DA19" s="323"/>
      <c r="DB19" s="323"/>
      <c r="DC19" s="323"/>
      <c r="DD19" s="323"/>
      <c r="DE19" s="323"/>
      <c r="DF19" s="323"/>
      <c r="DG19" s="323"/>
      <c r="DH19" s="323"/>
      <c r="DI19" s="323"/>
      <c r="DJ19" s="323"/>
      <c r="DK19" s="323"/>
      <c r="DL19" s="323"/>
      <c r="DM19" s="323"/>
      <c r="DN19" s="323"/>
      <c r="DO19" s="323"/>
      <c r="DP19" s="323"/>
      <c r="DQ19" s="323"/>
      <c r="DR19" s="323"/>
      <c r="DS19" s="323"/>
      <c r="DT19" s="323"/>
      <c r="DU19" s="323"/>
      <c r="DV19" s="323"/>
      <c r="DW19" s="323"/>
      <c r="DX19" s="323"/>
      <c r="DY19" s="323"/>
      <c r="DZ19" s="323"/>
      <c r="EA19" s="323"/>
      <c r="EB19" s="323"/>
      <c r="EC19" s="323"/>
      <c r="ED19" s="323"/>
      <c r="EE19" s="323"/>
      <c r="EF19" s="323"/>
      <c r="EG19" s="323"/>
      <c r="EH19" s="323"/>
      <c r="EI19" s="323"/>
      <c r="EJ19" s="323"/>
      <c r="EK19" s="323"/>
      <c r="EL19" s="323"/>
      <c r="EM19" s="323"/>
      <c r="EN19" s="323"/>
      <c r="EO19" s="323"/>
      <c r="EP19" s="323"/>
      <c r="EQ19" s="323"/>
      <c r="ER19" s="323"/>
      <c r="ES19" s="323"/>
      <c r="ET19" s="323"/>
      <c r="EU19" s="323"/>
      <c r="EV19" s="323"/>
      <c r="EW19" s="323"/>
      <c r="EX19" s="323"/>
      <c r="EY19" s="323"/>
      <c r="EZ19" s="323"/>
      <c r="FA19" s="323"/>
      <c r="FB19" s="323"/>
      <c r="FC19" s="323"/>
      <c r="FD19" s="323"/>
      <c r="FE19" s="323"/>
      <c r="FF19" s="323"/>
      <c r="FG19" s="323"/>
      <c r="FH19" s="323"/>
      <c r="FI19" s="323"/>
      <c r="FJ19" s="323"/>
      <c r="FK19" s="323"/>
      <c r="FL19" s="323"/>
      <c r="FM19" s="323"/>
      <c r="FN19" s="323"/>
      <c r="FO19" s="323"/>
      <c r="FP19" s="323"/>
      <c r="FQ19" s="323"/>
      <c r="FR19" s="323"/>
      <c r="FS19" s="323"/>
      <c r="FT19" s="323"/>
      <c r="FU19" s="323"/>
      <c r="FV19" s="323"/>
      <c r="FW19" s="323"/>
      <c r="FX19" s="323"/>
      <c r="FY19" s="323"/>
      <c r="FZ19" s="323"/>
      <c r="GA19" s="323"/>
      <c r="GB19" s="323"/>
      <c r="GC19" s="323"/>
      <c r="GD19" s="323"/>
      <c r="GE19" s="323"/>
      <c r="GF19" s="323"/>
      <c r="GG19" s="323"/>
      <c r="GH19" s="323"/>
      <c r="GI19" s="323"/>
      <c r="GJ19" s="323"/>
      <c r="GK19" s="323"/>
      <c r="GL19" s="323"/>
      <c r="GM19" s="323"/>
      <c r="GN19" s="323"/>
      <c r="GO19" s="323"/>
      <c r="GP19" s="323"/>
      <c r="GQ19" s="323"/>
      <c r="GR19" s="323"/>
      <c r="GS19" s="323"/>
      <c r="GT19" s="323"/>
      <c r="GU19" s="323"/>
      <c r="GV19" s="323"/>
      <c r="GW19" s="323"/>
      <c r="GX19" s="323"/>
      <c r="GY19" s="323"/>
      <c r="GZ19" s="323"/>
      <c r="HA19" s="323"/>
      <c r="HB19" s="323"/>
      <c r="HC19" s="323"/>
      <c r="HD19" s="323"/>
      <c r="HE19" s="323"/>
      <c r="HF19" s="323"/>
      <c r="HG19" s="323"/>
      <c r="HH19" s="323"/>
      <c r="HI19" s="323"/>
      <c r="HJ19" s="323"/>
      <c r="HK19" s="323"/>
      <c r="HL19" s="323"/>
      <c r="HM19" s="323"/>
      <c r="HN19" s="323"/>
      <c r="HO19" s="323"/>
      <c r="HP19" s="323"/>
      <c r="HQ19" s="323"/>
      <c r="HR19" s="323"/>
      <c r="HS19" s="323"/>
      <c r="HT19" s="323"/>
      <c r="HU19" s="323"/>
      <c r="HV19" s="323"/>
      <c r="HW19" s="323"/>
      <c r="HX19" s="323"/>
      <c r="HY19" s="323"/>
      <c r="HZ19" s="323"/>
      <c r="IA19" s="323"/>
      <c r="IB19" s="323"/>
      <c r="IC19" s="323"/>
      <c r="ID19" s="323"/>
      <c r="IE19" s="323"/>
      <c r="IF19" s="323"/>
      <c r="IG19" s="323"/>
      <c r="IH19" s="323"/>
      <c r="II19" s="323"/>
      <c r="IJ19" s="323"/>
      <c r="IK19" s="323"/>
      <c r="IL19" s="323"/>
      <c r="IM19" s="323"/>
      <c r="IN19" s="323"/>
      <c r="IO19" s="323"/>
      <c r="IP19" s="323"/>
      <c r="IQ19" s="323"/>
      <c r="IR19" s="323"/>
      <c r="IS19" s="323"/>
      <c r="IT19" s="323"/>
      <c r="IU19" s="323"/>
      <c r="IV19" s="323"/>
    </row>
    <row r="20" spans="1:256" ht="54">
      <c r="A20" s="178" t="s">
        <v>122</v>
      </c>
      <c r="B20" s="151" t="s">
        <v>162</v>
      </c>
      <c r="C20" s="151" t="s">
        <v>124</v>
      </c>
      <c r="D20" s="179" t="s">
        <v>130</v>
      </c>
      <c r="E20" s="151" t="s">
        <v>117</v>
      </c>
      <c r="F20" s="151" t="s">
        <v>131</v>
      </c>
      <c r="G20" s="152" t="str">
        <f t="shared" si="0"/>
        <v>No of Racks</v>
      </c>
      <c r="H20" s="151">
        <v>10</v>
      </c>
      <c r="I20" s="151">
        <v>10</v>
      </c>
      <c r="J20" s="180">
        <f t="shared" si="35"/>
        <v>0</v>
      </c>
      <c r="K20" s="151">
        <v>10</v>
      </c>
      <c r="L20" s="151"/>
      <c r="M20" s="83">
        <f>2289000/12</f>
        <v>190750</v>
      </c>
      <c r="N20" s="182">
        <f t="shared" si="34"/>
        <v>2289000</v>
      </c>
      <c r="O20" s="183" t="str">
        <f t="shared" si="1"/>
        <v>Rated</v>
      </c>
      <c r="P20" s="151" t="s">
        <v>108</v>
      </c>
      <c r="Q20" s="151">
        <v>40</v>
      </c>
      <c r="R20" s="192">
        <v>12.26</v>
      </c>
      <c r="S20" s="185">
        <f t="shared" si="36"/>
        <v>27.740000000000002</v>
      </c>
      <c r="T20" s="186"/>
      <c r="U20" s="186">
        <f t="shared" ca="1" si="3"/>
        <v>13.870000000000001</v>
      </c>
      <c r="V20" s="186">
        <f t="shared" ca="1" si="4"/>
        <v>20</v>
      </c>
      <c r="W20" s="202">
        <f t="shared" ref="W20:W37" si="39">R20</f>
        <v>12.26</v>
      </c>
      <c r="X20" s="186"/>
      <c r="Y20" s="83"/>
      <c r="Z20" s="189" t="str">
        <f t="shared" si="37"/>
        <v>Metered</v>
      </c>
      <c r="AA20" s="186">
        <v>1</v>
      </c>
      <c r="AB20" s="179" t="s">
        <v>145</v>
      </c>
      <c r="AC20" s="190">
        <v>17</v>
      </c>
      <c r="AD20" s="199">
        <v>8704.5910000000094</v>
      </c>
      <c r="AE20" s="120"/>
      <c r="AF20" s="152" t="str">
        <f t="shared" si="6"/>
        <v/>
      </c>
      <c r="AG20" s="186"/>
      <c r="AH20" s="186"/>
      <c r="AI20" s="186"/>
      <c r="AJ20" s="186"/>
      <c r="AK20" s="186"/>
      <c r="AL20" s="181"/>
      <c r="AM20" s="83">
        <f t="shared" si="38"/>
        <v>1907500</v>
      </c>
      <c r="AN20" s="83">
        <f t="shared" si="8"/>
        <v>0</v>
      </c>
      <c r="AO20" s="83">
        <f t="shared" si="9"/>
        <v>147978.04700000017</v>
      </c>
      <c r="AP20" s="83">
        <f t="shared" si="10"/>
        <v>0</v>
      </c>
      <c r="AQ20" s="84">
        <f>(30000+300000+165000+60000)</f>
        <v>555000</v>
      </c>
      <c r="AR20" s="85">
        <f t="shared" si="11"/>
        <v>2610478.0470000003</v>
      </c>
      <c r="AS20" s="86">
        <f t="shared" si="12"/>
        <v>31325736.564000003</v>
      </c>
      <c r="AT20" s="85" t="s">
        <v>119</v>
      </c>
      <c r="AU20" s="69"/>
      <c r="AV20" s="191">
        <v>43817</v>
      </c>
      <c r="AW20" s="69">
        <v>3</v>
      </c>
      <c r="AX20" s="191">
        <v>44521</v>
      </c>
      <c r="AY20" s="69"/>
      <c r="AZ20" s="323"/>
      <c r="BA20" s="84">
        <f t="shared" si="13"/>
        <v>261047.80470000004</v>
      </c>
      <c r="BB20" s="84">
        <f t="shared" ca="1" si="14"/>
        <v>130523.90235000002</v>
      </c>
      <c r="BC20" s="84">
        <f t="shared" ca="1" si="15"/>
        <v>96526.70300822788</v>
      </c>
      <c r="BD20" s="84">
        <f t="shared" ca="1" si="15"/>
        <v>96526.70300822788</v>
      </c>
      <c r="BE20" s="84">
        <f t="shared" ca="1" si="16"/>
        <v>97093.179799999998</v>
      </c>
      <c r="BF20" s="84"/>
      <c r="BG20" s="90">
        <f t="shared" si="17"/>
        <v>2055478.0470000003</v>
      </c>
      <c r="BH20" s="90">
        <f t="shared" si="18"/>
        <v>1907500</v>
      </c>
      <c r="BI20" s="90">
        <f t="shared" si="19"/>
        <v>147978.04700000017</v>
      </c>
      <c r="BJ20" s="91" t="e">
        <f t="shared" si="20"/>
        <v>#VALUE!</v>
      </c>
      <c r="BK20" s="91" t="e">
        <f t="shared" si="21"/>
        <v>#VALUE!</v>
      </c>
      <c r="BL20" s="91">
        <f t="shared" ca="1" si="22"/>
        <v>177184.40400000001</v>
      </c>
      <c r="BM20" s="91">
        <f t="shared" ca="1" si="23"/>
        <v>1930534.0601645575</v>
      </c>
      <c r="BN20" s="91">
        <f t="shared" ca="1" si="24"/>
        <v>120000</v>
      </c>
      <c r="BO20" s="91">
        <f t="shared" ca="1" si="25"/>
        <v>1787500</v>
      </c>
      <c r="BP20" s="91" t="e">
        <f t="shared" si="26"/>
        <v>#VALUE!</v>
      </c>
      <c r="BQ20" s="91">
        <f t="shared" ca="1" si="27"/>
        <v>1810534.0601645573</v>
      </c>
      <c r="BR20" s="91">
        <f t="shared" ca="1" si="28"/>
        <v>20</v>
      </c>
      <c r="BS20" s="91">
        <f t="shared" ca="1" si="29"/>
        <v>96526.70300822788</v>
      </c>
      <c r="BT20" s="91" t="e">
        <f t="shared" si="30"/>
        <v>#VALUE!</v>
      </c>
      <c r="BU20" s="91">
        <f t="shared" ca="1" si="31"/>
        <v>1787500</v>
      </c>
      <c r="BV20" s="91">
        <f t="shared" ca="1" si="32"/>
        <v>1810534.0601645573</v>
      </c>
      <c r="BW20" s="91">
        <f t="shared" ca="1" si="33"/>
        <v>1151.7030082278695</v>
      </c>
      <c r="BX20" s="91">
        <f t="shared" ca="1" si="33"/>
        <v>89375</v>
      </c>
      <c r="BY20" s="91">
        <f t="shared" ca="1" si="33"/>
        <v>90526.703008227865</v>
      </c>
      <c r="BZ20" s="323"/>
      <c r="CA20" s="323"/>
      <c r="CB20" s="323"/>
      <c r="CC20" s="323"/>
      <c r="CD20" s="323"/>
      <c r="CE20" s="323"/>
      <c r="CF20" s="323"/>
      <c r="CG20" s="323"/>
      <c r="CH20" s="323"/>
      <c r="CI20" s="323"/>
      <c r="CJ20" s="323"/>
      <c r="CK20" s="323"/>
      <c r="CL20" s="323"/>
      <c r="CM20" s="323"/>
      <c r="CN20" s="323"/>
      <c r="CO20" s="323"/>
      <c r="CP20" s="323"/>
      <c r="CQ20" s="323"/>
      <c r="CR20" s="323"/>
      <c r="CS20" s="323"/>
      <c r="CT20" s="323"/>
      <c r="CU20" s="323"/>
      <c r="CV20" s="323"/>
      <c r="CW20" s="323"/>
      <c r="CX20" s="323"/>
      <c r="CY20" s="323"/>
      <c r="CZ20" s="323"/>
      <c r="DA20" s="323"/>
      <c r="DB20" s="323"/>
      <c r="DC20" s="323"/>
      <c r="DD20" s="323"/>
      <c r="DE20" s="323"/>
      <c r="DF20" s="323"/>
      <c r="DG20" s="323"/>
      <c r="DH20" s="323"/>
      <c r="DI20" s="323"/>
      <c r="DJ20" s="323"/>
      <c r="DK20" s="323"/>
      <c r="DL20" s="323"/>
      <c r="DM20" s="323"/>
      <c r="DN20" s="323"/>
      <c r="DO20" s="323"/>
      <c r="DP20" s="323"/>
      <c r="DQ20" s="323"/>
      <c r="DR20" s="323"/>
      <c r="DS20" s="323"/>
      <c r="DT20" s="323"/>
      <c r="DU20" s="323"/>
      <c r="DV20" s="323"/>
      <c r="DW20" s="323"/>
      <c r="DX20" s="323"/>
      <c r="DY20" s="323"/>
      <c r="DZ20" s="323"/>
      <c r="EA20" s="323"/>
      <c r="EB20" s="323"/>
      <c r="EC20" s="323"/>
      <c r="ED20" s="323"/>
      <c r="EE20" s="323"/>
      <c r="EF20" s="323"/>
      <c r="EG20" s="323"/>
      <c r="EH20" s="323"/>
      <c r="EI20" s="323"/>
      <c r="EJ20" s="323"/>
      <c r="EK20" s="323"/>
      <c r="EL20" s="323"/>
      <c r="EM20" s="323"/>
      <c r="EN20" s="323"/>
      <c r="EO20" s="323"/>
      <c r="EP20" s="323"/>
      <c r="EQ20" s="323"/>
      <c r="ER20" s="323"/>
      <c r="ES20" s="323"/>
      <c r="ET20" s="323"/>
      <c r="EU20" s="323"/>
      <c r="EV20" s="323"/>
      <c r="EW20" s="323"/>
      <c r="EX20" s="323"/>
      <c r="EY20" s="323"/>
      <c r="EZ20" s="323"/>
      <c r="FA20" s="323"/>
      <c r="FB20" s="323"/>
      <c r="FC20" s="323"/>
      <c r="FD20" s="323"/>
      <c r="FE20" s="323"/>
      <c r="FF20" s="323"/>
      <c r="FG20" s="323"/>
      <c r="FH20" s="323"/>
      <c r="FI20" s="323"/>
      <c r="FJ20" s="323"/>
      <c r="FK20" s="323"/>
      <c r="FL20" s="323"/>
      <c r="FM20" s="323"/>
      <c r="FN20" s="323"/>
      <c r="FO20" s="323"/>
      <c r="FP20" s="323"/>
      <c r="FQ20" s="323"/>
      <c r="FR20" s="323"/>
      <c r="FS20" s="323"/>
      <c r="FT20" s="323"/>
      <c r="FU20" s="323"/>
      <c r="FV20" s="323"/>
      <c r="FW20" s="323"/>
      <c r="FX20" s="323"/>
      <c r="FY20" s="323"/>
      <c r="FZ20" s="323"/>
      <c r="GA20" s="323"/>
      <c r="GB20" s="323"/>
      <c r="GC20" s="323"/>
      <c r="GD20" s="323"/>
      <c r="GE20" s="323"/>
      <c r="GF20" s="323"/>
      <c r="GG20" s="323"/>
      <c r="GH20" s="323"/>
      <c r="GI20" s="323"/>
      <c r="GJ20" s="323"/>
      <c r="GK20" s="323"/>
      <c r="GL20" s="323"/>
      <c r="GM20" s="323"/>
      <c r="GN20" s="323"/>
      <c r="GO20" s="323"/>
      <c r="GP20" s="323"/>
      <c r="GQ20" s="323"/>
      <c r="GR20" s="323"/>
      <c r="GS20" s="323"/>
      <c r="GT20" s="323"/>
      <c r="GU20" s="323"/>
      <c r="GV20" s="323"/>
      <c r="GW20" s="323"/>
      <c r="GX20" s="323"/>
      <c r="GY20" s="323"/>
      <c r="GZ20" s="323"/>
      <c r="HA20" s="323"/>
      <c r="HB20" s="323"/>
      <c r="HC20" s="323"/>
      <c r="HD20" s="323"/>
      <c r="HE20" s="323"/>
      <c r="HF20" s="323"/>
      <c r="HG20" s="323"/>
      <c r="HH20" s="323"/>
      <c r="HI20" s="323"/>
      <c r="HJ20" s="323"/>
      <c r="HK20" s="323"/>
      <c r="HL20" s="323"/>
      <c r="HM20" s="323"/>
      <c r="HN20" s="323"/>
      <c r="HO20" s="323"/>
      <c r="HP20" s="323"/>
      <c r="HQ20" s="323"/>
      <c r="HR20" s="323"/>
      <c r="HS20" s="323"/>
      <c r="HT20" s="323"/>
      <c r="HU20" s="323"/>
      <c r="HV20" s="323"/>
      <c r="HW20" s="323"/>
      <c r="HX20" s="323"/>
      <c r="HY20" s="323"/>
      <c r="HZ20" s="323"/>
      <c r="IA20" s="323"/>
      <c r="IB20" s="323"/>
      <c r="IC20" s="323"/>
      <c r="ID20" s="323"/>
      <c r="IE20" s="323"/>
      <c r="IF20" s="323"/>
      <c r="IG20" s="323"/>
      <c r="IH20" s="323"/>
      <c r="II20" s="323"/>
      <c r="IJ20" s="323"/>
      <c r="IK20" s="323"/>
      <c r="IL20" s="323"/>
      <c r="IM20" s="323"/>
      <c r="IN20" s="323"/>
      <c r="IO20" s="323"/>
      <c r="IP20" s="323"/>
      <c r="IQ20" s="323"/>
      <c r="IR20" s="323"/>
      <c r="IS20" s="323"/>
      <c r="IT20" s="323"/>
      <c r="IU20" s="323"/>
      <c r="IV20" s="323"/>
    </row>
    <row r="21" spans="1:256" ht="42.75">
      <c r="A21" s="178" t="s">
        <v>122</v>
      </c>
      <c r="B21" s="151" t="s">
        <v>163</v>
      </c>
      <c r="C21" s="151" t="s">
        <v>124</v>
      </c>
      <c r="D21" s="179" t="s">
        <v>116</v>
      </c>
      <c r="E21" s="151" t="s">
        <v>164</v>
      </c>
      <c r="F21" s="151" t="s">
        <v>118</v>
      </c>
      <c r="G21" s="152" t="str">
        <f t="shared" si="0"/>
        <v>U Space</v>
      </c>
      <c r="H21" s="151">
        <v>22</v>
      </c>
      <c r="I21" s="151">
        <v>22</v>
      </c>
      <c r="J21" s="180">
        <f t="shared" si="35"/>
        <v>0</v>
      </c>
      <c r="K21" s="151">
        <v>22</v>
      </c>
      <c r="L21" s="151"/>
      <c r="M21" s="181">
        <f>(410000+30000)/12</f>
        <v>36666.666666666664</v>
      </c>
      <c r="N21" s="182">
        <f t="shared" si="34"/>
        <v>440000</v>
      </c>
      <c r="O21" s="183" t="str">
        <f t="shared" si="1"/>
        <v>Rated</v>
      </c>
      <c r="P21" s="151" t="s">
        <v>125</v>
      </c>
      <c r="Q21" s="151">
        <v>4.57</v>
      </c>
      <c r="R21" s="223">
        <v>0</v>
      </c>
      <c r="S21" s="185">
        <f t="shared" si="36"/>
        <v>4.57</v>
      </c>
      <c r="T21" s="151"/>
      <c r="U21" s="186">
        <f t="shared" ca="1" si="3"/>
        <v>2.2850000000000001</v>
      </c>
      <c r="V21" s="186">
        <f t="shared" ca="1" si="4"/>
        <v>2.2850000000000001</v>
      </c>
      <c r="W21" s="188">
        <f t="shared" si="39"/>
        <v>0</v>
      </c>
      <c r="X21" s="186">
        <f>S21*-1</f>
        <v>-4.57</v>
      </c>
      <c r="Y21" s="83">
        <f>45000/6</f>
        <v>7500</v>
      </c>
      <c r="Z21" s="189" t="str">
        <f t="shared" si="37"/>
        <v>Bundled</v>
      </c>
      <c r="AA21" s="151"/>
      <c r="AB21" s="186"/>
      <c r="AC21" s="190"/>
      <c r="AD21" s="224"/>
      <c r="AE21" s="120"/>
      <c r="AF21" s="152" t="str">
        <f t="shared" si="6"/>
        <v/>
      </c>
      <c r="AG21" s="151"/>
      <c r="AH21" s="151"/>
      <c r="AI21" s="151"/>
      <c r="AJ21" s="151"/>
      <c r="AK21" s="151"/>
      <c r="AL21" s="181"/>
      <c r="AM21" s="83">
        <f t="shared" si="38"/>
        <v>806666.66666666663</v>
      </c>
      <c r="AN21" s="83">
        <f t="shared" si="8"/>
        <v>-34275</v>
      </c>
      <c r="AO21" s="83">
        <f t="shared" si="9"/>
        <v>0</v>
      </c>
      <c r="AP21" s="83">
        <f t="shared" si="10"/>
        <v>0</v>
      </c>
      <c r="AQ21" s="84">
        <f>25000/12</f>
        <v>2083.3333333333335</v>
      </c>
      <c r="AR21" s="85">
        <f t="shared" si="11"/>
        <v>774475</v>
      </c>
      <c r="AS21" s="86">
        <f t="shared" si="12"/>
        <v>9293700</v>
      </c>
      <c r="AT21" s="85" t="s">
        <v>119</v>
      </c>
      <c r="AU21" s="69">
        <v>721002743</v>
      </c>
      <c r="AV21" s="191">
        <v>42401</v>
      </c>
      <c r="AW21" s="69">
        <v>5</v>
      </c>
      <c r="AX21" s="191">
        <v>44228</v>
      </c>
      <c r="AY21" s="69" t="s">
        <v>121</v>
      </c>
      <c r="AZ21" s="323"/>
      <c r="BA21" s="84">
        <f t="shared" si="13"/>
        <v>1408136.3636363635</v>
      </c>
      <c r="BB21" s="84">
        <f t="shared" ca="1" si="14"/>
        <v>0</v>
      </c>
      <c r="BC21" s="84">
        <f t="shared" ca="1" si="15"/>
        <v>338026.98760029173</v>
      </c>
      <c r="BD21" s="84">
        <f t="shared" ca="1" si="15"/>
        <v>327604.37560029171</v>
      </c>
      <c r="BE21" s="84">
        <f t="shared" ca="1" si="16"/>
        <v>327604.37560029171</v>
      </c>
      <c r="BF21" s="84"/>
      <c r="BG21" s="90">
        <f t="shared" si="17"/>
        <v>772391.66666666663</v>
      </c>
      <c r="BH21" s="90">
        <f t="shared" ca="1" si="18"/>
        <v>748575.99824666663</v>
      </c>
      <c r="BI21" s="90">
        <f t="shared" ca="1" si="19"/>
        <v>23815.668420000005</v>
      </c>
      <c r="BJ21" s="91">
        <f t="shared" si="20"/>
        <v>0</v>
      </c>
      <c r="BK21" s="91">
        <f t="shared" ca="1" si="21"/>
        <v>23815.668420000005</v>
      </c>
      <c r="BL21" s="91">
        <f t="shared" ca="1" si="22"/>
        <v>23815.668420000005</v>
      </c>
      <c r="BM21" s="91">
        <f t="shared" ca="1" si="23"/>
        <v>772391.66666666663</v>
      </c>
      <c r="BN21" s="91">
        <f t="shared" ca="1" si="24"/>
        <v>13710</v>
      </c>
      <c r="BO21" s="91">
        <f t="shared" ca="1" si="25"/>
        <v>734865.99824666663</v>
      </c>
      <c r="BP21" s="91">
        <f t="shared" ca="1" si="26"/>
        <v>23815.668420000005</v>
      </c>
      <c r="BQ21" s="91">
        <f t="shared" ca="1" si="27"/>
        <v>758681.66666666663</v>
      </c>
      <c r="BR21" s="91">
        <f t="shared" ca="1" si="28"/>
        <v>2.2850000000000001</v>
      </c>
      <c r="BS21" s="91">
        <f t="shared" ca="1" si="29"/>
        <v>338026.98760029173</v>
      </c>
      <c r="BT21" s="91">
        <f t="shared" ca="1" si="30"/>
        <v>23815.668420000005</v>
      </c>
      <c r="BU21" s="91">
        <f t="shared" ca="1" si="31"/>
        <v>734865.99824666663</v>
      </c>
      <c r="BV21" s="91">
        <f t="shared" ca="1" si="32"/>
        <v>758681.66666666663</v>
      </c>
      <c r="BW21" s="91">
        <f t="shared" ca="1" si="33"/>
        <v>10422.612000000001</v>
      </c>
      <c r="BX21" s="91">
        <f t="shared" ca="1" si="33"/>
        <v>321604.37560029171</v>
      </c>
      <c r="BY21" s="91">
        <f t="shared" ca="1" si="33"/>
        <v>332026.98760029173</v>
      </c>
      <c r="BZ21" s="323"/>
      <c r="CA21" s="323"/>
      <c r="CB21" s="323"/>
      <c r="CC21" s="323"/>
      <c r="CD21" s="323"/>
      <c r="CE21" s="323"/>
      <c r="CF21" s="323"/>
      <c r="CG21" s="323"/>
      <c r="CH21" s="323"/>
      <c r="CI21" s="323"/>
      <c r="CJ21" s="323"/>
      <c r="CK21" s="323"/>
      <c r="CL21" s="323"/>
      <c r="CM21" s="323"/>
      <c r="CN21" s="323"/>
      <c r="CO21" s="323"/>
      <c r="CP21" s="323"/>
      <c r="CQ21" s="323"/>
      <c r="CR21" s="323"/>
      <c r="CS21" s="323"/>
      <c r="CT21" s="323"/>
      <c r="CU21" s="323"/>
      <c r="CV21" s="323"/>
      <c r="CW21" s="323"/>
      <c r="CX21" s="323"/>
      <c r="CY21" s="323"/>
      <c r="CZ21" s="323"/>
      <c r="DA21" s="323"/>
      <c r="DB21" s="323"/>
      <c r="DC21" s="323"/>
      <c r="DD21" s="323"/>
      <c r="DE21" s="323"/>
      <c r="DF21" s="323"/>
      <c r="DG21" s="323"/>
      <c r="DH21" s="323"/>
      <c r="DI21" s="323"/>
      <c r="DJ21" s="323"/>
      <c r="DK21" s="323"/>
      <c r="DL21" s="323"/>
      <c r="DM21" s="323"/>
      <c r="DN21" s="323"/>
      <c r="DO21" s="323"/>
      <c r="DP21" s="323"/>
      <c r="DQ21" s="323"/>
      <c r="DR21" s="323"/>
      <c r="DS21" s="323"/>
      <c r="DT21" s="323"/>
      <c r="DU21" s="323"/>
      <c r="DV21" s="323"/>
      <c r="DW21" s="323"/>
      <c r="DX21" s="323"/>
      <c r="DY21" s="323"/>
      <c r="DZ21" s="323"/>
      <c r="EA21" s="323"/>
      <c r="EB21" s="323"/>
      <c r="EC21" s="323"/>
      <c r="ED21" s="323"/>
      <c r="EE21" s="323"/>
      <c r="EF21" s="323"/>
      <c r="EG21" s="323"/>
      <c r="EH21" s="323"/>
      <c r="EI21" s="323"/>
      <c r="EJ21" s="323"/>
      <c r="EK21" s="323"/>
      <c r="EL21" s="323"/>
      <c r="EM21" s="323"/>
      <c r="EN21" s="323"/>
      <c r="EO21" s="323"/>
      <c r="EP21" s="323"/>
      <c r="EQ21" s="323"/>
      <c r="ER21" s="323"/>
      <c r="ES21" s="323"/>
      <c r="ET21" s="323"/>
      <c r="EU21" s="323"/>
      <c r="EV21" s="323"/>
      <c r="EW21" s="323"/>
      <c r="EX21" s="323"/>
      <c r="EY21" s="323"/>
      <c r="EZ21" s="323"/>
      <c r="FA21" s="323"/>
      <c r="FB21" s="323"/>
      <c r="FC21" s="323"/>
      <c r="FD21" s="323"/>
      <c r="FE21" s="323"/>
      <c r="FF21" s="323"/>
      <c r="FG21" s="323"/>
      <c r="FH21" s="323"/>
      <c r="FI21" s="323"/>
      <c r="FJ21" s="323"/>
      <c r="FK21" s="323"/>
      <c r="FL21" s="323"/>
      <c r="FM21" s="323"/>
      <c r="FN21" s="323"/>
      <c r="FO21" s="323"/>
      <c r="FP21" s="323"/>
      <c r="FQ21" s="323"/>
      <c r="FR21" s="323"/>
      <c r="FS21" s="323"/>
      <c r="FT21" s="323"/>
      <c r="FU21" s="323"/>
      <c r="FV21" s="323"/>
      <c r="FW21" s="323"/>
      <c r="FX21" s="323"/>
      <c r="FY21" s="323"/>
      <c r="FZ21" s="323"/>
      <c r="GA21" s="323"/>
      <c r="GB21" s="323"/>
      <c r="GC21" s="323"/>
      <c r="GD21" s="323"/>
      <c r="GE21" s="323"/>
      <c r="GF21" s="323"/>
      <c r="GG21" s="323"/>
      <c r="GH21" s="323"/>
      <c r="GI21" s="323"/>
      <c r="GJ21" s="323"/>
      <c r="GK21" s="323"/>
      <c r="GL21" s="323"/>
      <c r="GM21" s="323"/>
      <c r="GN21" s="323"/>
      <c r="GO21" s="323"/>
      <c r="GP21" s="323"/>
      <c r="GQ21" s="323"/>
      <c r="GR21" s="323"/>
      <c r="GS21" s="323"/>
      <c r="GT21" s="323"/>
      <c r="GU21" s="323"/>
      <c r="GV21" s="323"/>
      <c r="GW21" s="323"/>
      <c r="GX21" s="323"/>
      <c r="GY21" s="323"/>
      <c r="GZ21" s="323"/>
      <c r="HA21" s="323"/>
      <c r="HB21" s="323"/>
      <c r="HC21" s="323"/>
      <c r="HD21" s="323"/>
      <c r="HE21" s="323"/>
      <c r="HF21" s="323"/>
      <c r="HG21" s="323"/>
      <c r="HH21" s="323"/>
      <c r="HI21" s="323"/>
      <c r="HJ21" s="323"/>
      <c r="HK21" s="323"/>
      <c r="HL21" s="323"/>
      <c r="HM21" s="323"/>
      <c r="HN21" s="323"/>
      <c r="HO21" s="323"/>
      <c r="HP21" s="323"/>
      <c r="HQ21" s="323"/>
      <c r="HR21" s="323"/>
      <c r="HS21" s="323"/>
      <c r="HT21" s="323"/>
      <c r="HU21" s="323"/>
      <c r="HV21" s="323"/>
      <c r="HW21" s="323"/>
      <c r="HX21" s="323"/>
      <c r="HY21" s="323"/>
      <c r="HZ21" s="323"/>
      <c r="IA21" s="323"/>
      <c r="IB21" s="323"/>
      <c r="IC21" s="323"/>
      <c r="ID21" s="323"/>
      <c r="IE21" s="323"/>
      <c r="IF21" s="323"/>
      <c r="IG21" s="323"/>
      <c r="IH21" s="323"/>
      <c r="II21" s="323"/>
      <c r="IJ21" s="323"/>
      <c r="IK21" s="323"/>
      <c r="IL21" s="323"/>
      <c r="IM21" s="323"/>
      <c r="IN21" s="323"/>
      <c r="IO21" s="323"/>
      <c r="IP21" s="323"/>
      <c r="IQ21" s="323"/>
      <c r="IR21" s="323"/>
      <c r="IS21" s="323"/>
      <c r="IT21" s="323"/>
      <c r="IU21" s="323"/>
      <c r="IV21" s="323"/>
    </row>
    <row r="22" spans="1:256" ht="32.25">
      <c r="A22" s="178" t="s">
        <v>122</v>
      </c>
      <c r="B22" s="151" t="s">
        <v>165</v>
      </c>
      <c r="C22" s="151" t="s">
        <v>124</v>
      </c>
      <c r="D22" s="179" t="s">
        <v>116</v>
      </c>
      <c r="E22" s="151" t="s">
        <v>164</v>
      </c>
      <c r="F22" s="151" t="s">
        <v>118</v>
      </c>
      <c r="G22" s="152" t="str">
        <f t="shared" si="0"/>
        <v>U Space</v>
      </c>
      <c r="H22" s="151">
        <v>21</v>
      </c>
      <c r="I22" s="151">
        <v>21</v>
      </c>
      <c r="J22" s="180">
        <f t="shared" si="35"/>
        <v>0</v>
      </c>
      <c r="K22" s="151">
        <v>21</v>
      </c>
      <c r="L22" s="151"/>
      <c r="M22" s="181">
        <f>295000/12</f>
        <v>24583.333333333332</v>
      </c>
      <c r="N22" s="83">
        <f t="shared" si="34"/>
        <v>295000</v>
      </c>
      <c r="O22" s="183" t="str">
        <f t="shared" si="1"/>
        <v>Rated</v>
      </c>
      <c r="P22" s="151" t="s">
        <v>125</v>
      </c>
      <c r="Q22" s="151">
        <v>1.5</v>
      </c>
      <c r="R22" s="223">
        <v>3.78</v>
      </c>
      <c r="S22" s="185">
        <f t="shared" si="36"/>
        <v>-2.2799999999999998</v>
      </c>
      <c r="T22" s="151"/>
      <c r="U22" s="186">
        <f t="shared" si="3"/>
        <v>0</v>
      </c>
      <c r="V22" s="186">
        <f t="shared" ca="1" si="4"/>
        <v>0.75</v>
      </c>
      <c r="W22" s="188">
        <f t="shared" si="39"/>
        <v>3.78</v>
      </c>
      <c r="X22" s="186">
        <f>S22*-1</f>
        <v>2.2799999999999998</v>
      </c>
      <c r="Y22" s="83"/>
      <c r="Z22" s="189" t="str">
        <f t="shared" si="37"/>
        <v>Bundled</v>
      </c>
      <c r="AA22" s="151"/>
      <c r="AB22" s="186"/>
      <c r="AC22" s="190"/>
      <c r="AD22" s="199"/>
      <c r="AE22" s="120"/>
      <c r="AF22" s="152" t="str">
        <f t="shared" si="6"/>
        <v/>
      </c>
      <c r="AG22" s="151"/>
      <c r="AH22" s="151"/>
      <c r="AI22" s="151"/>
      <c r="AJ22" s="151"/>
      <c r="AK22" s="151"/>
      <c r="AL22" s="181"/>
      <c r="AM22" s="83">
        <f t="shared" si="38"/>
        <v>516250</v>
      </c>
      <c r="AN22" s="83">
        <f t="shared" si="8"/>
        <v>0</v>
      </c>
      <c r="AO22" s="83">
        <f t="shared" si="9"/>
        <v>0</v>
      </c>
      <c r="AP22" s="83">
        <f t="shared" si="10"/>
        <v>0</v>
      </c>
      <c r="AQ22" s="84">
        <f>75000/12</f>
        <v>6250</v>
      </c>
      <c r="AR22" s="85">
        <f t="shared" si="11"/>
        <v>522500</v>
      </c>
      <c r="AS22" s="85">
        <f t="shared" si="12"/>
        <v>6270000</v>
      </c>
      <c r="AT22" s="85" t="s">
        <v>119</v>
      </c>
      <c r="AU22" s="69" t="s">
        <v>166</v>
      </c>
      <c r="AV22" s="191">
        <v>43543</v>
      </c>
      <c r="AW22" s="69">
        <v>5</v>
      </c>
      <c r="AX22" s="191">
        <v>43518</v>
      </c>
      <c r="AY22" s="69" t="s">
        <v>121</v>
      </c>
      <c r="AZ22" s="323"/>
      <c r="BA22" s="84">
        <f t="shared" si="13"/>
        <v>995238.09523809527</v>
      </c>
      <c r="BB22" s="84">
        <f t="shared" ca="1" si="14"/>
        <v>0</v>
      </c>
      <c r="BC22" s="84">
        <f t="shared" ca="1" si="15"/>
        <v>635803.36885333329</v>
      </c>
      <c r="BD22" s="84">
        <f t="shared" ca="1" si="15"/>
        <v>635803.36885333329</v>
      </c>
      <c r="BE22" s="84">
        <f t="shared" ca="1" si="16"/>
        <v>677910.72133333341</v>
      </c>
      <c r="BF22" s="84"/>
      <c r="BG22" s="93">
        <f t="shared" si="17"/>
        <v>516250</v>
      </c>
      <c r="BH22" s="93">
        <f t="shared" ca="1" si="18"/>
        <v>508433.04100000003</v>
      </c>
      <c r="BI22" s="93">
        <f t="shared" ca="1" si="19"/>
        <v>7816.9590000000007</v>
      </c>
      <c r="BJ22" s="91">
        <f t="shared" si="20"/>
        <v>32903.353980000036</v>
      </c>
      <c r="BK22" s="91">
        <f t="shared" si="21"/>
        <v>32903.353980000036</v>
      </c>
      <c r="BL22" s="91">
        <f t="shared" ca="1" si="22"/>
        <v>7816.9590000000007</v>
      </c>
      <c r="BM22" s="91">
        <f t="shared" ca="1" si="23"/>
        <v>476852.52663999994</v>
      </c>
      <c r="BN22" s="91">
        <f t="shared" ca="1" si="24"/>
        <v>4500</v>
      </c>
      <c r="BO22" s="91">
        <f t="shared" ca="1" si="25"/>
        <v>503933.04100000003</v>
      </c>
      <c r="BP22" s="91">
        <f t="shared" ca="1" si="26"/>
        <v>-31580.514360000001</v>
      </c>
      <c r="BQ22" s="91">
        <f t="shared" ca="1" si="27"/>
        <v>472352.52664000005</v>
      </c>
      <c r="BR22" s="91">
        <f t="shared" ca="1" si="28"/>
        <v>0.75</v>
      </c>
      <c r="BS22" s="91">
        <f t="shared" ca="1" si="29"/>
        <v>635803.36885333329</v>
      </c>
      <c r="BT22" s="91">
        <f t="shared" ca="1" si="30"/>
        <v>-31580.514360000001</v>
      </c>
      <c r="BU22" s="91">
        <f t="shared" ca="1" si="31"/>
        <v>503933.04100000008</v>
      </c>
      <c r="BV22" s="91">
        <f t="shared" ca="1" si="32"/>
        <v>472352.52664000005</v>
      </c>
      <c r="BW22" s="91">
        <f t="shared" ca="1" si="33"/>
        <v>-42107.352480000001</v>
      </c>
      <c r="BX22" s="91">
        <f t="shared" ca="1" si="33"/>
        <v>671910.72133333341</v>
      </c>
      <c r="BY22" s="91">
        <f t="shared" ca="1" si="33"/>
        <v>629803.36885333341</v>
      </c>
      <c r="BZ22" s="323"/>
      <c r="CA22" s="323"/>
      <c r="CB22" s="323"/>
      <c r="CC22" s="323"/>
      <c r="CD22" s="323"/>
      <c r="CE22" s="323"/>
      <c r="CF22" s="323"/>
      <c r="CG22" s="323"/>
      <c r="CH22" s="323"/>
      <c r="CI22" s="323"/>
      <c r="CJ22" s="323"/>
      <c r="CK22" s="323"/>
      <c r="CL22" s="323"/>
      <c r="CM22" s="323"/>
      <c r="CN22" s="323"/>
      <c r="CO22" s="323"/>
      <c r="CP22" s="323"/>
      <c r="CQ22" s="323"/>
      <c r="CR22" s="323"/>
      <c r="CS22" s="323"/>
      <c r="CT22" s="323"/>
      <c r="CU22" s="323"/>
      <c r="CV22" s="323"/>
      <c r="CW22" s="323"/>
      <c r="CX22" s="323"/>
      <c r="CY22" s="323"/>
      <c r="CZ22" s="323"/>
      <c r="DA22" s="323"/>
      <c r="DB22" s="323"/>
      <c r="DC22" s="323"/>
      <c r="DD22" s="323"/>
      <c r="DE22" s="323"/>
      <c r="DF22" s="323"/>
      <c r="DG22" s="323"/>
      <c r="DH22" s="323"/>
      <c r="DI22" s="323"/>
      <c r="DJ22" s="323"/>
      <c r="DK22" s="323"/>
      <c r="DL22" s="323"/>
      <c r="DM22" s="323"/>
      <c r="DN22" s="323"/>
      <c r="DO22" s="323"/>
      <c r="DP22" s="323"/>
      <c r="DQ22" s="323"/>
      <c r="DR22" s="323"/>
      <c r="DS22" s="323"/>
      <c r="DT22" s="323"/>
      <c r="DU22" s="323"/>
      <c r="DV22" s="323"/>
      <c r="DW22" s="323"/>
      <c r="DX22" s="323"/>
      <c r="DY22" s="323"/>
      <c r="DZ22" s="323"/>
      <c r="EA22" s="323"/>
      <c r="EB22" s="323"/>
      <c r="EC22" s="323"/>
      <c r="ED22" s="323"/>
      <c r="EE22" s="323"/>
      <c r="EF22" s="323"/>
      <c r="EG22" s="323"/>
      <c r="EH22" s="323"/>
      <c r="EI22" s="323"/>
      <c r="EJ22" s="323"/>
      <c r="EK22" s="323"/>
      <c r="EL22" s="323"/>
      <c r="EM22" s="323"/>
      <c r="EN22" s="323"/>
      <c r="EO22" s="323"/>
      <c r="EP22" s="323"/>
      <c r="EQ22" s="323"/>
      <c r="ER22" s="323"/>
      <c r="ES22" s="323"/>
      <c r="ET22" s="323"/>
      <c r="EU22" s="323"/>
      <c r="EV22" s="323"/>
      <c r="EW22" s="323"/>
      <c r="EX22" s="323"/>
      <c r="EY22" s="323"/>
      <c r="EZ22" s="323"/>
      <c r="FA22" s="323"/>
      <c r="FB22" s="323"/>
      <c r="FC22" s="323"/>
      <c r="FD22" s="323"/>
      <c r="FE22" s="323"/>
      <c r="FF22" s="323"/>
      <c r="FG22" s="323"/>
      <c r="FH22" s="323"/>
      <c r="FI22" s="323"/>
      <c r="FJ22" s="323"/>
      <c r="FK22" s="323"/>
      <c r="FL22" s="323"/>
      <c r="FM22" s="323"/>
      <c r="FN22" s="323"/>
      <c r="FO22" s="323"/>
      <c r="FP22" s="323"/>
      <c r="FQ22" s="323"/>
      <c r="FR22" s="323"/>
      <c r="FS22" s="323"/>
      <c r="FT22" s="323"/>
      <c r="FU22" s="323"/>
      <c r="FV22" s="323"/>
      <c r="FW22" s="323"/>
      <c r="FX22" s="323"/>
      <c r="FY22" s="323"/>
      <c r="FZ22" s="323"/>
      <c r="GA22" s="323"/>
      <c r="GB22" s="323"/>
      <c r="GC22" s="323"/>
      <c r="GD22" s="323"/>
      <c r="GE22" s="323"/>
      <c r="GF22" s="323"/>
      <c r="GG22" s="323"/>
      <c r="GH22" s="323"/>
      <c r="GI22" s="323"/>
      <c r="GJ22" s="323"/>
      <c r="GK22" s="323"/>
      <c r="GL22" s="323"/>
      <c r="GM22" s="323"/>
      <c r="GN22" s="323"/>
      <c r="GO22" s="323"/>
      <c r="GP22" s="323"/>
      <c r="GQ22" s="323"/>
      <c r="GR22" s="323"/>
      <c r="GS22" s="323"/>
      <c r="GT22" s="323"/>
      <c r="GU22" s="323"/>
      <c r="GV22" s="323"/>
      <c r="GW22" s="323"/>
      <c r="GX22" s="323"/>
      <c r="GY22" s="323"/>
      <c r="GZ22" s="323"/>
      <c r="HA22" s="323"/>
      <c r="HB22" s="323"/>
      <c r="HC22" s="323"/>
      <c r="HD22" s="323"/>
      <c r="HE22" s="323"/>
      <c r="HF22" s="323"/>
      <c r="HG22" s="323"/>
      <c r="HH22" s="323"/>
      <c r="HI22" s="323"/>
      <c r="HJ22" s="323"/>
      <c r="HK22" s="323"/>
      <c r="HL22" s="323"/>
      <c r="HM22" s="323"/>
      <c r="HN22" s="323"/>
      <c r="HO22" s="323"/>
      <c r="HP22" s="323"/>
      <c r="HQ22" s="323"/>
      <c r="HR22" s="323"/>
      <c r="HS22" s="323"/>
      <c r="HT22" s="323"/>
      <c r="HU22" s="323"/>
      <c r="HV22" s="323"/>
      <c r="HW22" s="323"/>
      <c r="HX22" s="323"/>
      <c r="HY22" s="323"/>
      <c r="HZ22" s="323"/>
      <c r="IA22" s="323"/>
      <c r="IB22" s="323"/>
      <c r="IC22" s="323"/>
      <c r="ID22" s="323"/>
      <c r="IE22" s="323"/>
      <c r="IF22" s="323"/>
      <c r="IG22" s="323"/>
      <c r="IH22" s="323"/>
      <c r="II22" s="323"/>
      <c r="IJ22" s="323"/>
      <c r="IK22" s="323"/>
      <c r="IL22" s="323"/>
      <c r="IM22" s="323"/>
      <c r="IN22" s="323"/>
      <c r="IO22" s="323"/>
      <c r="IP22" s="323"/>
      <c r="IQ22" s="323"/>
      <c r="IR22" s="323"/>
      <c r="IS22" s="323"/>
      <c r="IT22" s="323"/>
      <c r="IU22" s="323"/>
      <c r="IV22" s="323"/>
    </row>
    <row r="23" spans="1:256" ht="54">
      <c r="A23" s="178" t="s">
        <v>122</v>
      </c>
      <c r="B23" s="151" t="s">
        <v>167</v>
      </c>
      <c r="C23" s="151" t="s">
        <v>115</v>
      </c>
      <c r="D23" s="179" t="s">
        <v>130</v>
      </c>
      <c r="E23" s="151" t="s">
        <v>117</v>
      </c>
      <c r="F23" s="151" t="s">
        <v>131</v>
      </c>
      <c r="G23" s="152" t="str">
        <f t="shared" si="0"/>
        <v>No of Racks</v>
      </c>
      <c r="H23" s="200">
        <v>40</v>
      </c>
      <c r="I23" s="151">
        <v>1</v>
      </c>
      <c r="J23" s="180">
        <f t="shared" si="35"/>
        <v>39</v>
      </c>
      <c r="K23" s="151">
        <v>40</v>
      </c>
      <c r="L23" s="151"/>
      <c r="M23" s="83">
        <f>((9684000)+(1472000))/12/40</f>
        <v>23241.666666666664</v>
      </c>
      <c r="N23" s="182">
        <f t="shared" si="34"/>
        <v>278900</v>
      </c>
      <c r="O23" s="183" t="str">
        <f t="shared" si="1"/>
        <v>Subscribed</v>
      </c>
      <c r="P23" s="151" t="s">
        <v>108</v>
      </c>
      <c r="Q23" s="153"/>
      <c r="R23" s="225">
        <v>0</v>
      </c>
      <c r="S23" s="226">
        <f t="shared" si="36"/>
        <v>0</v>
      </c>
      <c r="T23" s="186"/>
      <c r="U23" s="186">
        <f t="shared" si="3"/>
        <v>0</v>
      </c>
      <c r="V23" s="186">
        <f t="shared" si="4"/>
        <v>0</v>
      </c>
      <c r="W23" s="202">
        <f t="shared" si="39"/>
        <v>0</v>
      </c>
      <c r="X23" s="186"/>
      <c r="Y23" s="83"/>
      <c r="Z23" s="189" t="str">
        <f t="shared" si="37"/>
        <v>Metered</v>
      </c>
      <c r="AA23" s="186">
        <v>1</v>
      </c>
      <c r="AB23" s="179" t="s">
        <v>145</v>
      </c>
      <c r="AC23" s="190">
        <v>13.5</v>
      </c>
      <c r="AD23" s="227">
        <v>0</v>
      </c>
      <c r="AE23" s="120"/>
      <c r="AF23" s="152" t="str">
        <f t="shared" si="6"/>
        <v/>
      </c>
      <c r="AG23" s="153">
        <v>2</v>
      </c>
      <c r="AH23" s="153">
        <v>2</v>
      </c>
      <c r="AI23" s="151">
        <f>AG23-AH23</f>
        <v>0</v>
      </c>
      <c r="AJ23" s="153">
        <v>2</v>
      </c>
      <c r="AK23" s="186"/>
      <c r="AL23" s="83">
        <f>83000/12</f>
        <v>6916.666666666667</v>
      </c>
      <c r="AM23" s="83">
        <f t="shared" si="38"/>
        <v>929666.66666666651</v>
      </c>
      <c r="AN23" s="83">
        <f t="shared" si="8"/>
        <v>0</v>
      </c>
      <c r="AO23" s="83">
        <f t="shared" si="9"/>
        <v>0</v>
      </c>
      <c r="AP23" s="83">
        <f t="shared" si="10"/>
        <v>13833.333333333334</v>
      </c>
      <c r="AQ23" s="84"/>
      <c r="AR23" s="85">
        <f t="shared" si="11"/>
        <v>943499.99999999988</v>
      </c>
      <c r="AS23" s="86">
        <f t="shared" si="12"/>
        <v>11321999.999999998</v>
      </c>
      <c r="AT23" s="85" t="s">
        <v>168</v>
      </c>
      <c r="AU23" s="68" t="s">
        <v>169</v>
      </c>
      <c r="AV23" s="191">
        <v>42401</v>
      </c>
      <c r="AW23" s="69">
        <v>3</v>
      </c>
      <c r="AX23" s="191">
        <v>43497</v>
      </c>
      <c r="AY23" s="68" t="s">
        <v>170</v>
      </c>
      <c r="AZ23" s="323"/>
      <c r="BA23" s="84">
        <f t="shared" si="13"/>
        <v>23587.499999999996</v>
      </c>
      <c r="BB23" s="84" t="e">
        <f t="shared" si="14"/>
        <v>#DIV/0!</v>
      </c>
      <c r="BC23" s="84" t="e">
        <f t="shared" si="15"/>
        <v>#DIV/0!</v>
      </c>
      <c r="BD23" s="84" t="e">
        <f t="shared" si="15"/>
        <v>#DIV/0!</v>
      </c>
      <c r="BE23" s="84" t="e">
        <f t="shared" si="16"/>
        <v>#DIV/0!</v>
      </c>
      <c r="BF23" s="84"/>
      <c r="BG23" s="90">
        <f t="shared" si="17"/>
        <v>929666.66666666651</v>
      </c>
      <c r="BH23" s="90">
        <f t="shared" si="18"/>
        <v>929666.66666666651</v>
      </c>
      <c r="BI23" s="90">
        <f t="shared" si="19"/>
        <v>0</v>
      </c>
      <c r="BJ23" s="91">
        <f t="shared" si="20"/>
        <v>0</v>
      </c>
      <c r="BK23" s="91">
        <f t="shared" si="21"/>
        <v>0</v>
      </c>
      <c r="BL23" s="91">
        <f t="shared" si="22"/>
        <v>0</v>
      </c>
      <c r="BM23" s="91" t="e">
        <f t="shared" si="23"/>
        <v>#DIV/0!</v>
      </c>
      <c r="BN23" s="91">
        <f t="shared" si="24"/>
        <v>0</v>
      </c>
      <c r="BO23" s="91">
        <f t="shared" si="25"/>
        <v>929666.66666666651</v>
      </c>
      <c r="BP23" s="91">
        <f t="shared" si="26"/>
        <v>0</v>
      </c>
      <c r="BQ23" s="91">
        <f t="shared" si="27"/>
        <v>929666.66666666651</v>
      </c>
      <c r="BR23" s="91">
        <f t="shared" si="28"/>
        <v>0</v>
      </c>
      <c r="BS23" s="91" t="e">
        <f t="shared" si="29"/>
        <v>#DIV/0!</v>
      </c>
      <c r="BT23" s="91">
        <f t="shared" si="30"/>
        <v>0</v>
      </c>
      <c r="BU23" s="91">
        <f t="shared" si="31"/>
        <v>929666.66666666651</v>
      </c>
      <c r="BV23" s="91">
        <f t="shared" si="32"/>
        <v>929666.66666666651</v>
      </c>
      <c r="BW23" s="91" t="e">
        <f t="shared" si="33"/>
        <v>#DIV/0!</v>
      </c>
      <c r="BX23" s="91" t="e">
        <f t="shared" si="33"/>
        <v>#DIV/0!</v>
      </c>
      <c r="BY23" s="91" t="e">
        <f t="shared" si="33"/>
        <v>#DIV/0!</v>
      </c>
      <c r="BZ23" s="323"/>
      <c r="CA23" s="323"/>
      <c r="CB23" s="323"/>
      <c r="CC23" s="323"/>
      <c r="CD23" s="323"/>
      <c r="CE23" s="323"/>
      <c r="CF23" s="323"/>
      <c r="CG23" s="323"/>
      <c r="CH23" s="323"/>
      <c r="CI23" s="323"/>
      <c r="CJ23" s="323"/>
      <c r="CK23" s="323"/>
      <c r="CL23" s="323"/>
      <c r="CM23" s="323"/>
      <c r="CN23" s="323"/>
      <c r="CO23" s="323"/>
      <c r="CP23" s="323"/>
      <c r="CQ23" s="323"/>
      <c r="CR23" s="323"/>
      <c r="CS23" s="323"/>
      <c r="CT23" s="323"/>
      <c r="CU23" s="323"/>
      <c r="CV23" s="323"/>
      <c r="CW23" s="323"/>
      <c r="CX23" s="323"/>
      <c r="CY23" s="323"/>
      <c r="CZ23" s="323"/>
      <c r="DA23" s="323"/>
      <c r="DB23" s="323"/>
      <c r="DC23" s="323"/>
      <c r="DD23" s="323"/>
      <c r="DE23" s="323"/>
      <c r="DF23" s="323"/>
      <c r="DG23" s="323"/>
      <c r="DH23" s="323"/>
      <c r="DI23" s="323"/>
      <c r="DJ23" s="323"/>
      <c r="DK23" s="323"/>
      <c r="DL23" s="323"/>
      <c r="DM23" s="323"/>
      <c r="DN23" s="323"/>
      <c r="DO23" s="323"/>
      <c r="DP23" s="323"/>
      <c r="DQ23" s="323"/>
      <c r="DR23" s="323"/>
      <c r="DS23" s="323"/>
      <c r="DT23" s="323"/>
      <c r="DU23" s="323"/>
      <c r="DV23" s="323"/>
      <c r="DW23" s="323"/>
      <c r="DX23" s="323"/>
      <c r="DY23" s="323"/>
      <c r="DZ23" s="323"/>
      <c r="EA23" s="323"/>
      <c r="EB23" s="323"/>
      <c r="EC23" s="323"/>
      <c r="ED23" s="323"/>
      <c r="EE23" s="323"/>
      <c r="EF23" s="323"/>
      <c r="EG23" s="323"/>
      <c r="EH23" s="323"/>
      <c r="EI23" s="323"/>
      <c r="EJ23" s="323"/>
      <c r="EK23" s="323"/>
      <c r="EL23" s="323"/>
      <c r="EM23" s="323"/>
      <c r="EN23" s="323"/>
      <c r="EO23" s="323"/>
      <c r="EP23" s="323"/>
      <c r="EQ23" s="323"/>
      <c r="ER23" s="323"/>
      <c r="ES23" s="323"/>
      <c r="ET23" s="323"/>
      <c r="EU23" s="323"/>
      <c r="EV23" s="323"/>
      <c r="EW23" s="323"/>
      <c r="EX23" s="323"/>
      <c r="EY23" s="323"/>
      <c r="EZ23" s="323"/>
      <c r="FA23" s="323"/>
      <c r="FB23" s="323"/>
      <c r="FC23" s="323"/>
      <c r="FD23" s="323"/>
      <c r="FE23" s="323"/>
      <c r="FF23" s="323"/>
      <c r="FG23" s="323"/>
      <c r="FH23" s="323"/>
      <c r="FI23" s="323"/>
      <c r="FJ23" s="323"/>
      <c r="FK23" s="323"/>
      <c r="FL23" s="323"/>
      <c r="FM23" s="323"/>
      <c r="FN23" s="323"/>
      <c r="FO23" s="323"/>
      <c r="FP23" s="323"/>
      <c r="FQ23" s="323"/>
      <c r="FR23" s="323"/>
      <c r="FS23" s="323"/>
      <c r="FT23" s="323"/>
      <c r="FU23" s="323"/>
      <c r="FV23" s="323"/>
      <c r="FW23" s="323"/>
      <c r="FX23" s="323"/>
      <c r="FY23" s="323"/>
      <c r="FZ23" s="323"/>
      <c r="GA23" s="323"/>
      <c r="GB23" s="323"/>
      <c r="GC23" s="323"/>
      <c r="GD23" s="323"/>
      <c r="GE23" s="323"/>
      <c r="GF23" s="323"/>
      <c r="GG23" s="323"/>
      <c r="GH23" s="323"/>
      <c r="GI23" s="323"/>
      <c r="GJ23" s="323"/>
      <c r="GK23" s="323"/>
      <c r="GL23" s="323"/>
      <c r="GM23" s="323"/>
      <c r="GN23" s="323"/>
      <c r="GO23" s="323"/>
      <c r="GP23" s="323"/>
      <c r="GQ23" s="323"/>
      <c r="GR23" s="323"/>
      <c r="GS23" s="323"/>
      <c r="GT23" s="323"/>
      <c r="GU23" s="323"/>
      <c r="GV23" s="323"/>
      <c r="GW23" s="323"/>
      <c r="GX23" s="323"/>
      <c r="GY23" s="323"/>
      <c r="GZ23" s="323"/>
      <c r="HA23" s="323"/>
      <c r="HB23" s="323"/>
      <c r="HC23" s="323"/>
      <c r="HD23" s="323"/>
      <c r="HE23" s="323"/>
      <c r="HF23" s="323"/>
      <c r="HG23" s="323"/>
      <c r="HH23" s="323"/>
      <c r="HI23" s="323"/>
      <c r="HJ23" s="323"/>
      <c r="HK23" s="323"/>
      <c r="HL23" s="323"/>
      <c r="HM23" s="323"/>
      <c r="HN23" s="323"/>
      <c r="HO23" s="323"/>
      <c r="HP23" s="323"/>
      <c r="HQ23" s="323"/>
      <c r="HR23" s="323"/>
      <c r="HS23" s="323"/>
      <c r="HT23" s="323"/>
      <c r="HU23" s="323"/>
      <c r="HV23" s="323"/>
      <c r="HW23" s="323"/>
      <c r="HX23" s="323"/>
      <c r="HY23" s="323"/>
      <c r="HZ23" s="323"/>
      <c r="IA23" s="323"/>
      <c r="IB23" s="323"/>
      <c r="IC23" s="323"/>
      <c r="ID23" s="323"/>
      <c r="IE23" s="323"/>
      <c r="IF23" s="323"/>
      <c r="IG23" s="323"/>
      <c r="IH23" s="323"/>
      <c r="II23" s="323"/>
      <c r="IJ23" s="323"/>
      <c r="IK23" s="323"/>
      <c r="IL23" s="323"/>
      <c r="IM23" s="323"/>
      <c r="IN23" s="323"/>
      <c r="IO23" s="323"/>
      <c r="IP23" s="323"/>
      <c r="IQ23" s="323"/>
      <c r="IR23" s="323"/>
      <c r="IS23" s="323"/>
      <c r="IT23" s="323"/>
      <c r="IU23" s="323"/>
      <c r="IV23" s="323"/>
    </row>
    <row r="24" spans="1:256" ht="32.25">
      <c r="A24" s="178" t="s">
        <v>113</v>
      </c>
      <c r="B24" s="200" t="s">
        <v>171</v>
      </c>
      <c r="C24" s="151" t="s">
        <v>115</v>
      </c>
      <c r="D24" s="179" t="s">
        <v>130</v>
      </c>
      <c r="E24" s="151" t="s">
        <v>117</v>
      </c>
      <c r="F24" s="151" t="s">
        <v>131</v>
      </c>
      <c r="G24" s="152" t="str">
        <f t="shared" si="0"/>
        <v>No of Racks</v>
      </c>
      <c r="H24" s="200">
        <v>2</v>
      </c>
      <c r="I24" s="151">
        <v>2</v>
      </c>
      <c r="J24" s="180">
        <f t="shared" si="35"/>
        <v>0</v>
      </c>
      <c r="K24" s="151">
        <v>2</v>
      </c>
      <c r="L24" s="151"/>
      <c r="M24" s="83">
        <f>215200/12</f>
        <v>17933.333333333332</v>
      </c>
      <c r="N24" s="182">
        <f t="shared" si="34"/>
        <v>215200</v>
      </c>
      <c r="O24" s="183" t="str">
        <f t="shared" si="1"/>
        <v>Subscribed</v>
      </c>
      <c r="P24" s="151" t="s">
        <v>108</v>
      </c>
      <c r="Q24" s="153">
        <v>4</v>
      </c>
      <c r="R24" s="225">
        <v>2.17</v>
      </c>
      <c r="S24" s="226">
        <f t="shared" si="36"/>
        <v>1.83</v>
      </c>
      <c r="T24" s="186"/>
      <c r="U24" s="186">
        <f t="shared" si="3"/>
        <v>1.83</v>
      </c>
      <c r="V24" s="186">
        <f t="shared" si="4"/>
        <v>4</v>
      </c>
      <c r="W24" s="202">
        <f t="shared" si="39"/>
        <v>2.17</v>
      </c>
      <c r="X24" s="186"/>
      <c r="Y24" s="83"/>
      <c r="Z24" s="189" t="str">
        <f t="shared" si="37"/>
        <v>Metered</v>
      </c>
      <c r="AA24" s="186">
        <v>1</v>
      </c>
      <c r="AB24" s="179" t="s">
        <v>145</v>
      </c>
      <c r="AC24" s="190">
        <v>13.5</v>
      </c>
      <c r="AD24" s="146">
        <v>2716.8299999999981</v>
      </c>
      <c r="AE24" s="120"/>
      <c r="AF24" s="152"/>
      <c r="AG24" s="153"/>
      <c r="AH24" s="153"/>
      <c r="AI24" s="151"/>
      <c r="AJ24" s="153"/>
      <c r="AK24" s="186"/>
      <c r="AL24" s="83"/>
      <c r="AM24" s="83">
        <f t="shared" si="38"/>
        <v>35866.666666666664</v>
      </c>
      <c r="AN24" s="83">
        <f t="shared" si="8"/>
        <v>0</v>
      </c>
      <c r="AO24" s="83">
        <f t="shared" si="9"/>
        <v>36677.204999999973</v>
      </c>
      <c r="AP24" s="83">
        <f t="shared" si="10"/>
        <v>0</v>
      </c>
      <c r="AQ24" s="84"/>
      <c r="AR24" s="85">
        <f t="shared" si="11"/>
        <v>72543.871666666644</v>
      </c>
      <c r="AS24" s="86">
        <f t="shared" si="12"/>
        <v>870526.45999999973</v>
      </c>
      <c r="AT24" s="85" t="s">
        <v>168</v>
      </c>
      <c r="AU24" s="68">
        <v>721006353</v>
      </c>
      <c r="AV24" s="191">
        <v>43208</v>
      </c>
      <c r="AW24" s="69">
        <v>1</v>
      </c>
      <c r="AX24" s="191">
        <v>43543</v>
      </c>
      <c r="AY24" s="68" t="s">
        <v>172</v>
      </c>
      <c r="AZ24" s="323"/>
      <c r="BA24" s="84">
        <f t="shared" si="13"/>
        <v>36271.935833333322</v>
      </c>
      <c r="BB24" s="84">
        <f t="shared" si="14"/>
        <v>18135.967916666661</v>
      </c>
      <c r="BC24" s="84" t="e">
        <f t="shared" si="15"/>
        <v>#VALUE!</v>
      </c>
      <c r="BD24" s="84" t="e">
        <f t="shared" si="15"/>
        <v>#VALUE!</v>
      </c>
      <c r="BE24" s="84">
        <f t="shared" si="16"/>
        <v>9967.464316666661</v>
      </c>
      <c r="BF24" s="84"/>
      <c r="BG24" s="90">
        <f t="shared" si="17"/>
        <v>72543.871666666644</v>
      </c>
      <c r="BH24" s="90">
        <f t="shared" si="18"/>
        <v>35866.666666666672</v>
      </c>
      <c r="BI24" s="90">
        <f t="shared" si="19"/>
        <v>36677.204999999973</v>
      </c>
      <c r="BJ24" s="91" t="e">
        <f t="shared" si="20"/>
        <v>#VALUE!</v>
      </c>
      <c r="BK24" s="91" t="e">
        <f t="shared" si="21"/>
        <v>#VALUE!</v>
      </c>
      <c r="BL24" s="91">
        <f t="shared" si="22"/>
        <v>29595.60940000003</v>
      </c>
      <c r="BM24" s="91" t="e">
        <f t="shared" si="23"/>
        <v>#VALUE!</v>
      </c>
      <c r="BN24" s="91">
        <f t="shared" si="24"/>
        <v>0</v>
      </c>
      <c r="BO24" s="91">
        <f t="shared" si="25"/>
        <v>35866.666666666672</v>
      </c>
      <c r="BP24" s="91" t="e">
        <f t="shared" si="26"/>
        <v>#VALUE!</v>
      </c>
      <c r="BQ24" s="91" t="e">
        <f t="shared" si="27"/>
        <v>#VALUE!</v>
      </c>
      <c r="BR24" s="91">
        <f t="shared" si="28"/>
        <v>4</v>
      </c>
      <c r="BS24" s="91" t="e">
        <f t="shared" si="29"/>
        <v>#VALUE!</v>
      </c>
      <c r="BT24" s="91" t="e">
        <f t="shared" si="30"/>
        <v>#VALUE!</v>
      </c>
      <c r="BU24" s="91">
        <f t="shared" si="31"/>
        <v>35866.666666666664</v>
      </c>
      <c r="BV24" s="91" t="e">
        <f t="shared" si="32"/>
        <v>#VALUE!</v>
      </c>
      <c r="BW24" s="91" t="e">
        <f t="shared" si="33"/>
        <v>#VALUE!</v>
      </c>
      <c r="BX24" s="91">
        <f t="shared" si="33"/>
        <v>8966.6666666666661</v>
      </c>
      <c r="BY24" s="91" t="e">
        <f t="shared" si="33"/>
        <v>#VALUE!</v>
      </c>
      <c r="BZ24" s="323"/>
      <c r="CA24" s="323"/>
      <c r="CB24" s="323"/>
      <c r="CC24" s="323"/>
      <c r="CD24" s="323"/>
      <c r="CE24" s="323"/>
      <c r="CF24" s="323"/>
      <c r="CG24" s="323"/>
      <c r="CH24" s="323"/>
      <c r="CI24" s="323"/>
      <c r="CJ24" s="323"/>
      <c r="CK24" s="323"/>
      <c r="CL24" s="323"/>
      <c r="CM24" s="323"/>
      <c r="CN24" s="323"/>
      <c r="CO24" s="323"/>
      <c r="CP24" s="323"/>
      <c r="CQ24" s="323"/>
      <c r="CR24" s="323"/>
      <c r="CS24" s="323"/>
      <c r="CT24" s="323"/>
      <c r="CU24" s="323"/>
      <c r="CV24" s="323"/>
      <c r="CW24" s="323"/>
      <c r="CX24" s="323"/>
      <c r="CY24" s="323"/>
      <c r="CZ24" s="323"/>
      <c r="DA24" s="323"/>
      <c r="DB24" s="323"/>
      <c r="DC24" s="323"/>
      <c r="DD24" s="323"/>
      <c r="DE24" s="323"/>
      <c r="DF24" s="323"/>
      <c r="DG24" s="323"/>
      <c r="DH24" s="323"/>
      <c r="DI24" s="323"/>
      <c r="DJ24" s="323"/>
      <c r="DK24" s="323"/>
      <c r="DL24" s="323"/>
      <c r="DM24" s="323"/>
      <c r="DN24" s="323"/>
      <c r="DO24" s="323"/>
      <c r="DP24" s="323"/>
      <c r="DQ24" s="323"/>
      <c r="DR24" s="323"/>
      <c r="DS24" s="323"/>
      <c r="DT24" s="323"/>
      <c r="DU24" s="323"/>
      <c r="DV24" s="323"/>
      <c r="DW24" s="323"/>
      <c r="DX24" s="323"/>
      <c r="DY24" s="323"/>
      <c r="DZ24" s="323"/>
      <c r="EA24" s="323"/>
      <c r="EB24" s="323"/>
      <c r="EC24" s="323"/>
      <c r="ED24" s="323"/>
      <c r="EE24" s="323"/>
      <c r="EF24" s="323"/>
      <c r="EG24" s="323"/>
      <c r="EH24" s="323"/>
      <c r="EI24" s="323"/>
      <c r="EJ24" s="323"/>
      <c r="EK24" s="323"/>
      <c r="EL24" s="323"/>
      <c r="EM24" s="323"/>
      <c r="EN24" s="323"/>
      <c r="EO24" s="323"/>
      <c r="EP24" s="323"/>
      <c r="EQ24" s="323"/>
      <c r="ER24" s="323"/>
      <c r="ES24" s="323"/>
      <c r="ET24" s="323"/>
      <c r="EU24" s="323"/>
      <c r="EV24" s="323"/>
      <c r="EW24" s="323"/>
      <c r="EX24" s="323"/>
      <c r="EY24" s="323"/>
      <c r="EZ24" s="323"/>
      <c r="FA24" s="323"/>
      <c r="FB24" s="323"/>
      <c r="FC24" s="323"/>
      <c r="FD24" s="323"/>
      <c r="FE24" s="323"/>
      <c r="FF24" s="323"/>
      <c r="FG24" s="323"/>
      <c r="FH24" s="323"/>
      <c r="FI24" s="323"/>
      <c r="FJ24" s="323"/>
      <c r="FK24" s="323"/>
      <c r="FL24" s="323"/>
      <c r="FM24" s="323"/>
      <c r="FN24" s="323"/>
      <c r="FO24" s="323"/>
      <c r="FP24" s="323"/>
      <c r="FQ24" s="323"/>
      <c r="FR24" s="323"/>
      <c r="FS24" s="323"/>
      <c r="FT24" s="323"/>
      <c r="FU24" s="323"/>
      <c r="FV24" s="323"/>
      <c r="FW24" s="323"/>
      <c r="FX24" s="323"/>
      <c r="FY24" s="323"/>
      <c r="FZ24" s="323"/>
      <c r="GA24" s="323"/>
      <c r="GB24" s="323"/>
      <c r="GC24" s="323"/>
      <c r="GD24" s="323"/>
      <c r="GE24" s="323"/>
      <c r="GF24" s="323"/>
      <c r="GG24" s="323"/>
      <c r="GH24" s="323"/>
      <c r="GI24" s="323"/>
      <c r="GJ24" s="323"/>
      <c r="GK24" s="323"/>
      <c r="GL24" s="323"/>
      <c r="GM24" s="323"/>
      <c r="GN24" s="323"/>
      <c r="GO24" s="323"/>
      <c r="GP24" s="323"/>
      <c r="GQ24" s="323"/>
      <c r="GR24" s="323"/>
      <c r="GS24" s="323"/>
      <c r="GT24" s="323"/>
      <c r="GU24" s="323"/>
      <c r="GV24" s="323"/>
      <c r="GW24" s="323"/>
      <c r="GX24" s="323"/>
      <c r="GY24" s="323"/>
      <c r="GZ24" s="323"/>
      <c r="HA24" s="323"/>
      <c r="HB24" s="323"/>
      <c r="HC24" s="323"/>
      <c r="HD24" s="323"/>
      <c r="HE24" s="323"/>
      <c r="HF24" s="323"/>
      <c r="HG24" s="323"/>
      <c r="HH24" s="323"/>
      <c r="HI24" s="323"/>
      <c r="HJ24" s="323"/>
      <c r="HK24" s="323"/>
      <c r="HL24" s="323"/>
      <c r="HM24" s="323"/>
      <c r="HN24" s="323"/>
      <c r="HO24" s="323"/>
      <c r="HP24" s="323"/>
      <c r="HQ24" s="323"/>
      <c r="HR24" s="323"/>
      <c r="HS24" s="323"/>
      <c r="HT24" s="323"/>
      <c r="HU24" s="323"/>
      <c r="HV24" s="323"/>
      <c r="HW24" s="323"/>
      <c r="HX24" s="323"/>
      <c r="HY24" s="323"/>
      <c r="HZ24" s="323"/>
      <c r="IA24" s="323"/>
      <c r="IB24" s="323"/>
      <c r="IC24" s="323"/>
      <c r="ID24" s="323"/>
      <c r="IE24" s="323"/>
      <c r="IF24" s="323"/>
      <c r="IG24" s="323"/>
      <c r="IH24" s="323"/>
      <c r="II24" s="323"/>
      <c r="IJ24" s="323"/>
      <c r="IK24" s="323"/>
      <c r="IL24" s="323"/>
      <c r="IM24" s="323"/>
      <c r="IN24" s="323"/>
      <c r="IO24" s="323"/>
      <c r="IP24" s="323"/>
      <c r="IQ24" s="323"/>
      <c r="IR24" s="323"/>
      <c r="IS24" s="323"/>
      <c r="IT24" s="323"/>
      <c r="IU24" s="323"/>
      <c r="IV24" s="323"/>
    </row>
    <row r="25" spans="1:256" ht="32.25">
      <c r="A25" s="178" t="s">
        <v>113</v>
      </c>
      <c r="B25" s="200" t="s">
        <v>171</v>
      </c>
      <c r="C25" s="151" t="s">
        <v>115</v>
      </c>
      <c r="D25" s="179" t="s">
        <v>130</v>
      </c>
      <c r="E25" s="151" t="s">
        <v>117</v>
      </c>
      <c r="F25" s="151" t="s">
        <v>131</v>
      </c>
      <c r="G25" s="152" t="str">
        <f t="shared" si="0"/>
        <v>No of Racks</v>
      </c>
      <c r="H25" s="200">
        <v>3</v>
      </c>
      <c r="I25" s="151">
        <v>2</v>
      </c>
      <c r="J25" s="180">
        <f t="shared" si="35"/>
        <v>1</v>
      </c>
      <c r="K25" s="151">
        <v>2</v>
      </c>
      <c r="L25" s="151"/>
      <c r="M25" s="83"/>
      <c r="N25" s="182"/>
      <c r="O25" s="183" t="str">
        <f t="shared" si="1"/>
        <v>Subscribed</v>
      </c>
      <c r="P25" s="151" t="s">
        <v>108</v>
      </c>
      <c r="Q25" s="153">
        <v>18</v>
      </c>
      <c r="R25" s="225">
        <v>3.8</v>
      </c>
      <c r="S25" s="226">
        <f t="shared" si="36"/>
        <v>14.2</v>
      </c>
      <c r="T25" s="186"/>
      <c r="U25" s="186">
        <f t="shared" si="3"/>
        <v>14.2</v>
      </c>
      <c r="V25" s="186">
        <f t="shared" si="4"/>
        <v>18</v>
      </c>
      <c r="W25" s="202">
        <f t="shared" si="39"/>
        <v>3.8</v>
      </c>
      <c r="X25" s="186"/>
      <c r="Y25" s="83"/>
      <c r="Z25" s="189"/>
      <c r="AA25" s="186"/>
      <c r="AB25" s="186"/>
      <c r="AC25" s="190"/>
      <c r="AD25" s="228">
        <v>0</v>
      </c>
      <c r="AE25" s="120"/>
      <c r="AF25" s="152"/>
      <c r="AG25" s="153"/>
      <c r="AH25" s="153"/>
      <c r="AI25" s="151"/>
      <c r="AJ25" s="153"/>
      <c r="AK25" s="186"/>
      <c r="AL25" s="83"/>
      <c r="AM25" s="83"/>
      <c r="AN25" s="83"/>
      <c r="AO25" s="83"/>
      <c r="AP25" s="83"/>
      <c r="AQ25" s="84"/>
      <c r="AR25" s="85"/>
      <c r="AS25" s="86"/>
      <c r="AT25" s="85"/>
      <c r="AU25" s="68"/>
      <c r="AV25" s="191"/>
      <c r="AW25" s="69"/>
      <c r="AX25" s="191"/>
      <c r="AY25" s="69"/>
      <c r="AZ25" s="323"/>
      <c r="BA25" s="84"/>
      <c r="BB25" s="84"/>
      <c r="BC25" s="84"/>
      <c r="BD25" s="84"/>
      <c r="BE25" s="84"/>
      <c r="BF25" s="84"/>
      <c r="BG25" s="90"/>
      <c r="BH25" s="90"/>
      <c r="BI25" s="90"/>
      <c r="BJ25" s="91">
        <f t="shared" si="20"/>
        <v>33077.445800000038</v>
      </c>
      <c r="BK25" s="91">
        <f t="shared" si="21"/>
        <v>156682.63800000018</v>
      </c>
      <c r="BL25" s="91"/>
      <c r="BM25" s="91"/>
      <c r="BN25" s="91"/>
      <c r="BO25" s="91"/>
      <c r="BP25" s="91"/>
      <c r="BQ25" s="91"/>
      <c r="BR25" s="91"/>
      <c r="BS25" s="91"/>
      <c r="BT25" s="91"/>
      <c r="BU25" s="91"/>
      <c r="BV25" s="91"/>
      <c r="BW25" s="91"/>
      <c r="BX25" s="91"/>
      <c r="BY25" s="91"/>
      <c r="BZ25" s="323"/>
      <c r="CA25" s="323"/>
      <c r="CB25" s="323"/>
      <c r="CC25" s="323"/>
      <c r="CD25" s="323"/>
      <c r="CE25" s="323"/>
      <c r="CF25" s="323"/>
      <c r="CG25" s="323"/>
      <c r="CH25" s="323"/>
      <c r="CI25" s="323"/>
      <c r="CJ25" s="323"/>
      <c r="CK25" s="323"/>
      <c r="CL25" s="323"/>
      <c r="CM25" s="323"/>
      <c r="CN25" s="323"/>
      <c r="CO25" s="323"/>
      <c r="CP25" s="323"/>
      <c r="CQ25" s="323"/>
      <c r="CR25" s="323"/>
      <c r="CS25" s="323"/>
      <c r="CT25" s="323"/>
      <c r="CU25" s="323"/>
      <c r="CV25" s="323"/>
      <c r="CW25" s="323"/>
      <c r="CX25" s="323"/>
      <c r="CY25" s="323"/>
      <c r="CZ25" s="323"/>
      <c r="DA25" s="323"/>
      <c r="DB25" s="323"/>
      <c r="DC25" s="323"/>
      <c r="DD25" s="323"/>
      <c r="DE25" s="323"/>
      <c r="DF25" s="323"/>
      <c r="DG25" s="323"/>
      <c r="DH25" s="323"/>
      <c r="DI25" s="323"/>
      <c r="DJ25" s="323"/>
      <c r="DK25" s="323"/>
      <c r="DL25" s="323"/>
      <c r="DM25" s="323"/>
      <c r="DN25" s="323"/>
      <c r="DO25" s="323"/>
      <c r="DP25" s="323"/>
      <c r="DQ25" s="323"/>
      <c r="DR25" s="323"/>
      <c r="DS25" s="323"/>
      <c r="DT25" s="323"/>
      <c r="DU25" s="323"/>
      <c r="DV25" s="323"/>
      <c r="DW25" s="323"/>
      <c r="DX25" s="323"/>
      <c r="DY25" s="323"/>
      <c r="DZ25" s="323"/>
      <c r="EA25" s="323"/>
      <c r="EB25" s="323"/>
      <c r="EC25" s="323"/>
      <c r="ED25" s="323"/>
      <c r="EE25" s="323"/>
      <c r="EF25" s="323"/>
      <c r="EG25" s="323"/>
      <c r="EH25" s="323"/>
      <c r="EI25" s="323"/>
      <c r="EJ25" s="323"/>
      <c r="EK25" s="323"/>
      <c r="EL25" s="323"/>
      <c r="EM25" s="323"/>
      <c r="EN25" s="323"/>
      <c r="EO25" s="323"/>
      <c r="EP25" s="323"/>
      <c r="EQ25" s="323"/>
      <c r="ER25" s="323"/>
      <c r="ES25" s="323"/>
      <c r="ET25" s="323"/>
      <c r="EU25" s="323"/>
      <c r="EV25" s="323"/>
      <c r="EW25" s="323"/>
      <c r="EX25" s="323"/>
      <c r="EY25" s="323"/>
      <c r="EZ25" s="323"/>
      <c r="FA25" s="323"/>
      <c r="FB25" s="323"/>
      <c r="FC25" s="323"/>
      <c r="FD25" s="323"/>
      <c r="FE25" s="323"/>
      <c r="FF25" s="323"/>
      <c r="FG25" s="323"/>
      <c r="FH25" s="323"/>
      <c r="FI25" s="323"/>
      <c r="FJ25" s="323"/>
      <c r="FK25" s="323"/>
      <c r="FL25" s="323"/>
      <c r="FM25" s="323"/>
      <c r="FN25" s="323"/>
      <c r="FO25" s="323"/>
      <c r="FP25" s="323"/>
      <c r="FQ25" s="323"/>
      <c r="FR25" s="323"/>
      <c r="FS25" s="323"/>
      <c r="FT25" s="323"/>
      <c r="FU25" s="323"/>
      <c r="FV25" s="323"/>
      <c r="FW25" s="323"/>
      <c r="FX25" s="323"/>
      <c r="FY25" s="323"/>
      <c r="FZ25" s="323"/>
      <c r="GA25" s="323"/>
      <c r="GB25" s="323"/>
      <c r="GC25" s="323"/>
      <c r="GD25" s="323"/>
      <c r="GE25" s="323"/>
      <c r="GF25" s="323"/>
      <c r="GG25" s="323"/>
      <c r="GH25" s="323"/>
      <c r="GI25" s="323"/>
      <c r="GJ25" s="323"/>
      <c r="GK25" s="323"/>
      <c r="GL25" s="323"/>
      <c r="GM25" s="323"/>
      <c r="GN25" s="323"/>
      <c r="GO25" s="323"/>
      <c r="GP25" s="323"/>
      <c r="GQ25" s="323"/>
      <c r="GR25" s="323"/>
      <c r="GS25" s="323"/>
      <c r="GT25" s="323"/>
      <c r="GU25" s="323"/>
      <c r="GV25" s="323"/>
      <c r="GW25" s="323"/>
      <c r="GX25" s="323"/>
      <c r="GY25" s="323"/>
      <c r="GZ25" s="323"/>
      <c r="HA25" s="323"/>
      <c r="HB25" s="323"/>
      <c r="HC25" s="323"/>
      <c r="HD25" s="323"/>
      <c r="HE25" s="323"/>
      <c r="HF25" s="323"/>
      <c r="HG25" s="323"/>
      <c r="HH25" s="323"/>
      <c r="HI25" s="323"/>
      <c r="HJ25" s="323"/>
      <c r="HK25" s="323"/>
      <c r="HL25" s="323"/>
      <c r="HM25" s="323"/>
      <c r="HN25" s="323"/>
      <c r="HO25" s="323"/>
      <c r="HP25" s="323"/>
      <c r="HQ25" s="323"/>
      <c r="HR25" s="323"/>
      <c r="HS25" s="323"/>
      <c r="HT25" s="323"/>
      <c r="HU25" s="323"/>
      <c r="HV25" s="323"/>
      <c r="HW25" s="323"/>
      <c r="HX25" s="323"/>
      <c r="HY25" s="323"/>
      <c r="HZ25" s="323"/>
      <c r="IA25" s="323"/>
      <c r="IB25" s="323"/>
      <c r="IC25" s="323"/>
      <c r="ID25" s="323"/>
      <c r="IE25" s="323"/>
      <c r="IF25" s="323"/>
      <c r="IG25" s="323"/>
      <c r="IH25" s="323"/>
      <c r="II25" s="323"/>
      <c r="IJ25" s="323"/>
      <c r="IK25" s="323"/>
      <c r="IL25" s="323"/>
      <c r="IM25" s="323"/>
      <c r="IN25" s="323"/>
      <c r="IO25" s="323"/>
      <c r="IP25" s="323"/>
      <c r="IQ25" s="323"/>
      <c r="IR25" s="323"/>
      <c r="IS25" s="323"/>
      <c r="IT25" s="323"/>
      <c r="IU25" s="323"/>
      <c r="IV25" s="323"/>
    </row>
    <row r="26" spans="1:256" ht="42.75">
      <c r="A26" s="178" t="s">
        <v>122</v>
      </c>
      <c r="B26" s="151" t="s">
        <v>167</v>
      </c>
      <c r="C26" s="151" t="s">
        <v>115</v>
      </c>
      <c r="D26" s="179" t="s">
        <v>130</v>
      </c>
      <c r="E26" s="151" t="s">
        <v>117</v>
      </c>
      <c r="F26" s="151" t="s">
        <v>131</v>
      </c>
      <c r="G26" s="152" t="str">
        <f t="shared" si="0"/>
        <v>No of Racks</v>
      </c>
      <c r="H26" s="200">
        <v>16</v>
      </c>
      <c r="I26" s="151">
        <v>16</v>
      </c>
      <c r="J26" s="180">
        <v>0</v>
      </c>
      <c r="K26" s="151">
        <v>16</v>
      </c>
      <c r="L26" s="151"/>
      <c r="M26" s="83">
        <f>((269000*14)+(368000*2))/12/16</f>
        <v>23447.916666666668</v>
      </c>
      <c r="N26" s="182">
        <f t="shared" ref="N26:N43" si="40">M26*12</f>
        <v>281375</v>
      </c>
      <c r="O26" s="183" t="str">
        <f t="shared" si="1"/>
        <v>Subscribed</v>
      </c>
      <c r="P26" s="151" t="s">
        <v>108</v>
      </c>
      <c r="Q26" s="153"/>
      <c r="R26" s="225">
        <v>31.1</v>
      </c>
      <c r="S26" s="226">
        <f t="shared" si="36"/>
        <v>-31.1</v>
      </c>
      <c r="T26" s="186"/>
      <c r="U26" s="186">
        <f t="shared" si="3"/>
        <v>0</v>
      </c>
      <c r="V26" s="186">
        <f t="shared" si="4"/>
        <v>0</v>
      </c>
      <c r="W26" s="202">
        <f t="shared" si="39"/>
        <v>31.1</v>
      </c>
      <c r="X26" s="186"/>
      <c r="Y26" s="83"/>
      <c r="Z26" s="189" t="str">
        <f t="shared" ref="Z26:Z43" si="41">D26</f>
        <v>Metered</v>
      </c>
      <c r="AA26" s="186">
        <v>1</v>
      </c>
      <c r="AB26" s="179" t="s">
        <v>145</v>
      </c>
      <c r="AC26" s="190">
        <v>13.5</v>
      </c>
      <c r="AD26" s="227">
        <v>0</v>
      </c>
      <c r="AE26" s="120"/>
      <c r="AF26" s="152"/>
      <c r="AG26" s="153"/>
      <c r="AH26" s="153"/>
      <c r="AI26" s="151"/>
      <c r="AJ26" s="153"/>
      <c r="AK26" s="186"/>
      <c r="AL26" s="83"/>
      <c r="AM26" s="83">
        <f t="shared" ref="AM26:AM43" si="42">M26*K26</f>
        <v>375166.66666666669</v>
      </c>
      <c r="AN26" s="83">
        <f t="shared" ref="AN26:AN41" si="43">Y26*X26</f>
        <v>0</v>
      </c>
      <c r="AO26" s="83">
        <f t="shared" ref="AO26:AO41" si="44">AD26*AC26*AA26</f>
        <v>0</v>
      </c>
      <c r="AP26" s="83">
        <f t="shared" ref="AP26:AP41" si="45">AL26*AJ26</f>
        <v>0</v>
      </c>
      <c r="AQ26" s="84"/>
      <c r="AR26" s="85">
        <f t="shared" ref="AR26:AR43" si="46">SUBTOTAL(9,AM26:AQ26)</f>
        <v>375166.66666666669</v>
      </c>
      <c r="AS26" s="86">
        <f t="shared" ref="AS26:AS43" si="47">AR26*12</f>
        <v>4502000</v>
      </c>
      <c r="AT26" s="85" t="s">
        <v>119</v>
      </c>
      <c r="AU26" s="68"/>
      <c r="AV26" s="191">
        <v>42783</v>
      </c>
      <c r="AW26" s="69">
        <v>3</v>
      </c>
      <c r="AX26" s="191">
        <v>43849</v>
      </c>
      <c r="AY26" s="68" t="s">
        <v>173</v>
      </c>
      <c r="AZ26" s="323"/>
      <c r="BA26" s="84">
        <f t="shared" ref="BA26:BA40" si="48">IF(E26="Rack",AR26/H26,0)+IF(E26="U Space",AR26*40/H26,0)+IF(E26="Space",AR26*30/H26,0)</f>
        <v>23447.916666666668</v>
      </c>
      <c r="BB26" s="84" t="e">
        <f t="shared" ref="BB26:BB40" si="49">+AR26/V26</f>
        <v>#DIV/0!</v>
      </c>
      <c r="BC26" s="84" t="e">
        <f t="shared" ref="BC26:BD43" si="50">+($AM26+$AN26+$AO26-BJ26)/$V26</f>
        <v>#DIV/0!</v>
      </c>
      <c r="BD26" s="84" t="e">
        <f t="shared" si="50"/>
        <v>#DIV/0!</v>
      </c>
      <c r="BE26" s="84" t="e">
        <f t="shared" ref="BE26:BE43" si="51">+($AM26+$AN26+IF(D26="Bundled",0,V26*0.85*AA26*AC26*30.5*24)-BL26)/$V26</f>
        <v>#DIV/0!</v>
      </c>
      <c r="BF26" s="84"/>
      <c r="BG26" s="90">
        <f t="shared" ref="BG26:BG43" si="52">+AM26+AN26+AO26</f>
        <v>375166.66666666669</v>
      </c>
      <c r="BH26" s="90">
        <f t="shared" ref="BH26:BH43" si="53">+BG26-BI26</f>
        <v>375166.66666666669</v>
      </c>
      <c r="BI26" s="90">
        <f t="shared" ref="BI26:BI43" si="54">IF(D26="Bundled",MIN(V26*$AD$20*(1+$K$2),BG26),AO26)</f>
        <v>0</v>
      </c>
      <c r="BJ26" s="91">
        <f t="shared" si="20"/>
        <v>270712.78010000032</v>
      </c>
      <c r="BK26" s="91">
        <f t="shared" si="21"/>
        <v>270712.78010000032</v>
      </c>
      <c r="BL26" s="91">
        <f t="shared" ref="BL26:BL53" si="55">IF(D26="Bundled",$AD$20*V26,$AD$20*V26*0.85)</f>
        <v>0</v>
      </c>
      <c r="BM26" s="91" t="e">
        <f t="shared" ref="BM26:BM43" si="56">+BC26*V26</f>
        <v>#DIV/0!</v>
      </c>
      <c r="BN26" s="91">
        <f t="shared" ref="BN26:BN53" si="57">+$J$2*V26</f>
        <v>0</v>
      </c>
      <c r="BO26" s="91">
        <f t="shared" ref="BO26:BO43" si="58">+BH26-BN26</f>
        <v>375166.66666666669</v>
      </c>
      <c r="BP26" s="91">
        <f t="shared" ref="BP26:BP43" si="59">+BI26-BJ26</f>
        <v>-270712.78010000032</v>
      </c>
      <c r="BQ26" s="91">
        <f t="shared" ref="BQ26:BQ43" si="60">+BO26+BP26</f>
        <v>104453.88656666636</v>
      </c>
      <c r="BR26" s="91">
        <f t="shared" ref="BR26:BR53" si="61">+V26</f>
        <v>0</v>
      </c>
      <c r="BS26" s="91" t="e">
        <f t="shared" ref="BS26:BS43" si="62">+BC26</f>
        <v>#DIV/0!</v>
      </c>
      <c r="BT26" s="91">
        <f t="shared" ref="BT26:BT43" si="63">IF(D26="Bundled",BL26-BJ26,AO26-BJ26)</f>
        <v>-270712.78010000032</v>
      </c>
      <c r="BU26" s="91">
        <f t="shared" ref="BU26:BU43" si="64">IF(D26="Bundled",+(BE26-$J$2)*V26,(AM26+AN26)-V26*$J$2)</f>
        <v>375166.66666666669</v>
      </c>
      <c r="BV26" s="91">
        <f t="shared" ref="BV26:BV43" si="65">+BT26+BU26</f>
        <v>104453.88656666636</v>
      </c>
      <c r="BW26" s="91" t="e">
        <f t="shared" ref="BW26:BY43" si="66">+BT26/$BR26</f>
        <v>#DIV/0!</v>
      </c>
      <c r="BX26" s="91" t="e">
        <f t="shared" si="66"/>
        <v>#DIV/0!</v>
      </c>
      <c r="BY26" s="91" t="e">
        <f t="shared" si="66"/>
        <v>#DIV/0!</v>
      </c>
      <c r="BZ26" s="323"/>
      <c r="CA26" s="323"/>
      <c r="CB26" s="323"/>
      <c r="CC26" s="323"/>
      <c r="CD26" s="323"/>
      <c r="CE26" s="323"/>
      <c r="CF26" s="323"/>
      <c r="CG26" s="323"/>
      <c r="CH26" s="323"/>
      <c r="CI26" s="323"/>
      <c r="CJ26" s="323"/>
      <c r="CK26" s="323"/>
      <c r="CL26" s="323"/>
      <c r="CM26" s="323"/>
      <c r="CN26" s="323"/>
      <c r="CO26" s="323"/>
      <c r="CP26" s="323"/>
      <c r="CQ26" s="323"/>
      <c r="CR26" s="323"/>
      <c r="CS26" s="323"/>
      <c r="CT26" s="323"/>
      <c r="CU26" s="323"/>
      <c r="CV26" s="323"/>
      <c r="CW26" s="323"/>
      <c r="CX26" s="323"/>
      <c r="CY26" s="323"/>
      <c r="CZ26" s="323"/>
      <c r="DA26" s="323"/>
      <c r="DB26" s="323"/>
      <c r="DC26" s="323"/>
      <c r="DD26" s="323"/>
      <c r="DE26" s="323"/>
      <c r="DF26" s="323"/>
      <c r="DG26" s="323"/>
      <c r="DH26" s="323"/>
      <c r="DI26" s="323"/>
      <c r="DJ26" s="323"/>
      <c r="DK26" s="323"/>
      <c r="DL26" s="323"/>
      <c r="DM26" s="323"/>
      <c r="DN26" s="323"/>
      <c r="DO26" s="323"/>
      <c r="DP26" s="323"/>
      <c r="DQ26" s="323"/>
      <c r="DR26" s="323"/>
      <c r="DS26" s="323"/>
      <c r="DT26" s="323"/>
      <c r="DU26" s="323"/>
      <c r="DV26" s="323"/>
      <c r="DW26" s="323"/>
      <c r="DX26" s="323"/>
      <c r="DY26" s="323"/>
      <c r="DZ26" s="323"/>
      <c r="EA26" s="323"/>
      <c r="EB26" s="323"/>
      <c r="EC26" s="323"/>
      <c r="ED26" s="323"/>
      <c r="EE26" s="323"/>
      <c r="EF26" s="323"/>
      <c r="EG26" s="323"/>
      <c r="EH26" s="323"/>
      <c r="EI26" s="323"/>
      <c r="EJ26" s="323"/>
      <c r="EK26" s="323"/>
      <c r="EL26" s="323"/>
      <c r="EM26" s="323"/>
      <c r="EN26" s="323"/>
      <c r="EO26" s="323"/>
      <c r="EP26" s="323"/>
      <c r="EQ26" s="323"/>
      <c r="ER26" s="323"/>
      <c r="ES26" s="323"/>
      <c r="ET26" s="323"/>
      <c r="EU26" s="323"/>
      <c r="EV26" s="323"/>
      <c r="EW26" s="323"/>
      <c r="EX26" s="323"/>
      <c r="EY26" s="323"/>
      <c r="EZ26" s="323"/>
      <c r="FA26" s="323"/>
      <c r="FB26" s="323"/>
      <c r="FC26" s="323"/>
      <c r="FD26" s="323"/>
      <c r="FE26" s="323"/>
      <c r="FF26" s="323"/>
      <c r="FG26" s="323"/>
      <c r="FH26" s="323"/>
      <c r="FI26" s="323"/>
      <c r="FJ26" s="323"/>
      <c r="FK26" s="323"/>
      <c r="FL26" s="323"/>
      <c r="FM26" s="323"/>
      <c r="FN26" s="323"/>
      <c r="FO26" s="323"/>
      <c r="FP26" s="323"/>
      <c r="FQ26" s="323"/>
      <c r="FR26" s="323"/>
      <c r="FS26" s="323"/>
      <c r="FT26" s="323"/>
      <c r="FU26" s="323"/>
      <c r="FV26" s="323"/>
      <c r="FW26" s="323"/>
      <c r="FX26" s="323"/>
      <c r="FY26" s="323"/>
      <c r="FZ26" s="323"/>
      <c r="GA26" s="323"/>
      <c r="GB26" s="323"/>
      <c r="GC26" s="323"/>
      <c r="GD26" s="323"/>
      <c r="GE26" s="323"/>
      <c r="GF26" s="323"/>
      <c r="GG26" s="323"/>
      <c r="GH26" s="323"/>
      <c r="GI26" s="323"/>
      <c r="GJ26" s="323"/>
      <c r="GK26" s="323"/>
      <c r="GL26" s="323"/>
      <c r="GM26" s="323"/>
      <c r="GN26" s="323"/>
      <c r="GO26" s="323"/>
      <c r="GP26" s="323"/>
      <c r="GQ26" s="323"/>
      <c r="GR26" s="323"/>
      <c r="GS26" s="323"/>
      <c r="GT26" s="323"/>
      <c r="GU26" s="323"/>
      <c r="GV26" s="323"/>
      <c r="GW26" s="323"/>
      <c r="GX26" s="323"/>
      <c r="GY26" s="323"/>
      <c r="GZ26" s="323"/>
      <c r="HA26" s="323"/>
      <c r="HB26" s="323"/>
      <c r="HC26" s="323"/>
      <c r="HD26" s="323"/>
      <c r="HE26" s="323"/>
      <c r="HF26" s="323"/>
      <c r="HG26" s="323"/>
      <c r="HH26" s="323"/>
      <c r="HI26" s="323"/>
      <c r="HJ26" s="323"/>
      <c r="HK26" s="323"/>
      <c r="HL26" s="323"/>
      <c r="HM26" s="323"/>
      <c r="HN26" s="323"/>
      <c r="HO26" s="323"/>
      <c r="HP26" s="323"/>
      <c r="HQ26" s="323"/>
      <c r="HR26" s="323"/>
      <c r="HS26" s="323"/>
      <c r="HT26" s="323"/>
      <c r="HU26" s="323"/>
      <c r="HV26" s="323"/>
      <c r="HW26" s="323"/>
      <c r="HX26" s="323"/>
      <c r="HY26" s="323"/>
      <c r="HZ26" s="323"/>
      <c r="IA26" s="323"/>
      <c r="IB26" s="323"/>
      <c r="IC26" s="323"/>
      <c r="ID26" s="323"/>
      <c r="IE26" s="323"/>
      <c r="IF26" s="323"/>
      <c r="IG26" s="323"/>
      <c r="IH26" s="323"/>
      <c r="II26" s="323"/>
      <c r="IJ26" s="323"/>
      <c r="IK26" s="323"/>
      <c r="IL26" s="323"/>
      <c r="IM26" s="323"/>
      <c r="IN26" s="323"/>
      <c r="IO26" s="323"/>
      <c r="IP26" s="323"/>
      <c r="IQ26" s="323"/>
      <c r="IR26" s="323"/>
      <c r="IS26" s="323"/>
      <c r="IT26" s="323"/>
      <c r="IU26" s="323"/>
      <c r="IV26" s="323"/>
    </row>
    <row r="27" spans="1:256" ht="42.75">
      <c r="A27" s="178" t="s">
        <v>136</v>
      </c>
      <c r="B27" s="151" t="s">
        <v>167</v>
      </c>
      <c r="C27" s="151" t="s">
        <v>115</v>
      </c>
      <c r="D27" s="179" t="s">
        <v>130</v>
      </c>
      <c r="E27" s="151" t="s">
        <v>117</v>
      </c>
      <c r="F27" s="151" t="s">
        <v>131</v>
      </c>
      <c r="G27" s="152" t="str">
        <f t="shared" si="0"/>
        <v>No of Racks</v>
      </c>
      <c r="H27" s="200">
        <v>2</v>
      </c>
      <c r="I27" s="151">
        <v>2</v>
      </c>
      <c r="J27" s="180">
        <f>H27-I27</f>
        <v>0</v>
      </c>
      <c r="K27" s="151">
        <v>2</v>
      </c>
      <c r="L27" s="151"/>
      <c r="M27" s="83">
        <f>195000/12</f>
        <v>16250</v>
      </c>
      <c r="N27" s="83">
        <f t="shared" si="40"/>
        <v>195000</v>
      </c>
      <c r="O27" s="183" t="str">
        <f t="shared" si="1"/>
        <v>Subscribed</v>
      </c>
      <c r="P27" s="151" t="s">
        <v>108</v>
      </c>
      <c r="Q27" s="153">
        <v>6</v>
      </c>
      <c r="R27" s="225">
        <v>5.7</v>
      </c>
      <c r="S27" s="226">
        <f t="shared" si="36"/>
        <v>0.29999999999999982</v>
      </c>
      <c r="T27" s="186"/>
      <c r="U27" s="186">
        <f t="shared" si="3"/>
        <v>0.29999999999999982</v>
      </c>
      <c r="V27" s="186">
        <f t="shared" si="4"/>
        <v>6</v>
      </c>
      <c r="W27" s="202">
        <f t="shared" si="39"/>
        <v>5.7</v>
      </c>
      <c r="X27" s="186"/>
      <c r="Y27" s="83"/>
      <c r="Z27" s="189" t="str">
        <f t="shared" si="41"/>
        <v>Metered</v>
      </c>
      <c r="AA27" s="186">
        <v>1</v>
      </c>
      <c r="AB27" s="179" t="s">
        <v>145</v>
      </c>
      <c r="AC27" s="190">
        <v>14.5</v>
      </c>
      <c r="AD27">
        <v>4264.8999999999996</v>
      </c>
      <c r="AE27" s="120"/>
      <c r="AF27" s="152"/>
      <c r="AG27" s="153"/>
      <c r="AH27" s="153"/>
      <c r="AI27" s="151"/>
      <c r="AJ27" s="153"/>
      <c r="AK27" s="186"/>
      <c r="AL27" s="83"/>
      <c r="AM27" s="83">
        <f t="shared" si="42"/>
        <v>32500</v>
      </c>
      <c r="AN27" s="83">
        <f t="shared" si="43"/>
        <v>0</v>
      </c>
      <c r="AO27" s="83">
        <f t="shared" si="44"/>
        <v>61841.049999999996</v>
      </c>
      <c r="AP27" s="83">
        <f t="shared" si="45"/>
        <v>0</v>
      </c>
      <c r="AQ27" s="84"/>
      <c r="AR27" s="85">
        <f t="shared" si="46"/>
        <v>94341.049999999988</v>
      </c>
      <c r="AS27" s="86">
        <f t="shared" si="47"/>
        <v>1132092.5999999999</v>
      </c>
      <c r="AT27" s="85" t="s">
        <v>168</v>
      </c>
      <c r="AU27" s="68">
        <v>721003964</v>
      </c>
      <c r="AV27" s="191">
        <v>42964</v>
      </c>
      <c r="AW27" s="69">
        <v>1</v>
      </c>
      <c r="AX27" s="191">
        <v>43299</v>
      </c>
      <c r="AY27" s="69"/>
      <c r="AZ27" s="323"/>
      <c r="BA27" s="84">
        <f t="shared" si="48"/>
        <v>47170.524999999994</v>
      </c>
      <c r="BB27" s="84">
        <f t="shared" si="49"/>
        <v>15723.508333333331</v>
      </c>
      <c r="BC27" s="84" t="e">
        <f t="shared" si="50"/>
        <v>#VALUE!</v>
      </c>
      <c r="BD27" s="84" t="e">
        <f t="shared" si="50"/>
        <v>#VALUE!</v>
      </c>
      <c r="BE27" s="84">
        <f t="shared" si="51"/>
        <v>7039.6643166666572</v>
      </c>
      <c r="BF27" s="84"/>
      <c r="BG27" s="93">
        <f t="shared" si="52"/>
        <v>94341.049999999988</v>
      </c>
      <c r="BH27" s="93">
        <f t="shared" si="53"/>
        <v>32499.999999999993</v>
      </c>
      <c r="BI27" s="93">
        <f t="shared" si="54"/>
        <v>61841.049999999996</v>
      </c>
      <c r="BJ27" s="91" t="e">
        <f t="shared" si="20"/>
        <v>#VALUE!</v>
      </c>
      <c r="BK27" s="91" t="e">
        <f t="shared" si="21"/>
        <v>#VALUE!</v>
      </c>
      <c r="BL27" s="91">
        <f t="shared" si="55"/>
        <v>44393.414100000053</v>
      </c>
      <c r="BM27" s="91" t="e">
        <f t="shared" si="56"/>
        <v>#VALUE!</v>
      </c>
      <c r="BN27" s="91">
        <f t="shared" si="57"/>
        <v>0</v>
      </c>
      <c r="BO27" s="91">
        <f t="shared" si="58"/>
        <v>32499.999999999993</v>
      </c>
      <c r="BP27" s="91" t="e">
        <f t="shared" si="59"/>
        <v>#VALUE!</v>
      </c>
      <c r="BQ27" s="91" t="e">
        <f t="shared" si="60"/>
        <v>#VALUE!</v>
      </c>
      <c r="BR27" s="91">
        <f t="shared" si="61"/>
        <v>6</v>
      </c>
      <c r="BS27" s="91" t="e">
        <f t="shared" si="62"/>
        <v>#VALUE!</v>
      </c>
      <c r="BT27" s="91" t="e">
        <f t="shared" si="63"/>
        <v>#VALUE!</v>
      </c>
      <c r="BU27" s="91">
        <f t="shared" si="64"/>
        <v>32500</v>
      </c>
      <c r="BV27" s="91" t="e">
        <f t="shared" si="65"/>
        <v>#VALUE!</v>
      </c>
      <c r="BW27" s="91" t="e">
        <f t="shared" si="66"/>
        <v>#VALUE!</v>
      </c>
      <c r="BX27" s="91">
        <f t="shared" si="66"/>
        <v>5416.666666666667</v>
      </c>
      <c r="BY27" s="91" t="e">
        <f t="shared" si="66"/>
        <v>#VALUE!</v>
      </c>
      <c r="BZ27" s="323"/>
      <c r="CA27" s="323"/>
      <c r="CB27" s="323"/>
      <c r="CC27" s="323"/>
      <c r="CD27" s="323"/>
      <c r="CE27" s="323"/>
      <c r="CF27" s="323"/>
      <c r="CG27" s="323"/>
      <c r="CH27" s="323"/>
      <c r="CI27" s="323"/>
      <c r="CJ27" s="323"/>
      <c r="CK27" s="323"/>
      <c r="CL27" s="323"/>
      <c r="CM27" s="323"/>
      <c r="CN27" s="323"/>
      <c r="CO27" s="323"/>
      <c r="CP27" s="323"/>
      <c r="CQ27" s="323"/>
      <c r="CR27" s="323"/>
      <c r="CS27" s="323"/>
      <c r="CT27" s="323"/>
      <c r="CU27" s="323"/>
      <c r="CV27" s="323"/>
      <c r="CW27" s="323"/>
      <c r="CX27" s="323"/>
      <c r="CY27" s="323"/>
      <c r="CZ27" s="323"/>
      <c r="DA27" s="323"/>
      <c r="DB27" s="323"/>
      <c r="DC27" s="323"/>
      <c r="DD27" s="323"/>
      <c r="DE27" s="323"/>
      <c r="DF27" s="323"/>
      <c r="DG27" s="323"/>
      <c r="DH27" s="323"/>
      <c r="DI27" s="323"/>
      <c r="DJ27" s="323"/>
      <c r="DK27" s="323"/>
      <c r="DL27" s="323"/>
      <c r="DM27" s="323"/>
      <c r="DN27" s="323"/>
      <c r="DO27" s="323"/>
      <c r="DP27" s="323"/>
      <c r="DQ27" s="323"/>
      <c r="DR27" s="323"/>
      <c r="DS27" s="323"/>
      <c r="DT27" s="323"/>
      <c r="DU27" s="323"/>
      <c r="DV27" s="323"/>
      <c r="DW27" s="323"/>
      <c r="DX27" s="323"/>
      <c r="DY27" s="323"/>
      <c r="DZ27" s="323"/>
      <c r="EA27" s="323"/>
      <c r="EB27" s="323"/>
      <c r="EC27" s="323"/>
      <c r="ED27" s="323"/>
      <c r="EE27" s="323"/>
      <c r="EF27" s="323"/>
      <c r="EG27" s="323"/>
      <c r="EH27" s="323"/>
      <c r="EI27" s="323"/>
      <c r="EJ27" s="323"/>
      <c r="EK27" s="323"/>
      <c r="EL27" s="323"/>
      <c r="EM27" s="323"/>
      <c r="EN27" s="323"/>
      <c r="EO27" s="323"/>
      <c r="EP27" s="323"/>
      <c r="EQ27" s="323"/>
      <c r="ER27" s="323"/>
      <c r="ES27" s="323"/>
      <c r="ET27" s="323"/>
      <c r="EU27" s="323"/>
      <c r="EV27" s="323"/>
      <c r="EW27" s="323"/>
      <c r="EX27" s="323"/>
      <c r="EY27" s="323"/>
      <c r="EZ27" s="323"/>
      <c r="FA27" s="323"/>
      <c r="FB27" s="323"/>
      <c r="FC27" s="323"/>
      <c r="FD27" s="323"/>
      <c r="FE27" s="323"/>
      <c r="FF27" s="323"/>
      <c r="FG27" s="323"/>
      <c r="FH27" s="323"/>
      <c r="FI27" s="323"/>
      <c r="FJ27" s="323"/>
      <c r="FK27" s="323"/>
      <c r="FL27" s="323"/>
      <c r="FM27" s="323"/>
      <c r="FN27" s="323"/>
      <c r="FO27" s="323"/>
      <c r="FP27" s="323"/>
      <c r="FQ27" s="323"/>
      <c r="FR27" s="323"/>
      <c r="FS27" s="323"/>
      <c r="FT27" s="323"/>
      <c r="FU27" s="323"/>
      <c r="FV27" s="323"/>
      <c r="FW27" s="323"/>
      <c r="FX27" s="323"/>
      <c r="FY27" s="323"/>
      <c r="FZ27" s="323"/>
      <c r="GA27" s="323"/>
      <c r="GB27" s="323"/>
      <c r="GC27" s="323"/>
      <c r="GD27" s="323"/>
      <c r="GE27" s="323"/>
      <c r="GF27" s="323"/>
      <c r="GG27" s="323"/>
      <c r="GH27" s="323"/>
      <c r="GI27" s="323"/>
      <c r="GJ27" s="323"/>
      <c r="GK27" s="323"/>
      <c r="GL27" s="323"/>
      <c r="GM27" s="323"/>
      <c r="GN27" s="323"/>
      <c r="GO27" s="323"/>
      <c r="GP27" s="323"/>
      <c r="GQ27" s="323"/>
      <c r="GR27" s="323"/>
      <c r="GS27" s="323"/>
      <c r="GT27" s="323"/>
      <c r="GU27" s="323"/>
      <c r="GV27" s="323"/>
      <c r="GW27" s="323"/>
      <c r="GX27" s="323"/>
      <c r="GY27" s="323"/>
      <c r="GZ27" s="323"/>
      <c r="HA27" s="323"/>
      <c r="HB27" s="323"/>
      <c r="HC27" s="323"/>
      <c r="HD27" s="323"/>
      <c r="HE27" s="323"/>
      <c r="HF27" s="323"/>
      <c r="HG27" s="323"/>
      <c r="HH27" s="323"/>
      <c r="HI27" s="323"/>
      <c r="HJ27" s="323"/>
      <c r="HK27" s="323"/>
      <c r="HL27" s="323"/>
      <c r="HM27" s="323"/>
      <c r="HN27" s="323"/>
      <c r="HO27" s="323"/>
      <c r="HP27" s="323"/>
      <c r="HQ27" s="323"/>
      <c r="HR27" s="323"/>
      <c r="HS27" s="323"/>
      <c r="HT27" s="323"/>
      <c r="HU27" s="323"/>
      <c r="HV27" s="323"/>
      <c r="HW27" s="323"/>
      <c r="HX27" s="323"/>
      <c r="HY27" s="323"/>
      <c r="HZ27" s="323"/>
      <c r="IA27" s="323"/>
      <c r="IB27" s="323"/>
      <c r="IC27" s="323"/>
      <c r="ID27" s="323"/>
      <c r="IE27" s="323"/>
      <c r="IF27" s="323"/>
      <c r="IG27" s="323"/>
      <c r="IH27" s="323"/>
      <c r="II27" s="323"/>
      <c r="IJ27" s="323"/>
      <c r="IK27" s="323"/>
      <c r="IL27" s="323"/>
      <c r="IM27" s="323"/>
      <c r="IN27" s="323"/>
      <c r="IO27" s="323"/>
      <c r="IP27" s="323"/>
      <c r="IQ27" s="323"/>
      <c r="IR27" s="323"/>
      <c r="IS27" s="323"/>
      <c r="IT27" s="323"/>
      <c r="IU27" s="323"/>
      <c r="IV27" s="323"/>
    </row>
    <row r="28" spans="1:256" ht="42.75">
      <c r="A28" s="178" t="s">
        <v>138</v>
      </c>
      <c r="B28" s="151" t="s">
        <v>167</v>
      </c>
      <c r="C28" s="151" t="s">
        <v>115</v>
      </c>
      <c r="D28" s="179" t="s">
        <v>130</v>
      </c>
      <c r="E28" s="151" t="s">
        <v>117</v>
      </c>
      <c r="F28" s="151" t="s">
        <v>131</v>
      </c>
      <c r="G28" s="152" t="str">
        <f t="shared" si="0"/>
        <v>No of Racks</v>
      </c>
      <c r="H28" s="200">
        <v>50</v>
      </c>
      <c r="I28" s="151">
        <v>50</v>
      </c>
      <c r="J28" s="180">
        <v>0</v>
      </c>
      <c r="K28" s="151">
        <v>50</v>
      </c>
      <c r="L28" s="151"/>
      <c r="M28" s="83">
        <f>325000/12</f>
        <v>27083.333333333332</v>
      </c>
      <c r="N28" s="83">
        <f t="shared" si="40"/>
        <v>325000</v>
      </c>
      <c r="O28" s="183" t="str">
        <f t="shared" si="1"/>
        <v>Subscribed</v>
      </c>
      <c r="P28" s="151" t="s">
        <v>108</v>
      </c>
      <c r="Q28" s="153">
        <v>226</v>
      </c>
      <c r="R28" s="225">
        <v>126.44</v>
      </c>
      <c r="S28" s="226">
        <f t="shared" si="36"/>
        <v>99.56</v>
      </c>
      <c r="T28" s="186"/>
      <c r="U28" s="186">
        <f t="shared" si="3"/>
        <v>99.56</v>
      </c>
      <c r="V28" s="186">
        <f t="shared" si="4"/>
        <v>226</v>
      </c>
      <c r="W28" s="202">
        <f t="shared" si="39"/>
        <v>126.44</v>
      </c>
      <c r="X28" s="186"/>
      <c r="Y28" s="83"/>
      <c r="Z28" s="189" t="str">
        <f t="shared" si="41"/>
        <v>Metered</v>
      </c>
      <c r="AA28" s="186">
        <v>1</v>
      </c>
      <c r="AB28" s="179" t="s">
        <v>145</v>
      </c>
      <c r="AC28" s="190">
        <v>14</v>
      </c>
      <c r="AD28" s="229">
        <v>0</v>
      </c>
      <c r="AE28" s="120"/>
      <c r="AF28" s="152"/>
      <c r="AG28" s="153"/>
      <c r="AH28" s="153"/>
      <c r="AI28" s="151"/>
      <c r="AJ28" s="153"/>
      <c r="AK28" s="186"/>
      <c r="AL28" s="83"/>
      <c r="AM28" s="83">
        <f t="shared" si="42"/>
        <v>1354166.6666666665</v>
      </c>
      <c r="AN28" s="83">
        <f t="shared" si="43"/>
        <v>0</v>
      </c>
      <c r="AO28" s="83">
        <f t="shared" si="44"/>
        <v>0</v>
      </c>
      <c r="AP28" s="83">
        <f t="shared" si="45"/>
        <v>0</v>
      </c>
      <c r="AQ28" s="84"/>
      <c r="AR28" s="85">
        <f t="shared" si="46"/>
        <v>1354166.6666666665</v>
      </c>
      <c r="AS28" s="86">
        <f t="shared" si="47"/>
        <v>16249999.999999998</v>
      </c>
      <c r="AT28" s="85" t="s">
        <v>119</v>
      </c>
      <c r="AU28" s="68">
        <v>721007019</v>
      </c>
      <c r="AV28" s="191">
        <v>43361</v>
      </c>
      <c r="AW28" s="69">
        <v>1</v>
      </c>
      <c r="AX28" s="191">
        <v>43695</v>
      </c>
      <c r="AY28" s="69"/>
      <c r="AZ28" s="323"/>
      <c r="BA28" s="84">
        <f t="shared" si="48"/>
        <v>27083.333333333328</v>
      </c>
      <c r="BB28" s="84">
        <f t="shared" si="49"/>
        <v>5991.887905604719</v>
      </c>
      <c r="BC28" s="84">
        <f t="shared" si="50"/>
        <v>1121.9388523303771</v>
      </c>
      <c r="BD28" s="84">
        <f t="shared" si="50"/>
        <v>-2712.7030943952905</v>
      </c>
      <c r="BE28" s="84">
        <f t="shared" si="51"/>
        <v>7303.7855556047107</v>
      </c>
      <c r="BF28" s="84"/>
      <c r="BG28" s="93">
        <f t="shared" si="52"/>
        <v>1354166.6666666665</v>
      </c>
      <c r="BH28" s="93">
        <f t="shared" si="53"/>
        <v>1354166.6666666665</v>
      </c>
      <c r="BI28" s="93">
        <f t="shared" si="54"/>
        <v>0</v>
      </c>
      <c r="BJ28" s="91">
        <f t="shared" si="20"/>
        <v>1100608.4860400013</v>
      </c>
      <c r="BK28" s="91">
        <f t="shared" si="21"/>
        <v>1967237.5660000022</v>
      </c>
      <c r="BL28" s="91">
        <f t="shared" si="55"/>
        <v>1672151.9311000018</v>
      </c>
      <c r="BM28" s="91">
        <f t="shared" si="56"/>
        <v>253558.18062666524</v>
      </c>
      <c r="BN28" s="91">
        <f t="shared" si="57"/>
        <v>0</v>
      </c>
      <c r="BO28" s="91">
        <f t="shared" si="58"/>
        <v>1354166.6666666665</v>
      </c>
      <c r="BP28" s="91">
        <f t="shared" si="59"/>
        <v>-1100608.4860400013</v>
      </c>
      <c r="BQ28" s="91">
        <f t="shared" si="60"/>
        <v>253558.18062666524</v>
      </c>
      <c r="BR28" s="91">
        <f t="shared" si="61"/>
        <v>226</v>
      </c>
      <c r="BS28" s="91">
        <f t="shared" si="62"/>
        <v>1121.9388523303771</v>
      </c>
      <c r="BT28" s="91">
        <f t="shared" si="63"/>
        <v>-1100608.4860400013</v>
      </c>
      <c r="BU28" s="91">
        <f t="shared" si="64"/>
        <v>1354166.6666666665</v>
      </c>
      <c r="BV28" s="91">
        <f t="shared" si="65"/>
        <v>253558.18062666524</v>
      </c>
      <c r="BW28" s="91">
        <f t="shared" si="66"/>
        <v>-4869.9490532743421</v>
      </c>
      <c r="BX28" s="91">
        <f t="shared" si="66"/>
        <v>5991.887905604719</v>
      </c>
      <c r="BY28" s="91">
        <f t="shared" si="66"/>
        <v>1121.9388523303771</v>
      </c>
      <c r="BZ28" s="323"/>
      <c r="CA28" s="323"/>
      <c r="CB28" s="323"/>
      <c r="CC28" s="323"/>
      <c r="CD28" s="323"/>
      <c r="CE28" s="323"/>
      <c r="CF28" s="323"/>
      <c r="CG28" s="323"/>
      <c r="CH28" s="323"/>
      <c r="CI28" s="323"/>
      <c r="CJ28" s="323"/>
      <c r="CK28" s="323"/>
      <c r="CL28" s="323"/>
      <c r="CM28" s="323"/>
      <c r="CN28" s="323"/>
      <c r="CO28" s="323"/>
      <c r="CP28" s="323"/>
      <c r="CQ28" s="323"/>
      <c r="CR28" s="323"/>
      <c r="CS28" s="323"/>
      <c r="CT28" s="323"/>
      <c r="CU28" s="323"/>
      <c r="CV28" s="323"/>
      <c r="CW28" s="323"/>
      <c r="CX28" s="323"/>
      <c r="CY28" s="323"/>
      <c r="CZ28" s="323"/>
      <c r="DA28" s="323"/>
      <c r="DB28" s="323"/>
      <c r="DC28" s="323"/>
      <c r="DD28" s="323"/>
      <c r="DE28" s="323"/>
      <c r="DF28" s="323"/>
      <c r="DG28" s="323"/>
      <c r="DH28" s="323"/>
      <c r="DI28" s="323"/>
      <c r="DJ28" s="323"/>
      <c r="DK28" s="323"/>
      <c r="DL28" s="323"/>
      <c r="DM28" s="323"/>
      <c r="DN28" s="323"/>
      <c r="DO28" s="323"/>
      <c r="DP28" s="323"/>
      <c r="DQ28" s="323"/>
      <c r="DR28" s="323"/>
      <c r="DS28" s="323"/>
      <c r="DT28" s="323"/>
      <c r="DU28" s="323"/>
      <c r="DV28" s="323"/>
      <c r="DW28" s="323"/>
      <c r="DX28" s="323"/>
      <c r="DY28" s="323"/>
      <c r="DZ28" s="323"/>
      <c r="EA28" s="323"/>
      <c r="EB28" s="323"/>
      <c r="EC28" s="323"/>
      <c r="ED28" s="323"/>
      <c r="EE28" s="323"/>
      <c r="EF28" s="323"/>
      <c r="EG28" s="323"/>
      <c r="EH28" s="323"/>
      <c r="EI28" s="323"/>
      <c r="EJ28" s="323"/>
      <c r="EK28" s="323"/>
      <c r="EL28" s="323"/>
      <c r="EM28" s="323"/>
      <c r="EN28" s="323"/>
      <c r="EO28" s="323"/>
      <c r="EP28" s="323"/>
      <c r="EQ28" s="323"/>
      <c r="ER28" s="323"/>
      <c r="ES28" s="323"/>
      <c r="ET28" s="323"/>
      <c r="EU28" s="323"/>
      <c r="EV28" s="323"/>
      <c r="EW28" s="323"/>
      <c r="EX28" s="323"/>
      <c r="EY28" s="323"/>
      <c r="EZ28" s="323"/>
      <c r="FA28" s="323"/>
      <c r="FB28" s="323"/>
      <c r="FC28" s="323"/>
      <c r="FD28" s="323"/>
      <c r="FE28" s="323"/>
      <c r="FF28" s="323"/>
      <c r="FG28" s="323"/>
      <c r="FH28" s="323"/>
      <c r="FI28" s="323"/>
      <c r="FJ28" s="323"/>
      <c r="FK28" s="323"/>
      <c r="FL28" s="323"/>
      <c r="FM28" s="323"/>
      <c r="FN28" s="323"/>
      <c r="FO28" s="323"/>
      <c r="FP28" s="323"/>
      <c r="FQ28" s="323"/>
      <c r="FR28" s="323"/>
      <c r="FS28" s="323"/>
      <c r="FT28" s="323"/>
      <c r="FU28" s="323"/>
      <c r="FV28" s="323"/>
      <c r="FW28" s="323"/>
      <c r="FX28" s="323"/>
      <c r="FY28" s="323"/>
      <c r="FZ28" s="323"/>
      <c r="GA28" s="323"/>
      <c r="GB28" s="323"/>
      <c r="GC28" s="323"/>
      <c r="GD28" s="323"/>
      <c r="GE28" s="323"/>
      <c r="GF28" s="323"/>
      <c r="GG28" s="323"/>
      <c r="GH28" s="323"/>
      <c r="GI28" s="323"/>
      <c r="GJ28" s="323"/>
      <c r="GK28" s="323"/>
      <c r="GL28" s="323"/>
      <c r="GM28" s="323"/>
      <c r="GN28" s="323"/>
      <c r="GO28" s="323"/>
      <c r="GP28" s="323"/>
      <c r="GQ28" s="323"/>
      <c r="GR28" s="323"/>
      <c r="GS28" s="323"/>
      <c r="GT28" s="323"/>
      <c r="GU28" s="323"/>
      <c r="GV28" s="323"/>
      <c r="GW28" s="323"/>
      <c r="GX28" s="323"/>
      <c r="GY28" s="323"/>
      <c r="GZ28" s="323"/>
      <c r="HA28" s="323"/>
      <c r="HB28" s="323"/>
      <c r="HC28" s="323"/>
      <c r="HD28" s="323"/>
      <c r="HE28" s="323"/>
      <c r="HF28" s="323"/>
      <c r="HG28" s="323"/>
      <c r="HH28" s="323"/>
      <c r="HI28" s="323"/>
      <c r="HJ28" s="323"/>
      <c r="HK28" s="323"/>
      <c r="HL28" s="323"/>
      <c r="HM28" s="323"/>
      <c r="HN28" s="323"/>
      <c r="HO28" s="323"/>
      <c r="HP28" s="323"/>
      <c r="HQ28" s="323"/>
      <c r="HR28" s="323"/>
      <c r="HS28" s="323"/>
      <c r="HT28" s="323"/>
      <c r="HU28" s="323"/>
      <c r="HV28" s="323"/>
      <c r="HW28" s="323"/>
      <c r="HX28" s="323"/>
      <c r="HY28" s="323"/>
      <c r="HZ28" s="323"/>
      <c r="IA28" s="323"/>
      <c r="IB28" s="323"/>
      <c r="IC28" s="323"/>
      <c r="ID28" s="323"/>
      <c r="IE28" s="323"/>
      <c r="IF28" s="323"/>
      <c r="IG28" s="323"/>
      <c r="IH28" s="323"/>
      <c r="II28" s="323"/>
      <c r="IJ28" s="323"/>
      <c r="IK28" s="323"/>
      <c r="IL28" s="323"/>
      <c r="IM28" s="323"/>
      <c r="IN28" s="323"/>
      <c r="IO28" s="323"/>
      <c r="IP28" s="323"/>
      <c r="IQ28" s="323"/>
      <c r="IR28" s="323"/>
      <c r="IS28" s="323"/>
      <c r="IT28" s="323"/>
      <c r="IU28" s="323"/>
      <c r="IV28" s="323"/>
    </row>
    <row r="29" spans="1:256" ht="32.25">
      <c r="A29" s="178" t="s">
        <v>122</v>
      </c>
      <c r="B29" s="151" t="s">
        <v>174</v>
      </c>
      <c r="C29" s="151" t="s">
        <v>124</v>
      </c>
      <c r="D29" s="179" t="s">
        <v>116</v>
      </c>
      <c r="E29" s="151" t="s">
        <v>117</v>
      </c>
      <c r="F29" s="151" t="s">
        <v>118</v>
      </c>
      <c r="G29" s="152" t="str">
        <f t="shared" si="0"/>
        <v>No of Racks</v>
      </c>
      <c r="H29" s="151">
        <v>1</v>
      </c>
      <c r="I29" s="151">
        <v>1</v>
      </c>
      <c r="J29" s="180">
        <f t="shared" ref="J29:J62" si="67">H29-I29</f>
        <v>0</v>
      </c>
      <c r="K29" s="151">
        <v>1</v>
      </c>
      <c r="L29" s="151"/>
      <c r="M29" s="181">
        <f>400000/12</f>
        <v>33333.333333333336</v>
      </c>
      <c r="N29" s="182">
        <f t="shared" si="40"/>
        <v>400000</v>
      </c>
      <c r="O29" s="183" t="str">
        <f t="shared" si="1"/>
        <v>Rated</v>
      </c>
      <c r="P29" s="151" t="s">
        <v>125</v>
      </c>
      <c r="Q29" s="151">
        <v>4</v>
      </c>
      <c r="R29" s="230">
        <v>5.17</v>
      </c>
      <c r="S29" s="185">
        <f t="shared" si="36"/>
        <v>-1.17</v>
      </c>
      <c r="T29" s="151"/>
      <c r="U29" s="186">
        <f t="shared" si="3"/>
        <v>0</v>
      </c>
      <c r="V29" s="186">
        <f t="shared" ca="1" si="4"/>
        <v>2</v>
      </c>
      <c r="W29" s="231">
        <f t="shared" si="39"/>
        <v>5.17</v>
      </c>
      <c r="X29" s="186"/>
      <c r="Y29" s="83">
        <f>90000/12</f>
        <v>7500</v>
      </c>
      <c r="Z29" s="189" t="str">
        <f t="shared" si="41"/>
        <v>Bundled</v>
      </c>
      <c r="AA29" s="151"/>
      <c r="AB29" s="186"/>
      <c r="AC29" s="190"/>
      <c r="AD29" s="232"/>
      <c r="AE29" s="120"/>
      <c r="AF29" s="152" t="str">
        <f>IF(AE29="No of Seats","No of Seats",(IF(AE29="Space","Sq Ft","")))</f>
        <v/>
      </c>
      <c r="AG29" s="151"/>
      <c r="AH29" s="151"/>
      <c r="AI29" s="151"/>
      <c r="AJ29" s="151"/>
      <c r="AK29" s="151"/>
      <c r="AL29" s="181"/>
      <c r="AM29" s="83">
        <f t="shared" si="42"/>
        <v>33333.333333333336</v>
      </c>
      <c r="AN29" s="83">
        <f t="shared" si="43"/>
        <v>0</v>
      </c>
      <c r="AO29" s="83">
        <f t="shared" si="44"/>
        <v>0</v>
      </c>
      <c r="AP29" s="83">
        <f t="shared" si="45"/>
        <v>0</v>
      </c>
      <c r="AQ29" s="84"/>
      <c r="AR29" s="85">
        <f t="shared" si="46"/>
        <v>33333.333333333336</v>
      </c>
      <c r="AS29" s="86">
        <f t="shared" si="47"/>
        <v>400000</v>
      </c>
      <c r="AT29" s="85" t="s">
        <v>119</v>
      </c>
      <c r="AU29" s="69">
        <v>721003150</v>
      </c>
      <c r="AV29" s="191">
        <v>42401</v>
      </c>
      <c r="AW29" s="69">
        <v>5</v>
      </c>
      <c r="AX29" s="191">
        <v>44228</v>
      </c>
      <c r="AY29" s="69"/>
      <c r="AZ29" s="323"/>
      <c r="BA29" s="84">
        <f t="shared" si="48"/>
        <v>33333.333333333336</v>
      </c>
      <c r="BB29" s="84">
        <f t="shared" ca="1" si="49"/>
        <v>0</v>
      </c>
      <c r="BC29" s="84">
        <f t="shared" ca="1" si="50"/>
        <v>-10275.785353333333</v>
      </c>
      <c r="BD29" s="84">
        <f t="shared" ca="1" si="50"/>
        <v>-10275.785353333333</v>
      </c>
      <c r="BE29" s="84">
        <f t="shared" ca="1" si="51"/>
        <v>6244.0546666666669</v>
      </c>
      <c r="BF29" s="84"/>
      <c r="BG29" s="90">
        <f t="shared" si="52"/>
        <v>33333.333333333336</v>
      </c>
      <c r="BH29" s="90">
        <f t="shared" ca="1" si="53"/>
        <v>12488.109333333334</v>
      </c>
      <c r="BI29" s="90">
        <f t="shared" ca="1" si="54"/>
        <v>20845.224000000002</v>
      </c>
      <c r="BJ29" s="91">
        <f t="shared" si="20"/>
        <v>45002.735470000051</v>
      </c>
      <c r="BK29" s="91">
        <f t="shared" si="21"/>
        <v>45002.735470000051</v>
      </c>
      <c r="BL29" s="91">
        <f t="shared" ca="1" si="55"/>
        <v>20845.224000000002</v>
      </c>
      <c r="BM29" s="91">
        <f t="shared" ca="1" si="56"/>
        <v>-20551.570706666666</v>
      </c>
      <c r="BN29" s="91">
        <f t="shared" ca="1" si="57"/>
        <v>12000</v>
      </c>
      <c r="BO29" s="91">
        <f t="shared" ca="1" si="58"/>
        <v>488.10933333333378</v>
      </c>
      <c r="BP29" s="91">
        <f t="shared" ca="1" si="59"/>
        <v>-33039.680039999999</v>
      </c>
      <c r="BQ29" s="91">
        <f t="shared" ca="1" si="60"/>
        <v>-32551.570706666666</v>
      </c>
      <c r="BR29" s="91">
        <f t="shared" ca="1" si="61"/>
        <v>2</v>
      </c>
      <c r="BS29" s="91">
        <f t="shared" ca="1" si="62"/>
        <v>-10275.785353333333</v>
      </c>
      <c r="BT29" s="91">
        <f t="shared" ca="1" si="63"/>
        <v>-33039.680039999999</v>
      </c>
      <c r="BU29" s="91">
        <f t="shared" ca="1" si="64"/>
        <v>488.10933333333378</v>
      </c>
      <c r="BV29" s="91">
        <f t="shared" ca="1" si="65"/>
        <v>-32551.570706666666</v>
      </c>
      <c r="BW29" s="91">
        <f t="shared" ca="1" si="66"/>
        <v>-16519.84002</v>
      </c>
      <c r="BX29" s="91">
        <f t="shared" ca="1" si="66"/>
        <v>244.05466666666689</v>
      </c>
      <c r="BY29" s="91">
        <f t="shared" ca="1" si="66"/>
        <v>-16275.785353333333</v>
      </c>
      <c r="BZ29" s="323"/>
      <c r="CA29" s="323"/>
      <c r="CB29" s="323"/>
      <c r="CC29" s="323"/>
      <c r="CD29" s="323"/>
      <c r="CE29" s="323"/>
      <c r="CF29" s="323"/>
      <c r="CG29" s="323"/>
      <c r="CH29" s="323"/>
      <c r="CI29" s="323"/>
      <c r="CJ29" s="323"/>
      <c r="CK29" s="323"/>
      <c r="CL29" s="323"/>
      <c r="CM29" s="323"/>
      <c r="CN29" s="323"/>
      <c r="CO29" s="323"/>
      <c r="CP29" s="323"/>
      <c r="CQ29" s="323"/>
      <c r="CR29" s="323"/>
      <c r="CS29" s="323"/>
      <c r="CT29" s="323"/>
      <c r="CU29" s="323"/>
      <c r="CV29" s="323"/>
      <c r="CW29" s="323"/>
      <c r="CX29" s="323"/>
      <c r="CY29" s="323"/>
      <c r="CZ29" s="323"/>
      <c r="DA29" s="323"/>
      <c r="DB29" s="323"/>
      <c r="DC29" s="323"/>
      <c r="DD29" s="323"/>
      <c r="DE29" s="323"/>
      <c r="DF29" s="323"/>
      <c r="DG29" s="323"/>
      <c r="DH29" s="323"/>
      <c r="DI29" s="323"/>
      <c r="DJ29" s="323"/>
      <c r="DK29" s="323"/>
      <c r="DL29" s="323"/>
      <c r="DM29" s="323"/>
      <c r="DN29" s="323"/>
      <c r="DO29" s="323"/>
      <c r="DP29" s="323"/>
      <c r="DQ29" s="323"/>
      <c r="DR29" s="323"/>
      <c r="DS29" s="323"/>
      <c r="DT29" s="323"/>
      <c r="DU29" s="323"/>
      <c r="DV29" s="323"/>
      <c r="DW29" s="323"/>
      <c r="DX29" s="323"/>
      <c r="DY29" s="323"/>
      <c r="DZ29" s="323"/>
      <c r="EA29" s="323"/>
      <c r="EB29" s="323"/>
      <c r="EC29" s="323"/>
      <c r="ED29" s="323"/>
      <c r="EE29" s="323"/>
      <c r="EF29" s="323"/>
      <c r="EG29" s="323"/>
      <c r="EH29" s="323"/>
      <c r="EI29" s="323"/>
      <c r="EJ29" s="323"/>
      <c r="EK29" s="323"/>
      <c r="EL29" s="323"/>
      <c r="EM29" s="323"/>
      <c r="EN29" s="323"/>
      <c r="EO29" s="323"/>
      <c r="EP29" s="323"/>
      <c r="EQ29" s="323"/>
      <c r="ER29" s="323"/>
      <c r="ES29" s="323"/>
      <c r="ET29" s="323"/>
      <c r="EU29" s="323"/>
      <c r="EV29" s="323"/>
      <c r="EW29" s="323"/>
      <c r="EX29" s="323"/>
      <c r="EY29" s="323"/>
      <c r="EZ29" s="323"/>
      <c r="FA29" s="323"/>
      <c r="FB29" s="323"/>
      <c r="FC29" s="323"/>
      <c r="FD29" s="323"/>
      <c r="FE29" s="323"/>
      <c r="FF29" s="323"/>
      <c r="FG29" s="323"/>
      <c r="FH29" s="323"/>
      <c r="FI29" s="323"/>
      <c r="FJ29" s="323"/>
      <c r="FK29" s="323"/>
      <c r="FL29" s="323"/>
      <c r="FM29" s="323"/>
      <c r="FN29" s="323"/>
      <c r="FO29" s="323"/>
      <c r="FP29" s="323"/>
      <c r="FQ29" s="323"/>
      <c r="FR29" s="323"/>
      <c r="FS29" s="323"/>
      <c r="FT29" s="323"/>
      <c r="FU29" s="323"/>
      <c r="FV29" s="323"/>
      <c r="FW29" s="323"/>
      <c r="FX29" s="323"/>
      <c r="FY29" s="323"/>
      <c r="FZ29" s="323"/>
      <c r="GA29" s="323"/>
      <c r="GB29" s="323"/>
      <c r="GC29" s="323"/>
      <c r="GD29" s="323"/>
      <c r="GE29" s="323"/>
      <c r="GF29" s="323"/>
      <c r="GG29" s="323"/>
      <c r="GH29" s="323"/>
      <c r="GI29" s="323"/>
      <c r="GJ29" s="323"/>
      <c r="GK29" s="323"/>
      <c r="GL29" s="323"/>
      <c r="GM29" s="323"/>
      <c r="GN29" s="323"/>
      <c r="GO29" s="323"/>
      <c r="GP29" s="323"/>
      <c r="GQ29" s="323"/>
      <c r="GR29" s="323"/>
      <c r="GS29" s="323"/>
      <c r="GT29" s="323"/>
      <c r="GU29" s="323"/>
      <c r="GV29" s="323"/>
      <c r="GW29" s="323"/>
      <c r="GX29" s="323"/>
      <c r="GY29" s="323"/>
      <c r="GZ29" s="323"/>
      <c r="HA29" s="323"/>
      <c r="HB29" s="323"/>
      <c r="HC29" s="323"/>
      <c r="HD29" s="323"/>
      <c r="HE29" s="323"/>
      <c r="HF29" s="323"/>
      <c r="HG29" s="323"/>
      <c r="HH29" s="323"/>
      <c r="HI29" s="323"/>
      <c r="HJ29" s="323"/>
      <c r="HK29" s="323"/>
      <c r="HL29" s="323"/>
      <c r="HM29" s="323"/>
      <c r="HN29" s="323"/>
      <c r="HO29" s="323"/>
      <c r="HP29" s="323"/>
      <c r="HQ29" s="323"/>
      <c r="HR29" s="323"/>
      <c r="HS29" s="323"/>
      <c r="HT29" s="323"/>
      <c r="HU29" s="323"/>
      <c r="HV29" s="323"/>
      <c r="HW29" s="323"/>
      <c r="HX29" s="323"/>
      <c r="HY29" s="323"/>
      <c r="HZ29" s="323"/>
      <c r="IA29" s="323"/>
      <c r="IB29" s="323"/>
      <c r="IC29" s="323"/>
      <c r="ID29" s="323"/>
      <c r="IE29" s="323"/>
      <c r="IF29" s="323"/>
      <c r="IG29" s="323"/>
      <c r="IH29" s="323"/>
      <c r="II29" s="323"/>
      <c r="IJ29" s="323"/>
      <c r="IK29" s="323"/>
      <c r="IL29" s="323"/>
      <c r="IM29" s="323"/>
      <c r="IN29" s="323"/>
      <c r="IO29" s="323"/>
      <c r="IP29" s="323"/>
      <c r="IQ29" s="323"/>
      <c r="IR29" s="323"/>
      <c r="IS29" s="323"/>
      <c r="IT29" s="323"/>
      <c r="IU29" s="323"/>
      <c r="IV29" s="323"/>
    </row>
    <row r="30" spans="1:256" ht="42.75">
      <c r="A30" s="178" t="s">
        <v>136</v>
      </c>
      <c r="B30" s="151" t="s">
        <v>167</v>
      </c>
      <c r="C30" s="151" t="s">
        <v>115</v>
      </c>
      <c r="D30" s="179" t="s">
        <v>130</v>
      </c>
      <c r="E30" s="151" t="s">
        <v>117</v>
      </c>
      <c r="F30" s="151" t="s">
        <v>131</v>
      </c>
      <c r="G30" s="152" t="str">
        <f t="shared" si="0"/>
        <v>No of Racks</v>
      </c>
      <c r="H30" s="151">
        <v>1</v>
      </c>
      <c r="I30" s="151">
        <v>1</v>
      </c>
      <c r="J30" s="180">
        <f t="shared" si="67"/>
        <v>0</v>
      </c>
      <c r="K30" s="151">
        <v>1</v>
      </c>
      <c r="L30" s="151"/>
      <c r="M30" s="83">
        <f>195000/12</f>
        <v>16250</v>
      </c>
      <c r="N30" s="83">
        <f t="shared" si="40"/>
        <v>195000</v>
      </c>
      <c r="O30" s="183" t="str">
        <f t="shared" si="1"/>
        <v>Subscribed</v>
      </c>
      <c r="P30" s="151" t="s">
        <v>108</v>
      </c>
      <c r="Q30" s="153">
        <v>3</v>
      </c>
      <c r="R30" s="225">
        <v>1.98</v>
      </c>
      <c r="S30" s="226">
        <f t="shared" si="36"/>
        <v>1.02</v>
      </c>
      <c r="T30" s="186"/>
      <c r="U30" s="186">
        <f t="shared" si="3"/>
        <v>1.02</v>
      </c>
      <c r="V30" s="186">
        <f t="shared" si="4"/>
        <v>3</v>
      </c>
      <c r="W30" s="202">
        <f t="shared" si="39"/>
        <v>1.98</v>
      </c>
      <c r="X30" s="186"/>
      <c r="Y30" s="83"/>
      <c r="Z30" s="189" t="str">
        <f t="shared" si="41"/>
        <v>Metered</v>
      </c>
      <c r="AA30" s="186">
        <v>1</v>
      </c>
      <c r="AB30" s="179" t="s">
        <v>145</v>
      </c>
      <c r="AC30" s="190">
        <v>14.5</v>
      </c>
      <c r="AD30" s="146">
        <v>4322</v>
      </c>
      <c r="AE30" s="120"/>
      <c r="AF30" s="152" t="str">
        <f>IF(AE30="No of Seats","No of Seats",(IF(AE30="Space","Sq Ft","")))</f>
        <v/>
      </c>
      <c r="AG30" s="153"/>
      <c r="AH30" s="153"/>
      <c r="AI30" s="151"/>
      <c r="AJ30" s="153"/>
      <c r="AK30" s="186"/>
      <c r="AL30" s="83"/>
      <c r="AM30" s="83">
        <f t="shared" si="42"/>
        <v>16250</v>
      </c>
      <c r="AN30" s="83">
        <f t="shared" si="43"/>
        <v>0</v>
      </c>
      <c r="AO30" s="83">
        <f t="shared" si="44"/>
        <v>62669</v>
      </c>
      <c r="AP30" s="83">
        <f t="shared" si="45"/>
        <v>0</v>
      </c>
      <c r="AQ30" s="84"/>
      <c r="AR30" s="85">
        <f t="shared" si="46"/>
        <v>78919</v>
      </c>
      <c r="AS30" s="86">
        <f t="shared" si="47"/>
        <v>947028</v>
      </c>
      <c r="AT30" s="85" t="s">
        <v>168</v>
      </c>
      <c r="AU30" s="68">
        <v>721005437</v>
      </c>
      <c r="AV30" s="191">
        <v>42995</v>
      </c>
      <c r="AW30" s="69">
        <v>1</v>
      </c>
      <c r="AX30" s="191">
        <v>43330</v>
      </c>
      <c r="AY30" s="69"/>
      <c r="AZ30" s="323"/>
      <c r="BA30" s="84">
        <f t="shared" si="48"/>
        <v>78919</v>
      </c>
      <c r="BB30" s="84">
        <f t="shared" si="49"/>
        <v>26306.333333333332</v>
      </c>
      <c r="BC30" s="84" t="e">
        <f t="shared" si="50"/>
        <v>#VALUE!</v>
      </c>
      <c r="BD30" s="84" t="e">
        <f t="shared" si="50"/>
        <v>#VALUE!</v>
      </c>
      <c r="BE30" s="84">
        <f t="shared" si="51"/>
        <v>7039.6643166666572</v>
      </c>
      <c r="BF30" s="84"/>
      <c r="BG30" s="93">
        <f t="shared" si="52"/>
        <v>78919</v>
      </c>
      <c r="BH30" s="93">
        <f t="shared" si="53"/>
        <v>16250</v>
      </c>
      <c r="BI30" s="93">
        <f t="shared" si="54"/>
        <v>62669</v>
      </c>
      <c r="BJ30" s="91" t="e">
        <f t="shared" si="20"/>
        <v>#VALUE!</v>
      </c>
      <c r="BK30" s="91" t="e">
        <f t="shared" si="21"/>
        <v>#VALUE!</v>
      </c>
      <c r="BL30" s="91">
        <f t="shared" si="55"/>
        <v>22196.707050000026</v>
      </c>
      <c r="BM30" s="91" t="e">
        <f t="shared" si="56"/>
        <v>#VALUE!</v>
      </c>
      <c r="BN30" s="91">
        <f t="shared" si="57"/>
        <v>0</v>
      </c>
      <c r="BO30" s="91">
        <f t="shared" si="58"/>
        <v>16250</v>
      </c>
      <c r="BP30" s="91" t="e">
        <f t="shared" si="59"/>
        <v>#VALUE!</v>
      </c>
      <c r="BQ30" s="91" t="e">
        <f t="shared" si="60"/>
        <v>#VALUE!</v>
      </c>
      <c r="BR30" s="91">
        <f t="shared" si="61"/>
        <v>3</v>
      </c>
      <c r="BS30" s="91" t="e">
        <f t="shared" si="62"/>
        <v>#VALUE!</v>
      </c>
      <c r="BT30" s="91" t="e">
        <f t="shared" si="63"/>
        <v>#VALUE!</v>
      </c>
      <c r="BU30" s="91">
        <f t="shared" si="64"/>
        <v>16250</v>
      </c>
      <c r="BV30" s="91" t="e">
        <f t="shared" si="65"/>
        <v>#VALUE!</v>
      </c>
      <c r="BW30" s="91" t="e">
        <f t="shared" si="66"/>
        <v>#VALUE!</v>
      </c>
      <c r="BX30" s="91">
        <f t="shared" si="66"/>
        <v>5416.666666666667</v>
      </c>
      <c r="BY30" s="91" t="e">
        <f t="shared" si="66"/>
        <v>#VALUE!</v>
      </c>
      <c r="BZ30" s="323"/>
      <c r="CA30" s="323"/>
      <c r="CB30" s="323"/>
      <c r="CC30" s="323"/>
      <c r="CD30" s="323"/>
      <c r="CE30" s="323"/>
      <c r="CF30" s="323"/>
      <c r="CG30" s="323"/>
      <c r="CH30" s="323"/>
      <c r="CI30" s="323"/>
      <c r="CJ30" s="323"/>
      <c r="CK30" s="323"/>
      <c r="CL30" s="323"/>
      <c r="CM30" s="323"/>
      <c r="CN30" s="323"/>
      <c r="CO30" s="323"/>
      <c r="CP30" s="323"/>
      <c r="CQ30" s="323"/>
      <c r="CR30" s="323"/>
      <c r="CS30" s="323"/>
      <c r="CT30" s="323"/>
      <c r="CU30" s="323"/>
      <c r="CV30" s="323"/>
      <c r="CW30" s="323"/>
      <c r="CX30" s="323"/>
      <c r="CY30" s="323"/>
      <c r="CZ30" s="323"/>
      <c r="DA30" s="323"/>
      <c r="DB30" s="323"/>
      <c r="DC30" s="323"/>
      <c r="DD30" s="323"/>
      <c r="DE30" s="323"/>
      <c r="DF30" s="323"/>
      <c r="DG30" s="323"/>
      <c r="DH30" s="323"/>
      <c r="DI30" s="323"/>
      <c r="DJ30" s="323"/>
      <c r="DK30" s="323"/>
      <c r="DL30" s="323"/>
      <c r="DM30" s="323"/>
      <c r="DN30" s="323"/>
      <c r="DO30" s="323"/>
      <c r="DP30" s="323"/>
      <c r="DQ30" s="323"/>
      <c r="DR30" s="323"/>
      <c r="DS30" s="323"/>
      <c r="DT30" s="323"/>
      <c r="DU30" s="323"/>
      <c r="DV30" s="323"/>
      <c r="DW30" s="323"/>
      <c r="DX30" s="323"/>
      <c r="DY30" s="323"/>
      <c r="DZ30" s="323"/>
      <c r="EA30" s="323"/>
      <c r="EB30" s="323"/>
      <c r="EC30" s="323"/>
      <c r="ED30" s="323"/>
      <c r="EE30" s="323"/>
      <c r="EF30" s="323"/>
      <c r="EG30" s="323"/>
      <c r="EH30" s="323"/>
      <c r="EI30" s="323"/>
      <c r="EJ30" s="323"/>
      <c r="EK30" s="323"/>
      <c r="EL30" s="323"/>
      <c r="EM30" s="323"/>
      <c r="EN30" s="323"/>
      <c r="EO30" s="323"/>
      <c r="EP30" s="323"/>
      <c r="EQ30" s="323"/>
      <c r="ER30" s="323"/>
      <c r="ES30" s="323"/>
      <c r="ET30" s="323"/>
      <c r="EU30" s="323"/>
      <c r="EV30" s="323"/>
      <c r="EW30" s="323"/>
      <c r="EX30" s="323"/>
      <c r="EY30" s="323"/>
      <c r="EZ30" s="323"/>
      <c r="FA30" s="323"/>
      <c r="FB30" s="323"/>
      <c r="FC30" s="323"/>
      <c r="FD30" s="323"/>
      <c r="FE30" s="323"/>
      <c r="FF30" s="323"/>
      <c r="FG30" s="323"/>
      <c r="FH30" s="323"/>
      <c r="FI30" s="323"/>
      <c r="FJ30" s="323"/>
      <c r="FK30" s="323"/>
      <c r="FL30" s="323"/>
      <c r="FM30" s="323"/>
      <c r="FN30" s="323"/>
      <c r="FO30" s="323"/>
      <c r="FP30" s="323"/>
      <c r="FQ30" s="323"/>
      <c r="FR30" s="323"/>
      <c r="FS30" s="323"/>
      <c r="FT30" s="323"/>
      <c r="FU30" s="323"/>
      <c r="FV30" s="323"/>
      <c r="FW30" s="323"/>
      <c r="FX30" s="323"/>
      <c r="FY30" s="323"/>
      <c r="FZ30" s="323"/>
      <c r="GA30" s="323"/>
      <c r="GB30" s="323"/>
      <c r="GC30" s="323"/>
      <c r="GD30" s="323"/>
      <c r="GE30" s="323"/>
      <c r="GF30" s="323"/>
      <c r="GG30" s="323"/>
      <c r="GH30" s="323"/>
      <c r="GI30" s="323"/>
      <c r="GJ30" s="323"/>
      <c r="GK30" s="323"/>
      <c r="GL30" s="323"/>
      <c r="GM30" s="323"/>
      <c r="GN30" s="323"/>
      <c r="GO30" s="323"/>
      <c r="GP30" s="323"/>
      <c r="GQ30" s="323"/>
      <c r="GR30" s="323"/>
      <c r="GS30" s="323"/>
      <c r="GT30" s="323"/>
      <c r="GU30" s="323"/>
      <c r="GV30" s="323"/>
      <c r="GW30" s="323"/>
      <c r="GX30" s="323"/>
      <c r="GY30" s="323"/>
      <c r="GZ30" s="323"/>
      <c r="HA30" s="323"/>
      <c r="HB30" s="323"/>
      <c r="HC30" s="323"/>
      <c r="HD30" s="323"/>
      <c r="HE30" s="323"/>
      <c r="HF30" s="323"/>
      <c r="HG30" s="323"/>
      <c r="HH30" s="323"/>
      <c r="HI30" s="323"/>
      <c r="HJ30" s="323"/>
      <c r="HK30" s="323"/>
      <c r="HL30" s="323"/>
      <c r="HM30" s="323"/>
      <c r="HN30" s="323"/>
      <c r="HO30" s="323"/>
      <c r="HP30" s="323"/>
      <c r="HQ30" s="323"/>
      <c r="HR30" s="323"/>
      <c r="HS30" s="323"/>
      <c r="HT30" s="323"/>
      <c r="HU30" s="323"/>
      <c r="HV30" s="323"/>
      <c r="HW30" s="323"/>
      <c r="HX30" s="323"/>
      <c r="HY30" s="323"/>
      <c r="HZ30" s="323"/>
      <c r="IA30" s="323"/>
      <c r="IB30" s="323"/>
      <c r="IC30" s="323"/>
      <c r="ID30" s="323"/>
      <c r="IE30" s="323"/>
      <c r="IF30" s="323"/>
      <c r="IG30" s="323"/>
      <c r="IH30" s="323"/>
      <c r="II30" s="323"/>
      <c r="IJ30" s="323"/>
      <c r="IK30" s="323"/>
      <c r="IL30" s="323"/>
      <c r="IM30" s="323"/>
      <c r="IN30" s="323"/>
      <c r="IO30" s="323"/>
      <c r="IP30" s="323"/>
      <c r="IQ30" s="323"/>
      <c r="IR30" s="323"/>
      <c r="IS30" s="323"/>
      <c r="IT30" s="323"/>
      <c r="IU30" s="323"/>
      <c r="IV30" s="323"/>
    </row>
    <row r="31" spans="1:256" ht="32.25">
      <c r="A31" s="178" t="s">
        <v>122</v>
      </c>
      <c r="B31" s="200" t="s">
        <v>175</v>
      </c>
      <c r="C31" s="151" t="s">
        <v>124</v>
      </c>
      <c r="D31" s="179" t="s">
        <v>116</v>
      </c>
      <c r="E31" s="151" t="s">
        <v>164</v>
      </c>
      <c r="F31" s="151" t="s">
        <v>118</v>
      </c>
      <c r="G31" s="152" t="str">
        <f t="shared" si="0"/>
        <v>U Space</v>
      </c>
      <c r="H31" s="151">
        <v>2</v>
      </c>
      <c r="I31" s="151">
        <v>2</v>
      </c>
      <c r="J31" s="180">
        <f t="shared" si="67"/>
        <v>0</v>
      </c>
      <c r="K31" s="151">
        <v>2</v>
      </c>
      <c r="L31" s="151"/>
      <c r="M31" s="181">
        <f>30000/12</f>
        <v>2500</v>
      </c>
      <c r="N31" s="182">
        <f t="shared" si="40"/>
        <v>30000</v>
      </c>
      <c r="O31" s="183" t="str">
        <f t="shared" si="1"/>
        <v>Rated</v>
      </c>
      <c r="P31" s="151" t="s">
        <v>125</v>
      </c>
      <c r="Q31" s="151">
        <v>0.5</v>
      </c>
      <c r="R31" s="233">
        <v>0.27</v>
      </c>
      <c r="S31" s="185">
        <f t="shared" si="36"/>
        <v>0.22999999999999998</v>
      </c>
      <c r="T31" s="151"/>
      <c r="U31" s="186">
        <f t="shared" ca="1" si="3"/>
        <v>0.11499999999999999</v>
      </c>
      <c r="V31" s="186">
        <f t="shared" ca="1" si="4"/>
        <v>0.25</v>
      </c>
      <c r="W31" s="231">
        <f t="shared" si="39"/>
        <v>0.27</v>
      </c>
      <c r="X31" s="151"/>
      <c r="Y31" s="83"/>
      <c r="Z31" s="189" t="str">
        <f t="shared" si="41"/>
        <v>Bundled</v>
      </c>
      <c r="AA31" s="151"/>
      <c r="AB31" s="186"/>
      <c r="AC31" s="190"/>
      <c r="AD31" s="232"/>
      <c r="AE31" s="120"/>
      <c r="AF31" s="152" t="str">
        <f>IF(AE31="No of Seats","No of Seats",(IF(AE31="Space","Sq Ft","")))</f>
        <v/>
      </c>
      <c r="AG31" s="151"/>
      <c r="AH31" s="151"/>
      <c r="AI31" s="151"/>
      <c r="AJ31" s="151"/>
      <c r="AK31" s="151"/>
      <c r="AL31" s="181"/>
      <c r="AM31" s="83">
        <f t="shared" si="42"/>
        <v>5000</v>
      </c>
      <c r="AN31" s="83">
        <f t="shared" si="43"/>
        <v>0</v>
      </c>
      <c r="AO31" s="83">
        <f t="shared" si="44"/>
        <v>0</v>
      </c>
      <c r="AP31" s="83">
        <f t="shared" si="45"/>
        <v>0</v>
      </c>
      <c r="AQ31" s="84">
        <f>20000/12</f>
        <v>1666.6666666666667</v>
      </c>
      <c r="AR31" s="85">
        <f t="shared" si="46"/>
        <v>6666.666666666667</v>
      </c>
      <c r="AS31" s="86">
        <f t="shared" si="47"/>
        <v>80000</v>
      </c>
      <c r="AT31" s="85" t="s">
        <v>119</v>
      </c>
      <c r="AU31" s="69">
        <v>721005181</v>
      </c>
      <c r="AV31" s="191">
        <v>42964</v>
      </c>
      <c r="AW31" s="69">
        <v>1</v>
      </c>
      <c r="AX31" s="191">
        <v>43282</v>
      </c>
      <c r="AY31" s="69"/>
      <c r="AZ31" s="323"/>
      <c r="BA31" s="84">
        <f t="shared" si="48"/>
        <v>133333.33333333334</v>
      </c>
      <c r="BB31" s="84">
        <f t="shared" ca="1" si="49"/>
        <v>0</v>
      </c>
      <c r="BC31" s="84">
        <f t="shared" ca="1" si="50"/>
        <v>8743.5790399999987</v>
      </c>
      <c r="BD31" s="84">
        <f t="shared" ca="1" si="50"/>
        <v>3949.1775199999975</v>
      </c>
      <c r="BE31" s="84">
        <f t="shared" ca="1" si="51"/>
        <v>9577.387999999999</v>
      </c>
      <c r="BF31" s="84"/>
      <c r="BG31" s="90">
        <f t="shared" si="52"/>
        <v>5000</v>
      </c>
      <c r="BH31" s="90">
        <f t="shared" ca="1" si="53"/>
        <v>2394.3469999999998</v>
      </c>
      <c r="BI31" s="90">
        <f t="shared" ca="1" si="54"/>
        <v>2605.6530000000002</v>
      </c>
      <c r="BJ31" s="91">
        <f t="shared" si="20"/>
        <v>2350.2395700000029</v>
      </c>
      <c r="BK31" s="91">
        <f t="shared" ca="1" si="21"/>
        <v>4012.7056200000006</v>
      </c>
      <c r="BL31" s="91">
        <f t="shared" ca="1" si="55"/>
        <v>2605.6530000000002</v>
      </c>
      <c r="BM31" s="91">
        <f t="shared" ca="1" si="56"/>
        <v>2185.8947599999997</v>
      </c>
      <c r="BN31" s="91">
        <f t="shared" ca="1" si="57"/>
        <v>1500</v>
      </c>
      <c r="BO31" s="91">
        <f t="shared" ca="1" si="58"/>
        <v>894.34699999999975</v>
      </c>
      <c r="BP31" s="91">
        <f t="shared" ca="1" si="59"/>
        <v>-208.45224000000007</v>
      </c>
      <c r="BQ31" s="91">
        <f t="shared" ca="1" si="60"/>
        <v>685.89475999999968</v>
      </c>
      <c r="BR31" s="91">
        <f t="shared" ca="1" si="61"/>
        <v>0.25</v>
      </c>
      <c r="BS31" s="91">
        <f t="shared" ca="1" si="62"/>
        <v>8743.5790399999987</v>
      </c>
      <c r="BT31" s="91">
        <f t="shared" ca="1" si="63"/>
        <v>-208.45224000000007</v>
      </c>
      <c r="BU31" s="91">
        <f t="shared" ca="1" si="64"/>
        <v>894.34699999999975</v>
      </c>
      <c r="BV31" s="91">
        <f t="shared" ca="1" si="65"/>
        <v>685.89475999999968</v>
      </c>
      <c r="BW31" s="91">
        <f t="shared" ca="1" si="66"/>
        <v>-833.8089600000003</v>
      </c>
      <c r="BX31" s="91">
        <f t="shared" ca="1" si="66"/>
        <v>3577.387999999999</v>
      </c>
      <c r="BY31" s="91">
        <f t="shared" ca="1" si="66"/>
        <v>2743.5790399999987</v>
      </c>
      <c r="BZ31" s="323"/>
      <c r="CA31" s="323"/>
      <c r="CB31" s="323"/>
      <c r="CC31" s="323"/>
      <c r="CD31" s="323"/>
      <c r="CE31" s="323"/>
      <c r="CF31" s="323"/>
      <c r="CG31" s="323"/>
      <c r="CH31" s="323"/>
      <c r="CI31" s="323"/>
      <c r="CJ31" s="323"/>
      <c r="CK31" s="323"/>
      <c r="CL31" s="323"/>
      <c r="CM31" s="323"/>
      <c r="CN31" s="323"/>
      <c r="CO31" s="323"/>
      <c r="CP31" s="323"/>
      <c r="CQ31" s="323"/>
      <c r="CR31" s="323"/>
      <c r="CS31" s="323"/>
      <c r="CT31" s="323"/>
      <c r="CU31" s="323"/>
      <c r="CV31" s="323"/>
      <c r="CW31" s="323"/>
      <c r="CX31" s="323"/>
      <c r="CY31" s="323"/>
      <c r="CZ31" s="323"/>
      <c r="DA31" s="323"/>
      <c r="DB31" s="323"/>
      <c r="DC31" s="323"/>
      <c r="DD31" s="323"/>
      <c r="DE31" s="323"/>
      <c r="DF31" s="323"/>
      <c r="DG31" s="323"/>
      <c r="DH31" s="323"/>
      <c r="DI31" s="323"/>
      <c r="DJ31" s="323"/>
      <c r="DK31" s="323"/>
      <c r="DL31" s="323"/>
      <c r="DM31" s="323"/>
      <c r="DN31" s="323"/>
      <c r="DO31" s="323"/>
      <c r="DP31" s="323"/>
      <c r="DQ31" s="323"/>
      <c r="DR31" s="323"/>
      <c r="DS31" s="323"/>
      <c r="DT31" s="323"/>
      <c r="DU31" s="323"/>
      <c r="DV31" s="323"/>
      <c r="DW31" s="323"/>
      <c r="DX31" s="323"/>
      <c r="DY31" s="323"/>
      <c r="DZ31" s="323"/>
      <c r="EA31" s="323"/>
      <c r="EB31" s="323"/>
      <c r="EC31" s="323"/>
      <c r="ED31" s="323"/>
      <c r="EE31" s="323"/>
      <c r="EF31" s="323"/>
      <c r="EG31" s="323"/>
      <c r="EH31" s="323"/>
      <c r="EI31" s="323"/>
      <c r="EJ31" s="323"/>
      <c r="EK31" s="323"/>
      <c r="EL31" s="323"/>
      <c r="EM31" s="323"/>
      <c r="EN31" s="323"/>
      <c r="EO31" s="323"/>
      <c r="EP31" s="323"/>
      <c r="EQ31" s="323"/>
      <c r="ER31" s="323"/>
      <c r="ES31" s="323"/>
      <c r="ET31" s="323"/>
      <c r="EU31" s="323"/>
      <c r="EV31" s="323"/>
      <c r="EW31" s="323"/>
      <c r="EX31" s="323"/>
      <c r="EY31" s="323"/>
      <c r="EZ31" s="323"/>
      <c r="FA31" s="323"/>
      <c r="FB31" s="323"/>
      <c r="FC31" s="323"/>
      <c r="FD31" s="323"/>
      <c r="FE31" s="323"/>
      <c r="FF31" s="323"/>
      <c r="FG31" s="323"/>
      <c r="FH31" s="323"/>
      <c r="FI31" s="323"/>
      <c r="FJ31" s="323"/>
      <c r="FK31" s="323"/>
      <c r="FL31" s="323"/>
      <c r="FM31" s="323"/>
      <c r="FN31" s="323"/>
      <c r="FO31" s="323"/>
      <c r="FP31" s="323"/>
      <c r="FQ31" s="323"/>
      <c r="FR31" s="323"/>
      <c r="FS31" s="323"/>
      <c r="FT31" s="323"/>
      <c r="FU31" s="323"/>
      <c r="FV31" s="323"/>
      <c r="FW31" s="323"/>
      <c r="FX31" s="323"/>
      <c r="FY31" s="323"/>
      <c r="FZ31" s="323"/>
      <c r="GA31" s="323"/>
      <c r="GB31" s="323"/>
      <c r="GC31" s="323"/>
      <c r="GD31" s="323"/>
      <c r="GE31" s="323"/>
      <c r="GF31" s="323"/>
      <c r="GG31" s="323"/>
      <c r="GH31" s="323"/>
      <c r="GI31" s="323"/>
      <c r="GJ31" s="323"/>
      <c r="GK31" s="323"/>
      <c r="GL31" s="323"/>
      <c r="GM31" s="323"/>
      <c r="GN31" s="323"/>
      <c r="GO31" s="323"/>
      <c r="GP31" s="323"/>
      <c r="GQ31" s="323"/>
      <c r="GR31" s="323"/>
      <c r="GS31" s="323"/>
      <c r="GT31" s="323"/>
      <c r="GU31" s="323"/>
      <c r="GV31" s="323"/>
      <c r="GW31" s="323"/>
      <c r="GX31" s="323"/>
      <c r="GY31" s="323"/>
      <c r="GZ31" s="323"/>
      <c r="HA31" s="323"/>
      <c r="HB31" s="323"/>
      <c r="HC31" s="323"/>
      <c r="HD31" s="323"/>
      <c r="HE31" s="323"/>
      <c r="HF31" s="323"/>
      <c r="HG31" s="323"/>
      <c r="HH31" s="323"/>
      <c r="HI31" s="323"/>
      <c r="HJ31" s="323"/>
      <c r="HK31" s="323"/>
      <c r="HL31" s="323"/>
      <c r="HM31" s="323"/>
      <c r="HN31" s="323"/>
      <c r="HO31" s="323"/>
      <c r="HP31" s="323"/>
      <c r="HQ31" s="323"/>
      <c r="HR31" s="323"/>
      <c r="HS31" s="323"/>
      <c r="HT31" s="323"/>
      <c r="HU31" s="323"/>
      <c r="HV31" s="323"/>
      <c r="HW31" s="323"/>
      <c r="HX31" s="323"/>
      <c r="HY31" s="323"/>
      <c r="HZ31" s="323"/>
      <c r="IA31" s="323"/>
      <c r="IB31" s="323"/>
      <c r="IC31" s="323"/>
      <c r="ID31" s="323"/>
      <c r="IE31" s="323"/>
      <c r="IF31" s="323"/>
      <c r="IG31" s="323"/>
      <c r="IH31" s="323"/>
      <c r="II31" s="323"/>
      <c r="IJ31" s="323"/>
      <c r="IK31" s="323"/>
      <c r="IL31" s="323"/>
      <c r="IM31" s="323"/>
      <c r="IN31" s="323"/>
      <c r="IO31" s="323"/>
      <c r="IP31" s="323"/>
      <c r="IQ31" s="323"/>
      <c r="IR31" s="323"/>
      <c r="IS31" s="323"/>
      <c r="IT31" s="323"/>
      <c r="IU31" s="323"/>
      <c r="IV31" s="323"/>
    </row>
    <row r="32" spans="1:256" ht="42.75">
      <c r="A32" s="178" t="s">
        <v>122</v>
      </c>
      <c r="B32" s="200" t="s">
        <v>176</v>
      </c>
      <c r="C32" s="151" t="s">
        <v>115</v>
      </c>
      <c r="D32" s="179" t="s">
        <v>116</v>
      </c>
      <c r="E32" s="151" t="s">
        <v>44</v>
      </c>
      <c r="F32" s="151" t="s">
        <v>131</v>
      </c>
      <c r="G32" s="152" t="str">
        <f t="shared" si="0"/>
        <v>Sq Ft</v>
      </c>
      <c r="H32" s="151">
        <v>600</v>
      </c>
      <c r="I32" s="151">
        <v>600</v>
      </c>
      <c r="J32" s="180">
        <f t="shared" si="67"/>
        <v>0</v>
      </c>
      <c r="K32" s="151">
        <v>600</v>
      </c>
      <c r="L32" s="151"/>
      <c r="M32" s="181">
        <f>6218/12</f>
        <v>518.16666666666663</v>
      </c>
      <c r="N32" s="182">
        <f t="shared" si="40"/>
        <v>6218</v>
      </c>
      <c r="O32" s="183" t="str">
        <f t="shared" si="1"/>
        <v>Subscribed</v>
      </c>
      <c r="P32" s="151" t="s">
        <v>125</v>
      </c>
      <c r="Q32" s="151">
        <v>60</v>
      </c>
      <c r="R32" s="225">
        <v>35</v>
      </c>
      <c r="S32" s="185">
        <f t="shared" si="36"/>
        <v>25</v>
      </c>
      <c r="T32" s="151"/>
      <c r="U32" s="186">
        <f t="shared" si="3"/>
        <v>25</v>
      </c>
      <c r="V32" s="186">
        <f t="shared" si="4"/>
        <v>60</v>
      </c>
      <c r="W32" s="202">
        <f t="shared" si="39"/>
        <v>35</v>
      </c>
      <c r="X32" s="186"/>
      <c r="Y32" s="83"/>
      <c r="Z32" s="189" t="str">
        <f t="shared" si="41"/>
        <v>Bundled</v>
      </c>
      <c r="AA32" s="186">
        <v>1</v>
      </c>
      <c r="AB32" s="179" t="s">
        <v>132</v>
      </c>
      <c r="AC32" s="190">
        <v>8.1999999999999993</v>
      </c>
      <c r="AD32">
        <v>23257.978265625025</v>
      </c>
      <c r="AE32" s="198" t="s">
        <v>133</v>
      </c>
      <c r="AF32" s="152" t="str">
        <f>IF(AE32="No of Seats","No of Seats",(IF(AE32="Space","Sq Ft","")))</f>
        <v>No of Seats</v>
      </c>
      <c r="AG32" s="151">
        <v>7</v>
      </c>
      <c r="AH32" s="151">
        <v>7</v>
      </c>
      <c r="AI32" s="151">
        <f>AG32-AH32</f>
        <v>0</v>
      </c>
      <c r="AJ32" s="151">
        <v>7</v>
      </c>
      <c r="AK32" s="151"/>
      <c r="AL32" s="181">
        <f>91800/12</f>
        <v>7650</v>
      </c>
      <c r="AM32" s="83">
        <f t="shared" si="42"/>
        <v>310900</v>
      </c>
      <c r="AN32" s="83">
        <f t="shared" si="43"/>
        <v>0</v>
      </c>
      <c r="AO32" s="83">
        <f t="shared" si="44"/>
        <v>190715.42177812519</v>
      </c>
      <c r="AP32" s="83">
        <f t="shared" si="45"/>
        <v>53550</v>
      </c>
      <c r="AQ32" s="84"/>
      <c r="AR32" s="85">
        <f t="shared" si="46"/>
        <v>555165.42177812522</v>
      </c>
      <c r="AS32" s="86">
        <f t="shared" si="47"/>
        <v>6661985.0613375027</v>
      </c>
      <c r="AT32" s="102" t="s">
        <v>134</v>
      </c>
      <c r="AU32" s="69">
        <v>721002807</v>
      </c>
      <c r="AV32" s="191">
        <v>42370</v>
      </c>
      <c r="AW32" s="69">
        <v>10</v>
      </c>
      <c r="AX32" s="191">
        <v>46023</v>
      </c>
      <c r="AY32" s="69"/>
      <c r="AZ32" s="323"/>
      <c r="BA32" s="84">
        <f t="shared" si="48"/>
        <v>27758.271088906258</v>
      </c>
      <c r="BB32" s="84">
        <f t="shared" si="49"/>
        <v>9252.7570296354206</v>
      </c>
      <c r="BC32" s="84" t="e">
        <f t="shared" si="50"/>
        <v>#VALUE!</v>
      </c>
      <c r="BD32" s="84" t="e">
        <f t="shared" si="50"/>
        <v>#VALUE!</v>
      </c>
      <c r="BE32" s="84">
        <f t="shared" si="51"/>
        <v>-3522.9243333333425</v>
      </c>
      <c r="BF32" s="84"/>
      <c r="BG32" s="90">
        <f t="shared" si="52"/>
        <v>501615.42177812522</v>
      </c>
      <c r="BH32" s="90">
        <f t="shared" si="53"/>
        <v>0</v>
      </c>
      <c r="BI32" s="90">
        <f t="shared" si="54"/>
        <v>501615.42177812522</v>
      </c>
      <c r="BJ32" s="91" t="e">
        <f t="shared" si="20"/>
        <v>#VALUE!</v>
      </c>
      <c r="BK32" s="91" t="e">
        <f t="shared" si="21"/>
        <v>#VALUE!</v>
      </c>
      <c r="BL32" s="91">
        <f t="shared" si="55"/>
        <v>522275.46000000054</v>
      </c>
      <c r="BM32" s="91" t="e">
        <f t="shared" si="56"/>
        <v>#VALUE!</v>
      </c>
      <c r="BN32" s="91">
        <f t="shared" si="57"/>
        <v>0</v>
      </c>
      <c r="BO32" s="91">
        <f t="shared" si="58"/>
        <v>0</v>
      </c>
      <c r="BP32" s="91" t="e">
        <f t="shared" si="59"/>
        <v>#VALUE!</v>
      </c>
      <c r="BQ32" s="91" t="e">
        <f t="shared" si="60"/>
        <v>#VALUE!</v>
      </c>
      <c r="BR32" s="91">
        <f t="shared" si="61"/>
        <v>60</v>
      </c>
      <c r="BS32" s="91" t="e">
        <f t="shared" si="62"/>
        <v>#VALUE!</v>
      </c>
      <c r="BT32" s="91" t="e">
        <f t="shared" si="63"/>
        <v>#VALUE!</v>
      </c>
      <c r="BU32" s="91">
        <f t="shared" si="64"/>
        <v>-211375.46000000054</v>
      </c>
      <c r="BV32" s="91" t="e">
        <f t="shared" si="65"/>
        <v>#VALUE!</v>
      </c>
      <c r="BW32" s="91" t="e">
        <f t="shared" si="66"/>
        <v>#VALUE!</v>
      </c>
      <c r="BX32" s="91">
        <f t="shared" si="66"/>
        <v>-3522.9243333333425</v>
      </c>
      <c r="BY32" s="91" t="e">
        <f t="shared" si="66"/>
        <v>#VALUE!</v>
      </c>
      <c r="BZ32" s="323"/>
      <c r="CA32" s="323"/>
      <c r="CB32" s="323"/>
      <c r="CC32" s="323"/>
      <c r="CD32" s="323"/>
      <c r="CE32" s="323"/>
      <c r="CF32" s="323"/>
      <c r="CG32" s="323"/>
      <c r="CH32" s="323"/>
      <c r="CI32" s="323"/>
      <c r="CJ32" s="323"/>
      <c r="CK32" s="323"/>
      <c r="CL32" s="323"/>
      <c r="CM32" s="323"/>
      <c r="CN32" s="323"/>
      <c r="CO32" s="323"/>
      <c r="CP32" s="323"/>
      <c r="CQ32" s="323"/>
      <c r="CR32" s="323"/>
      <c r="CS32" s="323"/>
      <c r="CT32" s="323"/>
      <c r="CU32" s="323"/>
      <c r="CV32" s="323"/>
      <c r="CW32" s="323"/>
      <c r="CX32" s="323"/>
      <c r="CY32" s="323"/>
      <c r="CZ32" s="323"/>
      <c r="DA32" s="323"/>
      <c r="DB32" s="323"/>
      <c r="DC32" s="323"/>
      <c r="DD32" s="323"/>
      <c r="DE32" s="323"/>
      <c r="DF32" s="323"/>
      <c r="DG32" s="323"/>
      <c r="DH32" s="323"/>
      <c r="DI32" s="323"/>
      <c r="DJ32" s="323"/>
      <c r="DK32" s="323"/>
      <c r="DL32" s="323"/>
      <c r="DM32" s="323"/>
      <c r="DN32" s="323"/>
      <c r="DO32" s="323"/>
      <c r="DP32" s="323"/>
      <c r="DQ32" s="323"/>
      <c r="DR32" s="323"/>
      <c r="DS32" s="323"/>
      <c r="DT32" s="323"/>
      <c r="DU32" s="323"/>
      <c r="DV32" s="323"/>
      <c r="DW32" s="323"/>
      <c r="DX32" s="323"/>
      <c r="DY32" s="323"/>
      <c r="DZ32" s="323"/>
      <c r="EA32" s="323"/>
      <c r="EB32" s="323"/>
      <c r="EC32" s="323"/>
      <c r="ED32" s="323"/>
      <c r="EE32" s="323"/>
      <c r="EF32" s="323"/>
      <c r="EG32" s="323"/>
      <c r="EH32" s="323"/>
      <c r="EI32" s="323"/>
      <c r="EJ32" s="323"/>
      <c r="EK32" s="323"/>
      <c r="EL32" s="323"/>
      <c r="EM32" s="323"/>
      <c r="EN32" s="323"/>
      <c r="EO32" s="323"/>
      <c r="EP32" s="323"/>
      <c r="EQ32" s="323"/>
      <c r="ER32" s="323"/>
      <c r="ES32" s="323"/>
      <c r="ET32" s="323"/>
      <c r="EU32" s="323"/>
      <c r="EV32" s="323"/>
      <c r="EW32" s="323"/>
      <c r="EX32" s="323"/>
      <c r="EY32" s="323"/>
      <c r="EZ32" s="323"/>
      <c r="FA32" s="323"/>
      <c r="FB32" s="323"/>
      <c r="FC32" s="323"/>
      <c r="FD32" s="323"/>
      <c r="FE32" s="323"/>
      <c r="FF32" s="323"/>
      <c r="FG32" s="323"/>
      <c r="FH32" s="323"/>
      <c r="FI32" s="323"/>
      <c r="FJ32" s="323"/>
      <c r="FK32" s="323"/>
      <c r="FL32" s="323"/>
      <c r="FM32" s="323"/>
      <c r="FN32" s="323"/>
      <c r="FO32" s="323"/>
      <c r="FP32" s="323"/>
      <c r="FQ32" s="323"/>
      <c r="FR32" s="323"/>
      <c r="FS32" s="323"/>
      <c r="FT32" s="323"/>
      <c r="FU32" s="323"/>
      <c r="FV32" s="323"/>
      <c r="FW32" s="323"/>
      <c r="FX32" s="323"/>
      <c r="FY32" s="323"/>
      <c r="FZ32" s="323"/>
      <c r="GA32" s="323"/>
      <c r="GB32" s="323"/>
      <c r="GC32" s="323"/>
      <c r="GD32" s="323"/>
      <c r="GE32" s="323"/>
      <c r="GF32" s="323"/>
      <c r="GG32" s="323"/>
      <c r="GH32" s="323"/>
      <c r="GI32" s="323"/>
      <c r="GJ32" s="323"/>
      <c r="GK32" s="323"/>
      <c r="GL32" s="323"/>
      <c r="GM32" s="323"/>
      <c r="GN32" s="323"/>
      <c r="GO32" s="323"/>
      <c r="GP32" s="323"/>
      <c r="GQ32" s="323"/>
      <c r="GR32" s="323"/>
      <c r="GS32" s="323"/>
      <c r="GT32" s="323"/>
      <c r="GU32" s="323"/>
      <c r="GV32" s="323"/>
      <c r="GW32" s="323"/>
      <c r="GX32" s="323"/>
      <c r="GY32" s="323"/>
      <c r="GZ32" s="323"/>
      <c r="HA32" s="323"/>
      <c r="HB32" s="323"/>
      <c r="HC32" s="323"/>
      <c r="HD32" s="323"/>
      <c r="HE32" s="323"/>
      <c r="HF32" s="323"/>
      <c r="HG32" s="323"/>
      <c r="HH32" s="323"/>
      <c r="HI32" s="323"/>
      <c r="HJ32" s="323"/>
      <c r="HK32" s="323"/>
      <c r="HL32" s="323"/>
      <c r="HM32" s="323"/>
      <c r="HN32" s="323"/>
      <c r="HO32" s="323"/>
      <c r="HP32" s="323"/>
      <c r="HQ32" s="323"/>
      <c r="HR32" s="323"/>
      <c r="HS32" s="323"/>
      <c r="HT32" s="323"/>
      <c r="HU32" s="323"/>
      <c r="HV32" s="323"/>
      <c r="HW32" s="323"/>
      <c r="HX32" s="323"/>
      <c r="HY32" s="323"/>
      <c r="HZ32" s="323"/>
      <c r="IA32" s="323"/>
      <c r="IB32" s="323"/>
      <c r="IC32" s="323"/>
      <c r="ID32" s="323"/>
      <c r="IE32" s="323"/>
      <c r="IF32" s="323"/>
      <c r="IG32" s="323"/>
      <c r="IH32" s="323"/>
      <c r="II32" s="323"/>
      <c r="IJ32" s="323"/>
      <c r="IK32" s="323"/>
      <c r="IL32" s="323"/>
      <c r="IM32" s="323"/>
      <c r="IN32" s="323"/>
      <c r="IO32" s="323"/>
      <c r="IP32" s="323"/>
      <c r="IQ32" s="323"/>
      <c r="IR32" s="323"/>
      <c r="IS32" s="323"/>
      <c r="IT32" s="323"/>
      <c r="IU32" s="323"/>
      <c r="IV32" s="323"/>
    </row>
    <row r="33" spans="1:256" ht="21.75">
      <c r="A33" s="178" t="s">
        <v>122</v>
      </c>
      <c r="B33" s="151" t="s">
        <v>177</v>
      </c>
      <c r="C33" s="151" t="s">
        <v>115</v>
      </c>
      <c r="D33" s="179" t="s">
        <v>116</v>
      </c>
      <c r="E33" s="151" t="s">
        <v>117</v>
      </c>
      <c r="F33" s="151" t="s">
        <v>118</v>
      </c>
      <c r="G33" s="152" t="str">
        <f t="shared" si="0"/>
        <v>No of Racks</v>
      </c>
      <c r="H33" s="151">
        <v>2</v>
      </c>
      <c r="I33" s="151">
        <v>1</v>
      </c>
      <c r="J33" s="180">
        <f t="shared" si="67"/>
        <v>1</v>
      </c>
      <c r="K33" s="151">
        <v>0</v>
      </c>
      <c r="L33" s="151"/>
      <c r="M33" s="181">
        <f>2900*68</f>
        <v>197200</v>
      </c>
      <c r="N33" s="182">
        <f t="shared" si="40"/>
        <v>2366400</v>
      </c>
      <c r="O33" s="183" t="str">
        <f t="shared" si="1"/>
        <v>Subscribed</v>
      </c>
      <c r="P33" s="151" t="s">
        <v>125</v>
      </c>
      <c r="Q33" s="151">
        <v>12</v>
      </c>
      <c r="R33" s="225">
        <v>14.78</v>
      </c>
      <c r="S33" s="185">
        <f t="shared" si="36"/>
        <v>-2.7799999999999994</v>
      </c>
      <c r="T33" s="151"/>
      <c r="U33" s="186">
        <f t="shared" si="3"/>
        <v>0</v>
      </c>
      <c r="V33" s="186">
        <f t="shared" si="4"/>
        <v>12</v>
      </c>
      <c r="W33" s="202">
        <f t="shared" si="39"/>
        <v>14.78</v>
      </c>
      <c r="X33" s="151"/>
      <c r="Y33" s="83">
        <f>280*68</f>
        <v>19040</v>
      </c>
      <c r="Z33" s="189" t="str">
        <f t="shared" si="41"/>
        <v>Bundled</v>
      </c>
      <c r="AA33" s="186"/>
      <c r="AB33" s="186"/>
      <c r="AC33" s="190"/>
      <c r="AD33" s="228"/>
      <c r="AE33" s="120"/>
      <c r="AF33" s="152"/>
      <c r="AG33" s="151"/>
      <c r="AH33" s="151"/>
      <c r="AI33" s="151"/>
      <c r="AJ33" s="151"/>
      <c r="AK33" s="151"/>
      <c r="AL33" s="181"/>
      <c r="AM33" s="83">
        <f t="shared" si="42"/>
        <v>0</v>
      </c>
      <c r="AN33" s="83">
        <f t="shared" si="43"/>
        <v>0</v>
      </c>
      <c r="AO33" s="83">
        <f t="shared" si="44"/>
        <v>0</v>
      </c>
      <c r="AP33" s="83">
        <f t="shared" si="45"/>
        <v>0</v>
      </c>
      <c r="AQ33" s="84">
        <f>750*68</f>
        <v>51000</v>
      </c>
      <c r="AR33" s="85">
        <f t="shared" si="46"/>
        <v>51000</v>
      </c>
      <c r="AS33" s="86">
        <f t="shared" si="47"/>
        <v>612000</v>
      </c>
      <c r="AT33" s="102" t="s">
        <v>119</v>
      </c>
      <c r="AU33" s="69">
        <v>121000378</v>
      </c>
      <c r="AV33" s="191"/>
      <c r="AW33" s="69">
        <v>1</v>
      </c>
      <c r="AX33" s="191"/>
      <c r="AY33" s="69"/>
      <c r="AZ33" s="323"/>
      <c r="BA33" s="84">
        <f t="shared" si="48"/>
        <v>25500</v>
      </c>
      <c r="BB33" s="84">
        <f t="shared" si="49"/>
        <v>4250</v>
      </c>
      <c r="BC33" s="84">
        <f t="shared" si="50"/>
        <v>-10721.154581666678</v>
      </c>
      <c r="BD33" s="84">
        <f t="shared" si="50"/>
        <v>-10721.154581666678</v>
      </c>
      <c r="BE33" s="84">
        <f t="shared" si="51"/>
        <v>-8704.5910000000094</v>
      </c>
      <c r="BF33" s="84"/>
      <c r="BG33" s="90">
        <f t="shared" si="52"/>
        <v>0</v>
      </c>
      <c r="BH33" s="90">
        <f t="shared" si="53"/>
        <v>0</v>
      </c>
      <c r="BI33" s="90">
        <f t="shared" si="54"/>
        <v>0</v>
      </c>
      <c r="BJ33" s="91">
        <f t="shared" si="20"/>
        <v>128653.85498000013</v>
      </c>
      <c r="BK33" s="91">
        <f t="shared" si="21"/>
        <v>128653.85498000013</v>
      </c>
      <c r="BL33" s="91">
        <f t="shared" si="55"/>
        <v>104455.09200000012</v>
      </c>
      <c r="BM33" s="91">
        <f t="shared" si="56"/>
        <v>-128653.85498000015</v>
      </c>
      <c r="BN33" s="91">
        <f t="shared" si="57"/>
        <v>0</v>
      </c>
      <c r="BO33" s="91">
        <f t="shared" si="58"/>
        <v>0</v>
      </c>
      <c r="BP33" s="91">
        <f t="shared" si="59"/>
        <v>-128653.85498000013</v>
      </c>
      <c r="BQ33" s="91">
        <f t="shared" si="60"/>
        <v>-128653.85498000013</v>
      </c>
      <c r="BR33" s="91">
        <f t="shared" si="61"/>
        <v>12</v>
      </c>
      <c r="BS33" s="91">
        <f t="shared" si="62"/>
        <v>-10721.154581666678</v>
      </c>
      <c r="BT33" s="91">
        <f t="shared" si="63"/>
        <v>-24198.762980000014</v>
      </c>
      <c r="BU33" s="91">
        <f t="shared" si="64"/>
        <v>-104455.09200000012</v>
      </c>
      <c r="BV33" s="91">
        <f t="shared" si="65"/>
        <v>-128653.85498000013</v>
      </c>
      <c r="BW33" s="91">
        <f t="shared" si="66"/>
        <v>-2016.5635816666679</v>
      </c>
      <c r="BX33" s="91">
        <f t="shared" si="66"/>
        <v>-8704.5910000000094</v>
      </c>
      <c r="BY33" s="91">
        <f t="shared" si="66"/>
        <v>-10721.154581666678</v>
      </c>
      <c r="BZ33" s="323"/>
      <c r="CA33" s="323"/>
      <c r="CB33" s="323"/>
      <c r="CC33" s="323"/>
      <c r="CD33" s="323"/>
      <c r="CE33" s="323"/>
      <c r="CF33" s="323"/>
      <c r="CG33" s="323"/>
      <c r="CH33" s="323"/>
      <c r="CI33" s="323"/>
      <c r="CJ33" s="323"/>
      <c r="CK33" s="323"/>
      <c r="CL33" s="323"/>
      <c r="CM33" s="323"/>
      <c r="CN33" s="323"/>
      <c r="CO33" s="323"/>
      <c r="CP33" s="323"/>
      <c r="CQ33" s="323"/>
      <c r="CR33" s="323"/>
      <c r="CS33" s="323"/>
      <c r="CT33" s="323"/>
      <c r="CU33" s="323"/>
      <c r="CV33" s="323"/>
      <c r="CW33" s="323"/>
      <c r="CX33" s="323"/>
      <c r="CY33" s="323"/>
      <c r="CZ33" s="323"/>
      <c r="DA33" s="323"/>
      <c r="DB33" s="323"/>
      <c r="DC33" s="323"/>
      <c r="DD33" s="323"/>
      <c r="DE33" s="323"/>
      <c r="DF33" s="323"/>
      <c r="DG33" s="323"/>
      <c r="DH33" s="323"/>
      <c r="DI33" s="323"/>
      <c r="DJ33" s="323"/>
      <c r="DK33" s="323"/>
      <c r="DL33" s="323"/>
      <c r="DM33" s="323"/>
      <c r="DN33" s="323"/>
      <c r="DO33" s="323"/>
      <c r="DP33" s="323"/>
      <c r="DQ33" s="323"/>
      <c r="DR33" s="323"/>
      <c r="DS33" s="323"/>
      <c r="DT33" s="323"/>
      <c r="DU33" s="323"/>
      <c r="DV33" s="323"/>
      <c r="DW33" s="323"/>
      <c r="DX33" s="323"/>
      <c r="DY33" s="323"/>
      <c r="DZ33" s="323"/>
      <c r="EA33" s="323"/>
      <c r="EB33" s="323"/>
      <c r="EC33" s="323"/>
      <c r="ED33" s="323"/>
      <c r="EE33" s="323"/>
      <c r="EF33" s="323"/>
      <c r="EG33" s="323"/>
      <c r="EH33" s="323"/>
      <c r="EI33" s="323"/>
      <c r="EJ33" s="323"/>
      <c r="EK33" s="323"/>
      <c r="EL33" s="323"/>
      <c r="EM33" s="323"/>
      <c r="EN33" s="323"/>
      <c r="EO33" s="323"/>
      <c r="EP33" s="323"/>
      <c r="EQ33" s="323"/>
      <c r="ER33" s="323"/>
      <c r="ES33" s="323"/>
      <c r="ET33" s="323"/>
      <c r="EU33" s="323"/>
      <c r="EV33" s="323"/>
      <c r="EW33" s="323"/>
      <c r="EX33" s="323"/>
      <c r="EY33" s="323"/>
      <c r="EZ33" s="323"/>
      <c r="FA33" s="323"/>
      <c r="FB33" s="323"/>
      <c r="FC33" s="323"/>
      <c r="FD33" s="323"/>
      <c r="FE33" s="323"/>
      <c r="FF33" s="323"/>
      <c r="FG33" s="323"/>
      <c r="FH33" s="323"/>
      <c r="FI33" s="323"/>
      <c r="FJ33" s="323"/>
      <c r="FK33" s="323"/>
      <c r="FL33" s="323"/>
      <c r="FM33" s="323"/>
      <c r="FN33" s="323"/>
      <c r="FO33" s="323"/>
      <c r="FP33" s="323"/>
      <c r="FQ33" s="323"/>
      <c r="FR33" s="323"/>
      <c r="FS33" s="323"/>
      <c r="FT33" s="323"/>
      <c r="FU33" s="323"/>
      <c r="FV33" s="323"/>
      <c r="FW33" s="323"/>
      <c r="FX33" s="323"/>
      <c r="FY33" s="323"/>
      <c r="FZ33" s="323"/>
      <c r="GA33" s="323"/>
      <c r="GB33" s="323"/>
      <c r="GC33" s="323"/>
      <c r="GD33" s="323"/>
      <c r="GE33" s="323"/>
      <c r="GF33" s="323"/>
      <c r="GG33" s="323"/>
      <c r="GH33" s="323"/>
      <c r="GI33" s="323"/>
      <c r="GJ33" s="323"/>
      <c r="GK33" s="323"/>
      <c r="GL33" s="323"/>
      <c r="GM33" s="323"/>
      <c r="GN33" s="323"/>
      <c r="GO33" s="323"/>
      <c r="GP33" s="323"/>
      <c r="GQ33" s="323"/>
      <c r="GR33" s="323"/>
      <c r="GS33" s="323"/>
      <c r="GT33" s="323"/>
      <c r="GU33" s="323"/>
      <c r="GV33" s="323"/>
      <c r="GW33" s="323"/>
      <c r="GX33" s="323"/>
      <c r="GY33" s="323"/>
      <c r="GZ33" s="323"/>
      <c r="HA33" s="323"/>
      <c r="HB33" s="323"/>
      <c r="HC33" s="323"/>
      <c r="HD33" s="323"/>
      <c r="HE33" s="323"/>
      <c r="HF33" s="323"/>
      <c r="HG33" s="323"/>
      <c r="HH33" s="323"/>
      <c r="HI33" s="323"/>
      <c r="HJ33" s="323"/>
      <c r="HK33" s="323"/>
      <c r="HL33" s="323"/>
      <c r="HM33" s="323"/>
      <c r="HN33" s="323"/>
      <c r="HO33" s="323"/>
      <c r="HP33" s="323"/>
      <c r="HQ33" s="323"/>
      <c r="HR33" s="323"/>
      <c r="HS33" s="323"/>
      <c r="HT33" s="323"/>
      <c r="HU33" s="323"/>
      <c r="HV33" s="323"/>
      <c r="HW33" s="323"/>
      <c r="HX33" s="323"/>
      <c r="HY33" s="323"/>
      <c r="HZ33" s="323"/>
      <c r="IA33" s="323"/>
      <c r="IB33" s="323"/>
      <c r="IC33" s="323"/>
      <c r="ID33" s="323"/>
      <c r="IE33" s="323"/>
      <c r="IF33" s="323"/>
      <c r="IG33" s="323"/>
      <c r="IH33" s="323"/>
      <c r="II33" s="323"/>
      <c r="IJ33" s="323"/>
      <c r="IK33" s="323"/>
      <c r="IL33" s="323"/>
      <c r="IM33" s="323"/>
      <c r="IN33" s="323"/>
      <c r="IO33" s="323"/>
      <c r="IP33" s="323"/>
      <c r="IQ33" s="323"/>
      <c r="IR33" s="323"/>
      <c r="IS33" s="323"/>
      <c r="IT33" s="323"/>
      <c r="IU33" s="323"/>
      <c r="IV33" s="323"/>
    </row>
    <row r="34" spans="1:256" ht="54">
      <c r="A34" s="178" t="s">
        <v>136</v>
      </c>
      <c r="B34" s="151" t="s">
        <v>178</v>
      </c>
      <c r="C34" s="151" t="s">
        <v>124</v>
      </c>
      <c r="D34" s="179" t="s">
        <v>116</v>
      </c>
      <c r="E34" s="151" t="s">
        <v>117</v>
      </c>
      <c r="F34" s="151" t="s">
        <v>118</v>
      </c>
      <c r="G34" s="152" t="str">
        <f t="shared" si="0"/>
        <v>No of Racks</v>
      </c>
      <c r="H34" s="151">
        <v>2</v>
      </c>
      <c r="I34" s="151">
        <v>2</v>
      </c>
      <c r="J34" s="180">
        <f t="shared" si="67"/>
        <v>0</v>
      </c>
      <c r="K34" s="151">
        <v>2</v>
      </c>
      <c r="L34" s="151"/>
      <c r="M34" s="181">
        <f>545000/12</f>
        <v>45416.666666666664</v>
      </c>
      <c r="N34" s="182">
        <f t="shared" si="40"/>
        <v>545000</v>
      </c>
      <c r="O34" s="183" t="str">
        <f t="shared" si="1"/>
        <v>Rated</v>
      </c>
      <c r="P34" s="151" t="s">
        <v>125</v>
      </c>
      <c r="Q34" s="151">
        <v>12</v>
      </c>
      <c r="R34" s="223">
        <v>11.093</v>
      </c>
      <c r="S34" s="185">
        <f t="shared" si="36"/>
        <v>0.90700000000000003</v>
      </c>
      <c r="T34" s="151"/>
      <c r="U34" s="186">
        <f t="shared" ca="1" si="3"/>
        <v>0.45350000000000001</v>
      </c>
      <c r="V34" s="186">
        <f t="shared" ca="1" si="4"/>
        <v>6</v>
      </c>
      <c r="W34" s="234">
        <f t="shared" si="39"/>
        <v>11.093</v>
      </c>
      <c r="X34" s="186">
        <f>S34*-1</f>
        <v>-0.90700000000000003</v>
      </c>
      <c r="Y34" s="83"/>
      <c r="Z34" s="189" t="str">
        <f t="shared" si="41"/>
        <v>Bundled</v>
      </c>
      <c r="AA34" s="151"/>
      <c r="AB34" s="186"/>
      <c r="AC34" s="190"/>
      <c r="AD34" s="199"/>
      <c r="AE34" s="120"/>
      <c r="AF34" s="152" t="str">
        <f>IF(AE34="No of Seats","No of Seats",(IF(AE34="Space","Sq Ft","")))</f>
        <v/>
      </c>
      <c r="AG34" s="151">
        <v>1</v>
      </c>
      <c r="AH34" s="151">
        <v>1</v>
      </c>
      <c r="AI34" s="151">
        <f>AG34-AH34</f>
        <v>0</v>
      </c>
      <c r="AJ34" s="151">
        <v>1</v>
      </c>
      <c r="AK34" s="151"/>
      <c r="AL34" s="181">
        <f>100000/12</f>
        <v>8333.3333333333339</v>
      </c>
      <c r="AM34" s="83">
        <f t="shared" si="42"/>
        <v>90833.333333333328</v>
      </c>
      <c r="AN34" s="83">
        <f t="shared" si="43"/>
        <v>0</v>
      </c>
      <c r="AO34" s="83">
        <f t="shared" si="44"/>
        <v>0</v>
      </c>
      <c r="AP34" s="83">
        <f t="shared" si="45"/>
        <v>8333.3333333333339</v>
      </c>
      <c r="AQ34" s="84"/>
      <c r="AR34" s="85">
        <f t="shared" si="46"/>
        <v>99166.666666666657</v>
      </c>
      <c r="AS34" s="86">
        <f t="shared" si="47"/>
        <v>1190000</v>
      </c>
      <c r="AT34" s="85" t="s">
        <v>119</v>
      </c>
      <c r="AU34" s="69">
        <v>721003774</v>
      </c>
      <c r="AV34" s="191">
        <v>42522</v>
      </c>
      <c r="AW34" s="101"/>
      <c r="AX34" s="191"/>
      <c r="AY34" s="69" t="s">
        <v>121</v>
      </c>
      <c r="AZ34" s="323"/>
      <c r="BA34" s="84">
        <f t="shared" si="48"/>
        <v>49583.333333333328</v>
      </c>
      <c r="BB34" s="84">
        <f t="shared" ca="1" si="49"/>
        <v>0</v>
      </c>
      <c r="BC34" s="84">
        <f t="shared" ca="1" si="50"/>
        <v>-4130.7835971111126</v>
      </c>
      <c r="BD34" s="84">
        <f t="shared" ca="1" si="50"/>
        <v>-4918.559354111113</v>
      </c>
      <c r="BE34" s="84">
        <f t="shared" ca="1" si="51"/>
        <v>4716.2768888888868</v>
      </c>
      <c r="BF34" s="84"/>
      <c r="BG34" s="90">
        <f t="shared" si="52"/>
        <v>90833.333333333328</v>
      </c>
      <c r="BH34" s="90">
        <f t="shared" ca="1" si="53"/>
        <v>28297.661333333323</v>
      </c>
      <c r="BI34" s="90">
        <f t="shared" ca="1" si="54"/>
        <v>62535.672000000006</v>
      </c>
      <c r="BJ34" s="91">
        <f t="shared" si="20"/>
        <v>96560.027963000102</v>
      </c>
      <c r="BK34" s="91">
        <f t="shared" ca="1" si="21"/>
        <v>120344.68945800001</v>
      </c>
      <c r="BL34" s="91">
        <f t="shared" ca="1" si="55"/>
        <v>62535.672000000006</v>
      </c>
      <c r="BM34" s="91">
        <f t="shared" ca="1" si="56"/>
        <v>-24784.701582666676</v>
      </c>
      <c r="BN34" s="91">
        <f t="shared" ca="1" si="57"/>
        <v>36000</v>
      </c>
      <c r="BO34" s="91">
        <f t="shared" ca="1" si="58"/>
        <v>-7702.3386666666775</v>
      </c>
      <c r="BP34" s="91">
        <f t="shared" ca="1" si="59"/>
        <v>-53082.362915999998</v>
      </c>
      <c r="BQ34" s="91">
        <f t="shared" ca="1" si="60"/>
        <v>-60784.701582666676</v>
      </c>
      <c r="BR34" s="91">
        <f t="shared" ca="1" si="61"/>
        <v>6</v>
      </c>
      <c r="BS34" s="91">
        <f t="shared" ca="1" si="62"/>
        <v>-4130.7835971111126</v>
      </c>
      <c r="BT34" s="91">
        <f t="shared" ca="1" si="63"/>
        <v>-53082.362915999998</v>
      </c>
      <c r="BU34" s="91">
        <f t="shared" ca="1" si="64"/>
        <v>-7702.3386666666793</v>
      </c>
      <c r="BV34" s="91">
        <f t="shared" ca="1" si="65"/>
        <v>-60784.701582666676</v>
      </c>
      <c r="BW34" s="91">
        <f t="shared" ca="1" si="66"/>
        <v>-8847.0604860000003</v>
      </c>
      <c r="BX34" s="91">
        <f t="shared" ca="1" si="66"/>
        <v>-1283.7231111111132</v>
      </c>
      <c r="BY34" s="91">
        <f t="shared" ca="1" si="66"/>
        <v>-10130.783597111113</v>
      </c>
      <c r="BZ34" s="323"/>
      <c r="CA34" s="323"/>
      <c r="CB34" s="323"/>
      <c r="CC34" s="323"/>
      <c r="CD34" s="323"/>
      <c r="CE34" s="323"/>
      <c r="CF34" s="323"/>
      <c r="CG34" s="323"/>
      <c r="CH34" s="323"/>
      <c r="CI34" s="323"/>
      <c r="CJ34" s="323"/>
      <c r="CK34" s="323"/>
      <c r="CL34" s="323"/>
      <c r="CM34" s="323"/>
      <c r="CN34" s="323"/>
      <c r="CO34" s="323"/>
      <c r="CP34" s="323"/>
      <c r="CQ34" s="323"/>
      <c r="CR34" s="323"/>
      <c r="CS34" s="323"/>
      <c r="CT34" s="323"/>
      <c r="CU34" s="323"/>
      <c r="CV34" s="323"/>
      <c r="CW34" s="323"/>
      <c r="CX34" s="323"/>
      <c r="CY34" s="323"/>
      <c r="CZ34" s="323"/>
      <c r="DA34" s="323"/>
      <c r="DB34" s="323"/>
      <c r="DC34" s="323"/>
      <c r="DD34" s="323"/>
      <c r="DE34" s="323"/>
      <c r="DF34" s="323"/>
      <c r="DG34" s="323"/>
      <c r="DH34" s="323"/>
      <c r="DI34" s="323"/>
      <c r="DJ34" s="323"/>
      <c r="DK34" s="323"/>
      <c r="DL34" s="323"/>
      <c r="DM34" s="323"/>
      <c r="DN34" s="323"/>
      <c r="DO34" s="323"/>
      <c r="DP34" s="323"/>
      <c r="DQ34" s="323"/>
      <c r="DR34" s="323"/>
      <c r="DS34" s="323"/>
      <c r="DT34" s="323"/>
      <c r="DU34" s="323"/>
      <c r="DV34" s="323"/>
      <c r="DW34" s="323"/>
      <c r="DX34" s="323"/>
      <c r="DY34" s="323"/>
      <c r="DZ34" s="323"/>
      <c r="EA34" s="323"/>
      <c r="EB34" s="323"/>
      <c r="EC34" s="323"/>
      <c r="ED34" s="323"/>
      <c r="EE34" s="323"/>
      <c r="EF34" s="323"/>
      <c r="EG34" s="323"/>
      <c r="EH34" s="323"/>
      <c r="EI34" s="323"/>
      <c r="EJ34" s="323"/>
      <c r="EK34" s="323"/>
      <c r="EL34" s="323"/>
      <c r="EM34" s="323"/>
      <c r="EN34" s="323"/>
      <c r="EO34" s="323"/>
      <c r="EP34" s="323"/>
      <c r="EQ34" s="323"/>
      <c r="ER34" s="323"/>
      <c r="ES34" s="323"/>
      <c r="ET34" s="323"/>
      <c r="EU34" s="323"/>
      <c r="EV34" s="323"/>
      <c r="EW34" s="323"/>
      <c r="EX34" s="323"/>
      <c r="EY34" s="323"/>
      <c r="EZ34" s="323"/>
      <c r="FA34" s="323"/>
      <c r="FB34" s="323"/>
      <c r="FC34" s="323"/>
      <c r="FD34" s="323"/>
      <c r="FE34" s="323"/>
      <c r="FF34" s="323"/>
      <c r="FG34" s="323"/>
      <c r="FH34" s="323"/>
      <c r="FI34" s="323"/>
      <c r="FJ34" s="323"/>
      <c r="FK34" s="323"/>
      <c r="FL34" s="323"/>
      <c r="FM34" s="323"/>
      <c r="FN34" s="323"/>
      <c r="FO34" s="323"/>
      <c r="FP34" s="323"/>
      <c r="FQ34" s="323"/>
      <c r="FR34" s="323"/>
      <c r="FS34" s="323"/>
      <c r="FT34" s="323"/>
      <c r="FU34" s="323"/>
      <c r="FV34" s="323"/>
      <c r="FW34" s="323"/>
      <c r="FX34" s="323"/>
      <c r="FY34" s="323"/>
      <c r="FZ34" s="323"/>
      <c r="GA34" s="323"/>
      <c r="GB34" s="323"/>
      <c r="GC34" s="323"/>
      <c r="GD34" s="323"/>
      <c r="GE34" s="323"/>
      <c r="GF34" s="323"/>
      <c r="GG34" s="323"/>
      <c r="GH34" s="323"/>
      <c r="GI34" s="323"/>
      <c r="GJ34" s="323"/>
      <c r="GK34" s="323"/>
      <c r="GL34" s="323"/>
      <c r="GM34" s="323"/>
      <c r="GN34" s="323"/>
      <c r="GO34" s="323"/>
      <c r="GP34" s="323"/>
      <c r="GQ34" s="323"/>
      <c r="GR34" s="323"/>
      <c r="GS34" s="323"/>
      <c r="GT34" s="323"/>
      <c r="GU34" s="323"/>
      <c r="GV34" s="323"/>
      <c r="GW34" s="323"/>
      <c r="GX34" s="323"/>
      <c r="GY34" s="323"/>
      <c r="GZ34" s="323"/>
      <c r="HA34" s="323"/>
      <c r="HB34" s="323"/>
      <c r="HC34" s="323"/>
      <c r="HD34" s="323"/>
      <c r="HE34" s="323"/>
      <c r="HF34" s="323"/>
      <c r="HG34" s="323"/>
      <c r="HH34" s="323"/>
      <c r="HI34" s="323"/>
      <c r="HJ34" s="323"/>
      <c r="HK34" s="323"/>
      <c r="HL34" s="323"/>
      <c r="HM34" s="323"/>
      <c r="HN34" s="323"/>
      <c r="HO34" s="323"/>
      <c r="HP34" s="323"/>
      <c r="HQ34" s="323"/>
      <c r="HR34" s="323"/>
      <c r="HS34" s="323"/>
      <c r="HT34" s="323"/>
      <c r="HU34" s="323"/>
      <c r="HV34" s="323"/>
      <c r="HW34" s="323"/>
      <c r="HX34" s="323"/>
      <c r="HY34" s="323"/>
      <c r="HZ34" s="323"/>
      <c r="IA34" s="323"/>
      <c r="IB34" s="323"/>
      <c r="IC34" s="323"/>
      <c r="ID34" s="323"/>
      <c r="IE34" s="323"/>
      <c r="IF34" s="323"/>
      <c r="IG34" s="323"/>
      <c r="IH34" s="323"/>
      <c r="II34" s="323"/>
      <c r="IJ34" s="323"/>
      <c r="IK34" s="323"/>
      <c r="IL34" s="323"/>
      <c r="IM34" s="323"/>
      <c r="IN34" s="323"/>
      <c r="IO34" s="323"/>
      <c r="IP34" s="323"/>
      <c r="IQ34" s="323"/>
      <c r="IR34" s="323"/>
      <c r="IS34" s="323"/>
      <c r="IT34" s="323"/>
      <c r="IU34" s="323"/>
      <c r="IV34" s="323"/>
    </row>
    <row r="35" spans="1:256" ht="42.75">
      <c r="A35" s="178" t="s">
        <v>136</v>
      </c>
      <c r="B35" s="151" t="s">
        <v>179</v>
      </c>
      <c r="C35" s="151" t="s">
        <v>124</v>
      </c>
      <c r="D35" s="179" t="s">
        <v>116</v>
      </c>
      <c r="E35" s="151" t="s">
        <v>117</v>
      </c>
      <c r="F35" s="151" t="s">
        <v>118</v>
      </c>
      <c r="G35" s="152" t="str">
        <f t="shared" si="0"/>
        <v>No of Racks</v>
      </c>
      <c r="H35" s="151">
        <v>2</v>
      </c>
      <c r="I35" s="151">
        <v>2</v>
      </c>
      <c r="J35" s="180">
        <f t="shared" si="67"/>
        <v>0</v>
      </c>
      <c r="K35" s="151">
        <v>2</v>
      </c>
      <c r="L35" s="151"/>
      <c r="M35" s="181">
        <f>860000/12</f>
        <v>71666.666666666672</v>
      </c>
      <c r="N35" s="83">
        <f t="shared" si="40"/>
        <v>860000</v>
      </c>
      <c r="O35" s="183" t="s">
        <v>124</v>
      </c>
      <c r="P35" s="151" t="s">
        <v>108</v>
      </c>
      <c r="Q35" s="151">
        <v>4</v>
      </c>
      <c r="R35" s="223">
        <v>20.265000000000001</v>
      </c>
      <c r="S35" s="185">
        <f t="shared" si="36"/>
        <v>-16.265000000000001</v>
      </c>
      <c r="T35" s="151"/>
      <c r="U35" s="186">
        <f t="shared" si="3"/>
        <v>0</v>
      </c>
      <c r="V35" s="186">
        <f t="shared" ca="1" si="4"/>
        <v>2</v>
      </c>
      <c r="W35" s="234">
        <f t="shared" si="39"/>
        <v>20.265000000000001</v>
      </c>
      <c r="X35" s="186"/>
      <c r="Y35" s="83">
        <f>205000/12</f>
        <v>17083.333333333332</v>
      </c>
      <c r="Z35" s="189" t="str">
        <f t="shared" si="41"/>
        <v>Bundled</v>
      </c>
      <c r="AA35" s="151"/>
      <c r="AB35" s="186"/>
      <c r="AC35" s="190"/>
      <c r="AD35" s="199"/>
      <c r="AE35" s="198" t="s">
        <v>133</v>
      </c>
      <c r="AF35" s="152" t="str">
        <f>IF(AE35="No of Seats","No of Seats",(IF(AE35="Space","Sq Ft","")))</f>
        <v>No of Seats</v>
      </c>
      <c r="AG35" s="151">
        <v>2</v>
      </c>
      <c r="AH35" s="151"/>
      <c r="AI35" s="151">
        <v>2</v>
      </c>
      <c r="AJ35" s="151"/>
      <c r="AK35" s="151"/>
      <c r="AL35" s="181">
        <f>190000/12</f>
        <v>15833.333333333334</v>
      </c>
      <c r="AM35" s="83">
        <f t="shared" si="42"/>
        <v>143333.33333333334</v>
      </c>
      <c r="AN35" s="83">
        <f t="shared" si="43"/>
        <v>0</v>
      </c>
      <c r="AO35" s="83">
        <f t="shared" si="44"/>
        <v>0</v>
      </c>
      <c r="AP35" s="83">
        <f t="shared" si="45"/>
        <v>0</v>
      </c>
      <c r="AQ35" s="84">
        <f>12500+10000+100000</f>
        <v>122500</v>
      </c>
      <c r="AR35" s="85">
        <f t="shared" si="46"/>
        <v>265833.33333333337</v>
      </c>
      <c r="AS35" s="85">
        <f t="shared" si="47"/>
        <v>3190000.0000000005</v>
      </c>
      <c r="AT35" s="85" t="s">
        <v>134</v>
      </c>
      <c r="AU35" s="69"/>
      <c r="AV35" s="191">
        <v>43484</v>
      </c>
      <c r="AW35" s="69">
        <v>1</v>
      </c>
      <c r="AX35" s="191">
        <v>43818</v>
      </c>
      <c r="AY35" s="69"/>
      <c r="AZ35" s="323"/>
      <c r="BA35" s="84">
        <f t="shared" si="48"/>
        <v>132916.66666666669</v>
      </c>
      <c r="BB35" s="84">
        <f t="shared" ca="1" si="49"/>
        <v>0</v>
      </c>
      <c r="BC35" s="84">
        <f t="shared" ca="1" si="50"/>
        <v>-33940.449423333339</v>
      </c>
      <c r="BD35" s="84">
        <f t="shared" ca="1" si="50"/>
        <v>-33940.449423333339</v>
      </c>
      <c r="BE35" s="84">
        <f t="shared" ca="1" si="51"/>
        <v>61244.054666666671</v>
      </c>
      <c r="BF35" s="84"/>
      <c r="BG35" s="93">
        <f t="shared" si="52"/>
        <v>143333.33333333334</v>
      </c>
      <c r="BH35" s="93">
        <f t="shared" ca="1" si="53"/>
        <v>122488.10933333334</v>
      </c>
      <c r="BI35" s="93">
        <f t="shared" ca="1" si="54"/>
        <v>20845.224000000002</v>
      </c>
      <c r="BJ35" s="91">
        <f t="shared" si="20"/>
        <v>176398.53661500019</v>
      </c>
      <c r="BK35" s="91">
        <f t="shared" si="21"/>
        <v>176398.53661500019</v>
      </c>
      <c r="BL35" s="91">
        <f t="shared" ca="1" si="55"/>
        <v>20845.224000000002</v>
      </c>
      <c r="BM35" s="91">
        <f t="shared" ca="1" si="56"/>
        <v>-67880.898846666678</v>
      </c>
      <c r="BN35" s="91">
        <f t="shared" ca="1" si="57"/>
        <v>12000</v>
      </c>
      <c r="BO35" s="91">
        <f t="shared" ca="1" si="58"/>
        <v>110488.10933333334</v>
      </c>
      <c r="BP35" s="91">
        <f t="shared" ca="1" si="59"/>
        <v>-190369.00818</v>
      </c>
      <c r="BQ35" s="91">
        <f t="shared" ca="1" si="60"/>
        <v>-79880.898846666663</v>
      </c>
      <c r="BR35" s="91">
        <f t="shared" ca="1" si="61"/>
        <v>2</v>
      </c>
      <c r="BS35" s="91">
        <f t="shared" ca="1" si="62"/>
        <v>-33940.449423333339</v>
      </c>
      <c r="BT35" s="91">
        <f t="shared" ca="1" si="63"/>
        <v>-190369.00818</v>
      </c>
      <c r="BU35" s="91">
        <f t="shared" ca="1" si="64"/>
        <v>110488.10933333334</v>
      </c>
      <c r="BV35" s="91">
        <f t="shared" ca="1" si="65"/>
        <v>-79880.898846666663</v>
      </c>
      <c r="BW35" s="91">
        <f t="shared" ca="1" si="66"/>
        <v>-95184.504090000002</v>
      </c>
      <c r="BX35" s="91">
        <f t="shared" ca="1" si="66"/>
        <v>55244.054666666671</v>
      </c>
      <c r="BY35" s="91">
        <f t="shared" ca="1" si="66"/>
        <v>-39940.449423333332</v>
      </c>
      <c r="BZ35" s="323"/>
      <c r="CA35" s="323"/>
      <c r="CB35" s="323"/>
      <c r="CC35" s="323"/>
      <c r="CD35" s="323"/>
      <c r="CE35" s="323"/>
      <c r="CF35" s="323"/>
      <c r="CG35" s="323"/>
      <c r="CH35" s="323"/>
      <c r="CI35" s="323"/>
      <c r="CJ35" s="323"/>
      <c r="CK35" s="323"/>
      <c r="CL35" s="323"/>
      <c r="CM35" s="323"/>
      <c r="CN35" s="323"/>
      <c r="CO35" s="323"/>
      <c r="CP35" s="323"/>
      <c r="CQ35" s="323"/>
      <c r="CR35" s="323"/>
      <c r="CS35" s="323"/>
      <c r="CT35" s="323"/>
      <c r="CU35" s="323"/>
      <c r="CV35" s="323"/>
      <c r="CW35" s="323"/>
      <c r="CX35" s="323"/>
      <c r="CY35" s="323"/>
      <c r="CZ35" s="323"/>
      <c r="DA35" s="323"/>
      <c r="DB35" s="323"/>
      <c r="DC35" s="323"/>
      <c r="DD35" s="323"/>
      <c r="DE35" s="323"/>
      <c r="DF35" s="323"/>
      <c r="DG35" s="323"/>
      <c r="DH35" s="323"/>
      <c r="DI35" s="323"/>
      <c r="DJ35" s="323"/>
      <c r="DK35" s="323"/>
      <c r="DL35" s="323"/>
      <c r="DM35" s="323"/>
      <c r="DN35" s="323"/>
      <c r="DO35" s="323"/>
      <c r="DP35" s="323"/>
      <c r="DQ35" s="323"/>
      <c r="DR35" s="323"/>
      <c r="DS35" s="323"/>
      <c r="DT35" s="323"/>
      <c r="DU35" s="323"/>
      <c r="DV35" s="323"/>
      <c r="DW35" s="323"/>
      <c r="DX35" s="323"/>
      <c r="DY35" s="323"/>
      <c r="DZ35" s="323"/>
      <c r="EA35" s="323"/>
      <c r="EB35" s="323"/>
      <c r="EC35" s="323"/>
      <c r="ED35" s="323"/>
      <c r="EE35" s="323"/>
      <c r="EF35" s="323"/>
      <c r="EG35" s="323"/>
      <c r="EH35" s="323"/>
      <c r="EI35" s="323"/>
      <c r="EJ35" s="323"/>
      <c r="EK35" s="323"/>
      <c r="EL35" s="323"/>
      <c r="EM35" s="323"/>
      <c r="EN35" s="323"/>
      <c r="EO35" s="323"/>
      <c r="EP35" s="323"/>
      <c r="EQ35" s="323"/>
      <c r="ER35" s="323"/>
      <c r="ES35" s="323"/>
      <c r="ET35" s="323"/>
      <c r="EU35" s="323"/>
      <c r="EV35" s="323"/>
      <c r="EW35" s="323"/>
      <c r="EX35" s="323"/>
      <c r="EY35" s="323"/>
      <c r="EZ35" s="323"/>
      <c r="FA35" s="323"/>
      <c r="FB35" s="323"/>
      <c r="FC35" s="323"/>
      <c r="FD35" s="323"/>
      <c r="FE35" s="323"/>
      <c r="FF35" s="323"/>
      <c r="FG35" s="323"/>
      <c r="FH35" s="323"/>
      <c r="FI35" s="323"/>
      <c r="FJ35" s="323"/>
      <c r="FK35" s="323"/>
      <c r="FL35" s="323"/>
      <c r="FM35" s="323"/>
      <c r="FN35" s="323"/>
      <c r="FO35" s="323"/>
      <c r="FP35" s="323"/>
      <c r="FQ35" s="323"/>
      <c r="FR35" s="323"/>
      <c r="FS35" s="323"/>
      <c r="FT35" s="323"/>
      <c r="FU35" s="323"/>
      <c r="FV35" s="323"/>
      <c r="FW35" s="323"/>
      <c r="FX35" s="323"/>
      <c r="FY35" s="323"/>
      <c r="FZ35" s="323"/>
      <c r="GA35" s="323"/>
      <c r="GB35" s="323"/>
      <c r="GC35" s="323"/>
      <c r="GD35" s="323"/>
      <c r="GE35" s="323"/>
      <c r="GF35" s="323"/>
      <c r="GG35" s="323"/>
      <c r="GH35" s="323"/>
      <c r="GI35" s="323"/>
      <c r="GJ35" s="323"/>
      <c r="GK35" s="323"/>
      <c r="GL35" s="323"/>
      <c r="GM35" s="323"/>
      <c r="GN35" s="323"/>
      <c r="GO35" s="323"/>
      <c r="GP35" s="323"/>
      <c r="GQ35" s="323"/>
      <c r="GR35" s="323"/>
      <c r="GS35" s="323"/>
      <c r="GT35" s="323"/>
      <c r="GU35" s="323"/>
      <c r="GV35" s="323"/>
      <c r="GW35" s="323"/>
      <c r="GX35" s="323"/>
      <c r="GY35" s="323"/>
      <c r="GZ35" s="323"/>
      <c r="HA35" s="323"/>
      <c r="HB35" s="323"/>
      <c r="HC35" s="323"/>
      <c r="HD35" s="323"/>
      <c r="HE35" s="323"/>
      <c r="HF35" s="323"/>
      <c r="HG35" s="323"/>
      <c r="HH35" s="323"/>
      <c r="HI35" s="323"/>
      <c r="HJ35" s="323"/>
      <c r="HK35" s="323"/>
      <c r="HL35" s="323"/>
      <c r="HM35" s="323"/>
      <c r="HN35" s="323"/>
      <c r="HO35" s="323"/>
      <c r="HP35" s="323"/>
      <c r="HQ35" s="323"/>
      <c r="HR35" s="323"/>
      <c r="HS35" s="323"/>
      <c r="HT35" s="323"/>
      <c r="HU35" s="323"/>
      <c r="HV35" s="323"/>
      <c r="HW35" s="323"/>
      <c r="HX35" s="323"/>
      <c r="HY35" s="323"/>
      <c r="HZ35" s="323"/>
      <c r="IA35" s="323"/>
      <c r="IB35" s="323"/>
      <c r="IC35" s="323"/>
      <c r="ID35" s="323"/>
      <c r="IE35" s="323"/>
      <c r="IF35" s="323"/>
      <c r="IG35" s="323"/>
      <c r="IH35" s="323"/>
      <c r="II35" s="323"/>
      <c r="IJ35" s="323"/>
      <c r="IK35" s="323"/>
      <c r="IL35" s="323"/>
      <c r="IM35" s="323"/>
      <c r="IN35" s="323"/>
      <c r="IO35" s="323"/>
      <c r="IP35" s="323"/>
      <c r="IQ35" s="323"/>
      <c r="IR35" s="323"/>
      <c r="IS35" s="323"/>
      <c r="IT35" s="323"/>
      <c r="IU35" s="323"/>
      <c r="IV35" s="323"/>
    </row>
    <row r="36" spans="1:256" ht="42.75">
      <c r="A36" s="178" t="s">
        <v>136</v>
      </c>
      <c r="B36" s="151" t="s">
        <v>180</v>
      </c>
      <c r="C36" s="151" t="s">
        <v>115</v>
      </c>
      <c r="D36" s="179" t="s">
        <v>116</v>
      </c>
      <c r="E36" s="151" t="s">
        <v>117</v>
      </c>
      <c r="F36" s="151" t="s">
        <v>118</v>
      </c>
      <c r="G36" s="152" t="str">
        <f t="shared" si="0"/>
        <v>No of Racks</v>
      </c>
      <c r="H36" s="151">
        <v>1</v>
      </c>
      <c r="I36" s="151">
        <v>1</v>
      </c>
      <c r="J36" s="180">
        <f t="shared" si="67"/>
        <v>0</v>
      </c>
      <c r="K36" s="151">
        <v>1</v>
      </c>
      <c r="L36" s="151"/>
      <c r="M36" s="181">
        <f>600000/12</f>
        <v>50000</v>
      </c>
      <c r="N36" s="182">
        <f t="shared" si="40"/>
        <v>600000</v>
      </c>
      <c r="O36" s="183" t="str">
        <f t="shared" ref="O36:O51" si="68">C36</f>
        <v>Subscribed</v>
      </c>
      <c r="P36" s="151" t="s">
        <v>125</v>
      </c>
      <c r="Q36" s="151">
        <v>6</v>
      </c>
      <c r="R36" s="235">
        <v>13.03</v>
      </c>
      <c r="S36" s="185">
        <f t="shared" si="36"/>
        <v>-7.0299999999999994</v>
      </c>
      <c r="T36" s="151"/>
      <c r="U36" s="186">
        <f t="shared" si="3"/>
        <v>0</v>
      </c>
      <c r="V36" s="186">
        <f t="shared" si="4"/>
        <v>6</v>
      </c>
      <c r="W36" s="236">
        <f t="shared" si="39"/>
        <v>13.03</v>
      </c>
      <c r="X36" s="186">
        <f>S36*-1</f>
        <v>7.0299999999999994</v>
      </c>
      <c r="Y36" s="83">
        <f>90000/12</f>
        <v>7500</v>
      </c>
      <c r="Z36" s="189" t="str">
        <f t="shared" si="41"/>
        <v>Bundled</v>
      </c>
      <c r="AA36" s="151"/>
      <c r="AB36" s="186"/>
      <c r="AC36" s="190"/>
      <c r="AD36" s="147">
        <v>1237.8</v>
      </c>
      <c r="AE36" s="120"/>
      <c r="AF36" s="152" t="str">
        <f>IF(AE36="No of Seats","No of Seats",(IF(AE36="Space","Sq Ft","")))</f>
        <v/>
      </c>
      <c r="AG36" s="151"/>
      <c r="AH36" s="151"/>
      <c r="AI36" s="151"/>
      <c r="AJ36" s="151"/>
      <c r="AK36" s="151"/>
      <c r="AL36" s="181"/>
      <c r="AM36" s="83">
        <f t="shared" si="42"/>
        <v>50000</v>
      </c>
      <c r="AN36" s="83">
        <f t="shared" si="43"/>
        <v>52724.999999999993</v>
      </c>
      <c r="AO36" s="83">
        <f t="shared" si="44"/>
        <v>0</v>
      </c>
      <c r="AP36" s="83">
        <f t="shared" si="45"/>
        <v>0</v>
      </c>
      <c r="AQ36" s="84"/>
      <c r="AR36" s="85">
        <f t="shared" si="46"/>
        <v>102725</v>
      </c>
      <c r="AS36" s="86">
        <f t="shared" si="47"/>
        <v>1232700</v>
      </c>
      <c r="AT36" s="85" t="s">
        <v>119</v>
      </c>
      <c r="AU36" s="69">
        <v>721004242</v>
      </c>
      <c r="AV36" s="191">
        <v>42720</v>
      </c>
      <c r="AW36" s="69">
        <v>3</v>
      </c>
      <c r="AX36" s="191">
        <v>43770</v>
      </c>
      <c r="AY36" s="69"/>
      <c r="AZ36" s="323"/>
      <c r="BA36" s="84">
        <f t="shared" si="48"/>
        <v>102725</v>
      </c>
      <c r="BB36" s="84">
        <f t="shared" si="49"/>
        <v>17120.833333333332</v>
      </c>
      <c r="BC36" s="84" t="e">
        <f t="shared" si="50"/>
        <v>#VALUE!</v>
      </c>
      <c r="BD36" s="84" t="e">
        <f t="shared" si="50"/>
        <v>#VALUE!</v>
      </c>
      <c r="BE36" s="84">
        <f t="shared" si="51"/>
        <v>8416.2423333333227</v>
      </c>
      <c r="BF36" s="84"/>
      <c r="BG36" s="90">
        <f t="shared" si="52"/>
        <v>102725</v>
      </c>
      <c r="BH36" s="90">
        <f t="shared" si="53"/>
        <v>0</v>
      </c>
      <c r="BI36" s="90">
        <f t="shared" si="54"/>
        <v>102725</v>
      </c>
      <c r="BJ36" s="91" t="e">
        <f t="shared" si="20"/>
        <v>#VALUE!</v>
      </c>
      <c r="BK36" s="91" t="e">
        <f t="shared" si="21"/>
        <v>#VALUE!</v>
      </c>
      <c r="BL36" s="91">
        <f t="shared" si="55"/>
        <v>52227.54600000006</v>
      </c>
      <c r="BM36" s="91" t="e">
        <f t="shared" si="56"/>
        <v>#VALUE!</v>
      </c>
      <c r="BN36" s="91">
        <f t="shared" si="57"/>
        <v>0</v>
      </c>
      <c r="BO36" s="91">
        <f t="shared" si="58"/>
        <v>0</v>
      </c>
      <c r="BP36" s="91" t="e">
        <f t="shared" si="59"/>
        <v>#VALUE!</v>
      </c>
      <c r="BQ36" s="91" t="e">
        <f t="shared" si="60"/>
        <v>#VALUE!</v>
      </c>
      <c r="BR36" s="91">
        <f t="shared" si="61"/>
        <v>6</v>
      </c>
      <c r="BS36" s="91" t="e">
        <f t="shared" si="62"/>
        <v>#VALUE!</v>
      </c>
      <c r="BT36" s="91" t="e">
        <f t="shared" si="63"/>
        <v>#VALUE!</v>
      </c>
      <c r="BU36" s="91">
        <f t="shared" si="64"/>
        <v>50497.45399999994</v>
      </c>
      <c r="BV36" s="91" t="e">
        <f t="shared" si="65"/>
        <v>#VALUE!</v>
      </c>
      <c r="BW36" s="91" t="e">
        <f t="shared" si="66"/>
        <v>#VALUE!</v>
      </c>
      <c r="BX36" s="91">
        <f t="shared" si="66"/>
        <v>8416.2423333333227</v>
      </c>
      <c r="BY36" s="91" t="e">
        <f t="shared" si="66"/>
        <v>#VALUE!</v>
      </c>
      <c r="BZ36" s="323"/>
      <c r="CA36" s="323"/>
      <c r="CB36" s="323"/>
      <c r="CC36" s="323"/>
      <c r="CD36" s="323"/>
      <c r="CE36" s="323"/>
      <c r="CF36" s="323"/>
      <c r="CG36" s="323"/>
      <c r="CH36" s="323"/>
      <c r="CI36" s="323"/>
      <c r="CJ36" s="323"/>
      <c r="CK36" s="323"/>
      <c r="CL36" s="323"/>
      <c r="CM36" s="323"/>
      <c r="CN36" s="323"/>
      <c r="CO36" s="323"/>
      <c r="CP36" s="323"/>
      <c r="CQ36" s="323"/>
      <c r="CR36" s="323"/>
      <c r="CS36" s="323"/>
      <c r="CT36" s="323"/>
      <c r="CU36" s="323"/>
      <c r="CV36" s="323"/>
      <c r="CW36" s="323"/>
      <c r="CX36" s="323"/>
      <c r="CY36" s="323"/>
      <c r="CZ36" s="323"/>
      <c r="DA36" s="323"/>
      <c r="DB36" s="323"/>
      <c r="DC36" s="323"/>
      <c r="DD36" s="323"/>
      <c r="DE36" s="323"/>
      <c r="DF36" s="323"/>
      <c r="DG36" s="323"/>
      <c r="DH36" s="323"/>
      <c r="DI36" s="323"/>
      <c r="DJ36" s="323"/>
      <c r="DK36" s="323"/>
      <c r="DL36" s="323"/>
      <c r="DM36" s="323"/>
      <c r="DN36" s="323"/>
      <c r="DO36" s="323"/>
      <c r="DP36" s="323"/>
      <c r="DQ36" s="323"/>
      <c r="DR36" s="323"/>
      <c r="DS36" s="323"/>
      <c r="DT36" s="323"/>
      <c r="DU36" s="323"/>
      <c r="DV36" s="323"/>
      <c r="DW36" s="323"/>
      <c r="DX36" s="323"/>
      <c r="DY36" s="323"/>
      <c r="DZ36" s="323"/>
      <c r="EA36" s="323"/>
      <c r="EB36" s="323"/>
      <c r="EC36" s="323"/>
      <c r="ED36" s="323"/>
      <c r="EE36" s="323"/>
      <c r="EF36" s="323"/>
      <c r="EG36" s="323"/>
      <c r="EH36" s="323"/>
      <c r="EI36" s="323"/>
      <c r="EJ36" s="323"/>
      <c r="EK36" s="323"/>
      <c r="EL36" s="323"/>
      <c r="EM36" s="323"/>
      <c r="EN36" s="323"/>
      <c r="EO36" s="323"/>
      <c r="EP36" s="323"/>
      <c r="EQ36" s="323"/>
      <c r="ER36" s="323"/>
      <c r="ES36" s="323"/>
      <c r="ET36" s="323"/>
      <c r="EU36" s="323"/>
      <c r="EV36" s="323"/>
      <c r="EW36" s="323"/>
      <c r="EX36" s="323"/>
      <c r="EY36" s="323"/>
      <c r="EZ36" s="323"/>
      <c r="FA36" s="323"/>
      <c r="FB36" s="323"/>
      <c r="FC36" s="323"/>
      <c r="FD36" s="323"/>
      <c r="FE36" s="323"/>
      <c r="FF36" s="323"/>
      <c r="FG36" s="323"/>
      <c r="FH36" s="323"/>
      <c r="FI36" s="323"/>
      <c r="FJ36" s="323"/>
      <c r="FK36" s="323"/>
      <c r="FL36" s="323"/>
      <c r="FM36" s="323"/>
      <c r="FN36" s="323"/>
      <c r="FO36" s="323"/>
      <c r="FP36" s="323"/>
      <c r="FQ36" s="323"/>
      <c r="FR36" s="323"/>
      <c r="FS36" s="323"/>
      <c r="FT36" s="323"/>
      <c r="FU36" s="323"/>
      <c r="FV36" s="323"/>
      <c r="FW36" s="323"/>
      <c r="FX36" s="323"/>
      <c r="FY36" s="323"/>
      <c r="FZ36" s="323"/>
      <c r="GA36" s="323"/>
      <c r="GB36" s="323"/>
      <c r="GC36" s="323"/>
      <c r="GD36" s="323"/>
      <c r="GE36" s="323"/>
      <c r="GF36" s="323"/>
      <c r="GG36" s="323"/>
      <c r="GH36" s="323"/>
      <c r="GI36" s="323"/>
      <c r="GJ36" s="323"/>
      <c r="GK36" s="323"/>
      <c r="GL36" s="323"/>
      <c r="GM36" s="323"/>
      <c r="GN36" s="323"/>
      <c r="GO36" s="323"/>
      <c r="GP36" s="323"/>
      <c r="GQ36" s="323"/>
      <c r="GR36" s="323"/>
      <c r="GS36" s="323"/>
      <c r="GT36" s="323"/>
      <c r="GU36" s="323"/>
      <c r="GV36" s="323"/>
      <c r="GW36" s="323"/>
      <c r="GX36" s="323"/>
      <c r="GY36" s="323"/>
      <c r="GZ36" s="323"/>
      <c r="HA36" s="323"/>
      <c r="HB36" s="323"/>
      <c r="HC36" s="323"/>
      <c r="HD36" s="323"/>
      <c r="HE36" s="323"/>
      <c r="HF36" s="323"/>
      <c r="HG36" s="323"/>
      <c r="HH36" s="323"/>
      <c r="HI36" s="323"/>
      <c r="HJ36" s="323"/>
      <c r="HK36" s="323"/>
      <c r="HL36" s="323"/>
      <c r="HM36" s="323"/>
      <c r="HN36" s="323"/>
      <c r="HO36" s="323"/>
      <c r="HP36" s="323"/>
      <c r="HQ36" s="323"/>
      <c r="HR36" s="323"/>
      <c r="HS36" s="323"/>
      <c r="HT36" s="323"/>
      <c r="HU36" s="323"/>
      <c r="HV36" s="323"/>
      <c r="HW36" s="323"/>
      <c r="HX36" s="323"/>
      <c r="HY36" s="323"/>
      <c r="HZ36" s="323"/>
      <c r="IA36" s="323"/>
      <c r="IB36" s="323"/>
      <c r="IC36" s="323"/>
      <c r="ID36" s="323"/>
      <c r="IE36" s="323"/>
      <c r="IF36" s="323"/>
      <c r="IG36" s="323"/>
      <c r="IH36" s="323"/>
      <c r="II36" s="323"/>
      <c r="IJ36" s="323"/>
      <c r="IK36" s="323"/>
      <c r="IL36" s="323"/>
      <c r="IM36" s="323"/>
      <c r="IN36" s="323"/>
      <c r="IO36" s="323"/>
      <c r="IP36" s="323"/>
      <c r="IQ36" s="323"/>
      <c r="IR36" s="323"/>
      <c r="IS36" s="323"/>
      <c r="IT36" s="323"/>
      <c r="IU36" s="323"/>
      <c r="IV36" s="323"/>
    </row>
    <row r="37" spans="1:256" ht="21.75">
      <c r="A37" s="178" t="s">
        <v>136</v>
      </c>
      <c r="B37" s="200" t="s">
        <v>181</v>
      </c>
      <c r="C37" s="151" t="s">
        <v>115</v>
      </c>
      <c r="D37" s="179" t="s">
        <v>130</v>
      </c>
      <c r="E37" s="151" t="s">
        <v>117</v>
      </c>
      <c r="F37" s="151" t="s">
        <v>131</v>
      </c>
      <c r="G37" s="152" t="str">
        <f t="shared" si="0"/>
        <v>No of Racks</v>
      </c>
      <c r="H37" s="151">
        <v>6</v>
      </c>
      <c r="I37" s="151">
        <v>6</v>
      </c>
      <c r="J37" s="180">
        <f t="shared" si="67"/>
        <v>0</v>
      </c>
      <c r="K37" s="151">
        <v>6</v>
      </c>
      <c r="L37" s="151"/>
      <c r="M37" s="181">
        <f>225000/12</f>
        <v>18750</v>
      </c>
      <c r="N37" s="182">
        <f t="shared" si="40"/>
        <v>225000</v>
      </c>
      <c r="O37" s="183" t="str">
        <f t="shared" si="68"/>
        <v>Subscribed</v>
      </c>
      <c r="P37" s="151" t="s">
        <v>108</v>
      </c>
      <c r="Q37" s="151">
        <v>15</v>
      </c>
      <c r="R37" s="209">
        <v>13.04</v>
      </c>
      <c r="S37" s="185">
        <f t="shared" si="36"/>
        <v>1.9600000000000009</v>
      </c>
      <c r="T37" s="151"/>
      <c r="U37" s="186">
        <f t="shared" si="3"/>
        <v>1.9600000000000009</v>
      </c>
      <c r="V37" s="186">
        <f t="shared" si="4"/>
        <v>15</v>
      </c>
      <c r="W37" s="202">
        <f t="shared" si="39"/>
        <v>13.04</v>
      </c>
      <c r="X37" s="186">
        <f>S37*-1</f>
        <v>-1.9600000000000009</v>
      </c>
      <c r="Y37" s="83"/>
      <c r="Z37" s="189" t="str">
        <f t="shared" si="41"/>
        <v>Metered</v>
      </c>
      <c r="AA37" s="151"/>
      <c r="AB37" s="179" t="s">
        <v>145</v>
      </c>
      <c r="AC37" s="190">
        <v>16</v>
      </c>
      <c r="AD37" s="147">
        <v>9618.2000000000007</v>
      </c>
      <c r="AE37" s="120"/>
      <c r="AF37" s="152" t="str">
        <f>IF(AE37="No of Seats","No of Seats",(IF(AE37="Space","Sq Ft","")))</f>
        <v/>
      </c>
      <c r="AG37" s="151">
        <v>1</v>
      </c>
      <c r="AH37" s="151">
        <v>1</v>
      </c>
      <c r="AI37" s="151">
        <f>AG37-AH37</f>
        <v>0</v>
      </c>
      <c r="AJ37" s="151">
        <v>1</v>
      </c>
      <c r="AK37" s="151"/>
      <c r="AL37" s="181">
        <f>40000/12</f>
        <v>3333.3333333333335</v>
      </c>
      <c r="AM37" s="83">
        <f t="shared" si="42"/>
        <v>112500</v>
      </c>
      <c r="AN37" s="83">
        <f t="shared" si="43"/>
        <v>0</v>
      </c>
      <c r="AO37" s="83">
        <f t="shared" si="44"/>
        <v>0</v>
      </c>
      <c r="AP37" s="83">
        <f t="shared" si="45"/>
        <v>3333.3333333333335</v>
      </c>
      <c r="AQ37" s="84"/>
      <c r="AR37" s="85">
        <f t="shared" si="46"/>
        <v>115833.33333333333</v>
      </c>
      <c r="AS37" s="86">
        <f t="shared" si="47"/>
        <v>1390000</v>
      </c>
      <c r="AT37" s="85" t="s">
        <v>134</v>
      </c>
      <c r="AU37" s="69">
        <v>721005779</v>
      </c>
      <c r="AV37" s="191">
        <v>43118</v>
      </c>
      <c r="AW37" s="69">
        <v>4.5</v>
      </c>
      <c r="AX37" s="191">
        <v>43242</v>
      </c>
      <c r="AY37" s="69"/>
      <c r="AZ37" s="323"/>
      <c r="BA37" s="84">
        <f t="shared" si="48"/>
        <v>19305.555555555555</v>
      </c>
      <c r="BB37" s="84">
        <f t="shared" si="49"/>
        <v>7722.2222222222217</v>
      </c>
      <c r="BC37" s="84" t="e">
        <f t="shared" si="50"/>
        <v>#VALUE!</v>
      </c>
      <c r="BD37" s="84" t="e">
        <f t="shared" si="50"/>
        <v>#VALUE!</v>
      </c>
      <c r="BE37" s="84">
        <f t="shared" si="51"/>
        <v>101.09764999999219</v>
      </c>
      <c r="BF37" s="84"/>
      <c r="BG37" s="90">
        <f t="shared" si="52"/>
        <v>112500</v>
      </c>
      <c r="BH37" s="90">
        <f t="shared" si="53"/>
        <v>112500</v>
      </c>
      <c r="BI37" s="90">
        <f t="shared" si="54"/>
        <v>0</v>
      </c>
      <c r="BJ37" s="91" t="e">
        <f t="shared" si="20"/>
        <v>#VALUE!</v>
      </c>
      <c r="BK37" s="91" t="e">
        <f t="shared" si="21"/>
        <v>#VALUE!</v>
      </c>
      <c r="BL37" s="91">
        <f t="shared" si="55"/>
        <v>110983.53525000012</v>
      </c>
      <c r="BM37" s="91" t="e">
        <f t="shared" si="56"/>
        <v>#VALUE!</v>
      </c>
      <c r="BN37" s="91">
        <f t="shared" si="57"/>
        <v>0</v>
      </c>
      <c r="BO37" s="91">
        <f t="shared" si="58"/>
        <v>112500</v>
      </c>
      <c r="BP37" s="91" t="e">
        <f t="shared" si="59"/>
        <v>#VALUE!</v>
      </c>
      <c r="BQ37" s="91" t="e">
        <f t="shared" si="60"/>
        <v>#VALUE!</v>
      </c>
      <c r="BR37" s="91">
        <f t="shared" si="61"/>
        <v>15</v>
      </c>
      <c r="BS37" s="91" t="e">
        <f t="shared" si="62"/>
        <v>#VALUE!</v>
      </c>
      <c r="BT37" s="91" t="e">
        <f t="shared" si="63"/>
        <v>#VALUE!</v>
      </c>
      <c r="BU37" s="91">
        <f t="shared" si="64"/>
        <v>112500</v>
      </c>
      <c r="BV37" s="91" t="e">
        <f t="shared" si="65"/>
        <v>#VALUE!</v>
      </c>
      <c r="BW37" s="91" t="e">
        <f t="shared" si="66"/>
        <v>#VALUE!</v>
      </c>
      <c r="BX37" s="91">
        <f t="shared" si="66"/>
        <v>7500</v>
      </c>
      <c r="BY37" s="91" t="e">
        <f t="shared" si="66"/>
        <v>#VALUE!</v>
      </c>
      <c r="BZ37" s="323"/>
      <c r="CA37" s="323"/>
      <c r="CB37" s="323"/>
      <c r="CC37" s="323"/>
      <c r="CD37" s="323"/>
      <c r="CE37" s="323"/>
      <c r="CF37" s="323"/>
      <c r="CG37" s="323"/>
      <c r="CH37" s="323"/>
      <c r="CI37" s="323"/>
      <c r="CJ37" s="323"/>
      <c r="CK37" s="323"/>
      <c r="CL37" s="323"/>
      <c r="CM37" s="323"/>
      <c r="CN37" s="323"/>
      <c r="CO37" s="323"/>
      <c r="CP37" s="323"/>
      <c r="CQ37" s="323"/>
      <c r="CR37" s="323"/>
      <c r="CS37" s="323"/>
      <c r="CT37" s="323"/>
      <c r="CU37" s="323"/>
      <c r="CV37" s="323"/>
      <c r="CW37" s="323"/>
      <c r="CX37" s="323"/>
      <c r="CY37" s="323"/>
      <c r="CZ37" s="323"/>
      <c r="DA37" s="323"/>
      <c r="DB37" s="323"/>
      <c r="DC37" s="323"/>
      <c r="DD37" s="323"/>
      <c r="DE37" s="323"/>
      <c r="DF37" s="323"/>
      <c r="DG37" s="323"/>
      <c r="DH37" s="323"/>
      <c r="DI37" s="323"/>
      <c r="DJ37" s="323"/>
      <c r="DK37" s="323"/>
      <c r="DL37" s="323"/>
      <c r="DM37" s="323"/>
      <c r="DN37" s="323"/>
      <c r="DO37" s="323"/>
      <c r="DP37" s="323"/>
      <c r="DQ37" s="323"/>
      <c r="DR37" s="323"/>
      <c r="DS37" s="323"/>
      <c r="DT37" s="323"/>
      <c r="DU37" s="323"/>
      <c r="DV37" s="323"/>
      <c r="DW37" s="323"/>
      <c r="DX37" s="323"/>
      <c r="DY37" s="323"/>
      <c r="DZ37" s="323"/>
      <c r="EA37" s="323"/>
      <c r="EB37" s="323"/>
      <c r="EC37" s="323"/>
      <c r="ED37" s="323"/>
      <c r="EE37" s="323"/>
      <c r="EF37" s="323"/>
      <c r="EG37" s="323"/>
      <c r="EH37" s="323"/>
      <c r="EI37" s="323"/>
      <c r="EJ37" s="323"/>
      <c r="EK37" s="323"/>
      <c r="EL37" s="323"/>
      <c r="EM37" s="323"/>
      <c r="EN37" s="323"/>
      <c r="EO37" s="323"/>
      <c r="EP37" s="323"/>
      <c r="EQ37" s="323"/>
      <c r="ER37" s="323"/>
      <c r="ES37" s="323"/>
      <c r="ET37" s="323"/>
      <c r="EU37" s="323"/>
      <c r="EV37" s="323"/>
      <c r="EW37" s="323"/>
      <c r="EX37" s="323"/>
      <c r="EY37" s="323"/>
      <c r="EZ37" s="323"/>
      <c r="FA37" s="323"/>
      <c r="FB37" s="323"/>
      <c r="FC37" s="323"/>
      <c r="FD37" s="323"/>
      <c r="FE37" s="323"/>
      <c r="FF37" s="323"/>
      <c r="FG37" s="323"/>
      <c r="FH37" s="323"/>
      <c r="FI37" s="323"/>
      <c r="FJ37" s="323"/>
      <c r="FK37" s="323"/>
      <c r="FL37" s="323"/>
      <c r="FM37" s="323"/>
      <c r="FN37" s="323"/>
      <c r="FO37" s="323"/>
      <c r="FP37" s="323"/>
      <c r="FQ37" s="323"/>
      <c r="FR37" s="323"/>
      <c r="FS37" s="323"/>
      <c r="FT37" s="323"/>
      <c r="FU37" s="323"/>
      <c r="FV37" s="323"/>
      <c r="FW37" s="323"/>
      <c r="FX37" s="323"/>
      <c r="FY37" s="323"/>
      <c r="FZ37" s="323"/>
      <c r="GA37" s="323"/>
      <c r="GB37" s="323"/>
      <c r="GC37" s="323"/>
      <c r="GD37" s="323"/>
      <c r="GE37" s="323"/>
      <c r="GF37" s="323"/>
      <c r="GG37" s="323"/>
      <c r="GH37" s="323"/>
      <c r="GI37" s="323"/>
      <c r="GJ37" s="323"/>
      <c r="GK37" s="323"/>
      <c r="GL37" s="323"/>
      <c r="GM37" s="323"/>
      <c r="GN37" s="323"/>
      <c r="GO37" s="323"/>
      <c r="GP37" s="323"/>
      <c r="GQ37" s="323"/>
      <c r="GR37" s="323"/>
      <c r="GS37" s="323"/>
      <c r="GT37" s="323"/>
      <c r="GU37" s="323"/>
      <c r="GV37" s="323"/>
      <c r="GW37" s="323"/>
      <c r="GX37" s="323"/>
      <c r="GY37" s="323"/>
      <c r="GZ37" s="323"/>
      <c r="HA37" s="323"/>
      <c r="HB37" s="323"/>
      <c r="HC37" s="323"/>
      <c r="HD37" s="323"/>
      <c r="HE37" s="323"/>
      <c r="HF37" s="323"/>
      <c r="HG37" s="323"/>
      <c r="HH37" s="323"/>
      <c r="HI37" s="323"/>
      <c r="HJ37" s="323"/>
      <c r="HK37" s="323"/>
      <c r="HL37" s="323"/>
      <c r="HM37" s="323"/>
      <c r="HN37" s="323"/>
      <c r="HO37" s="323"/>
      <c r="HP37" s="323"/>
      <c r="HQ37" s="323"/>
      <c r="HR37" s="323"/>
      <c r="HS37" s="323"/>
      <c r="HT37" s="323"/>
      <c r="HU37" s="323"/>
      <c r="HV37" s="323"/>
      <c r="HW37" s="323"/>
      <c r="HX37" s="323"/>
      <c r="HY37" s="323"/>
      <c r="HZ37" s="323"/>
      <c r="IA37" s="323"/>
      <c r="IB37" s="323"/>
      <c r="IC37" s="323"/>
      <c r="ID37" s="323"/>
      <c r="IE37" s="323"/>
      <c r="IF37" s="323"/>
      <c r="IG37" s="323"/>
      <c r="IH37" s="323"/>
      <c r="II37" s="323"/>
      <c r="IJ37" s="323"/>
      <c r="IK37" s="323"/>
      <c r="IL37" s="323"/>
      <c r="IM37" s="323"/>
      <c r="IN37" s="323"/>
      <c r="IO37" s="323"/>
      <c r="IP37" s="323"/>
      <c r="IQ37" s="323"/>
      <c r="IR37" s="323"/>
      <c r="IS37" s="323"/>
      <c r="IT37" s="323"/>
      <c r="IU37" s="323"/>
      <c r="IV37" s="323"/>
    </row>
    <row r="38" spans="1:256" ht="54">
      <c r="A38" s="151" t="s">
        <v>158</v>
      </c>
      <c r="B38" s="151" t="s">
        <v>182</v>
      </c>
      <c r="C38" s="151" t="s">
        <v>124</v>
      </c>
      <c r="D38" s="179" t="s">
        <v>116</v>
      </c>
      <c r="E38" s="151" t="s">
        <v>117</v>
      </c>
      <c r="F38" s="151" t="s">
        <v>118</v>
      </c>
      <c r="G38" s="152" t="str">
        <f t="shared" si="0"/>
        <v>No of Racks</v>
      </c>
      <c r="H38" s="151">
        <v>2</v>
      </c>
      <c r="I38" s="151">
        <v>2</v>
      </c>
      <c r="J38" s="180">
        <f t="shared" si="67"/>
        <v>0</v>
      </c>
      <c r="K38" s="151">
        <v>2</v>
      </c>
      <c r="L38" s="151"/>
      <c r="M38" s="181">
        <f>600000/12</f>
        <v>50000</v>
      </c>
      <c r="N38" s="182">
        <f t="shared" si="40"/>
        <v>600000</v>
      </c>
      <c r="O38" s="183" t="str">
        <f t="shared" si="68"/>
        <v>Rated</v>
      </c>
      <c r="P38" s="151" t="s">
        <v>125</v>
      </c>
      <c r="Q38" s="151">
        <v>7</v>
      </c>
      <c r="R38" s="223">
        <v>1</v>
      </c>
      <c r="S38" s="185">
        <f t="shared" si="36"/>
        <v>6</v>
      </c>
      <c r="T38" s="151"/>
      <c r="U38" s="186">
        <f t="shared" ca="1" si="3"/>
        <v>3</v>
      </c>
      <c r="V38" s="186">
        <f t="shared" ca="1" si="4"/>
        <v>3.5</v>
      </c>
      <c r="W38" s="151">
        <v>1</v>
      </c>
      <c r="X38" s="186"/>
      <c r="Y38" s="83"/>
      <c r="Z38" s="189" t="str">
        <f t="shared" si="41"/>
        <v>Bundled</v>
      </c>
      <c r="AA38" s="151"/>
      <c r="AB38" s="186"/>
      <c r="AC38" s="190"/>
      <c r="AD38" s="237">
        <v>158430</v>
      </c>
      <c r="AE38" s="120"/>
      <c r="AF38" s="152"/>
      <c r="AG38" s="151"/>
      <c r="AH38" s="151"/>
      <c r="AI38" s="151"/>
      <c r="AJ38" s="151"/>
      <c r="AK38" s="151"/>
      <c r="AL38" s="181"/>
      <c r="AM38" s="83">
        <f t="shared" si="42"/>
        <v>100000</v>
      </c>
      <c r="AN38" s="83">
        <f t="shared" si="43"/>
        <v>0</v>
      </c>
      <c r="AO38" s="83">
        <f t="shared" si="44"/>
        <v>0</v>
      </c>
      <c r="AP38" s="83">
        <f t="shared" si="45"/>
        <v>0</v>
      </c>
      <c r="AQ38" s="84"/>
      <c r="AR38" s="85">
        <f t="shared" si="46"/>
        <v>100000</v>
      </c>
      <c r="AS38" s="86">
        <f t="shared" si="47"/>
        <v>1200000</v>
      </c>
      <c r="AT38" s="85" t="s">
        <v>134</v>
      </c>
      <c r="AU38" s="69">
        <v>721004950</v>
      </c>
      <c r="AV38" s="191">
        <v>42783</v>
      </c>
      <c r="AW38" s="69">
        <v>3</v>
      </c>
      <c r="AX38" s="191">
        <v>43848</v>
      </c>
      <c r="AY38" s="69" t="s">
        <v>183</v>
      </c>
      <c r="AZ38" s="323"/>
      <c r="BA38" s="84">
        <f t="shared" si="48"/>
        <v>50000</v>
      </c>
      <c r="BB38" s="84">
        <f t="shared" ca="1" si="49"/>
        <v>0</v>
      </c>
      <c r="BC38" s="84">
        <f t="shared" ca="1" si="50"/>
        <v>-621163.72955503513</v>
      </c>
      <c r="BD38" s="84">
        <f t="shared" ca="1" si="50"/>
        <v>-621163.72955503513</v>
      </c>
      <c r="BE38" s="84">
        <f t="shared" ca="1" si="51"/>
        <v>18148.816571428568</v>
      </c>
      <c r="BF38" s="84"/>
      <c r="BG38" s="90">
        <f t="shared" si="52"/>
        <v>100000</v>
      </c>
      <c r="BH38" s="90">
        <f t="shared" ca="1" si="53"/>
        <v>63520.857999999993</v>
      </c>
      <c r="BI38" s="90">
        <f t="shared" ca="1" si="54"/>
        <v>36479.142000000007</v>
      </c>
      <c r="BJ38" s="91" t="e">
        <f t="shared" si="20"/>
        <v>#VALUE!</v>
      </c>
      <c r="BK38" s="91" t="e">
        <f t="shared" si="21"/>
        <v>#VALUE!</v>
      </c>
      <c r="BL38" s="91">
        <f t="shared" ca="1" si="55"/>
        <v>36479.142000000007</v>
      </c>
      <c r="BM38" s="91">
        <f t="shared" ca="1" si="56"/>
        <v>-2174073.053442623</v>
      </c>
      <c r="BN38" s="91">
        <f t="shared" ca="1" si="57"/>
        <v>21000</v>
      </c>
      <c r="BO38" s="91">
        <f t="shared" ca="1" si="58"/>
        <v>42520.857999999993</v>
      </c>
      <c r="BP38" s="91">
        <f t="shared" ca="1" si="59"/>
        <v>-2237593.911442623</v>
      </c>
      <c r="BQ38" s="91">
        <f t="shared" ca="1" si="60"/>
        <v>-2195073.053442623</v>
      </c>
      <c r="BR38" s="91">
        <f t="shared" ca="1" si="61"/>
        <v>3.5</v>
      </c>
      <c r="BS38" s="91">
        <f t="shared" ca="1" si="62"/>
        <v>-621163.72955503513</v>
      </c>
      <c r="BT38" s="91">
        <f t="shared" ca="1" si="63"/>
        <v>-2237593.911442623</v>
      </c>
      <c r="BU38" s="91">
        <f t="shared" ca="1" si="64"/>
        <v>42520.857999999986</v>
      </c>
      <c r="BV38" s="91">
        <f t="shared" ca="1" si="65"/>
        <v>-2195073.053442623</v>
      </c>
      <c r="BW38" s="91">
        <f t="shared" ca="1" si="66"/>
        <v>-639312.54612646368</v>
      </c>
      <c r="BX38" s="91">
        <f t="shared" ca="1" si="66"/>
        <v>12148.816571428568</v>
      </c>
      <c r="BY38" s="91">
        <f t="shared" ca="1" si="66"/>
        <v>-627163.72955503513</v>
      </c>
      <c r="BZ38" s="323"/>
      <c r="CA38" s="323"/>
      <c r="CB38" s="323"/>
      <c r="CC38" s="323"/>
      <c r="CD38" s="323"/>
      <c r="CE38" s="323"/>
      <c r="CF38" s="323"/>
      <c r="CG38" s="323"/>
      <c r="CH38" s="323"/>
      <c r="CI38" s="323"/>
      <c r="CJ38" s="323"/>
      <c r="CK38" s="323"/>
      <c r="CL38" s="323"/>
      <c r="CM38" s="323"/>
      <c r="CN38" s="323"/>
      <c r="CO38" s="323"/>
      <c r="CP38" s="323"/>
      <c r="CQ38" s="323"/>
      <c r="CR38" s="323"/>
      <c r="CS38" s="323"/>
      <c r="CT38" s="323"/>
      <c r="CU38" s="323"/>
      <c r="CV38" s="323"/>
      <c r="CW38" s="323"/>
      <c r="CX38" s="323"/>
      <c r="CY38" s="323"/>
      <c r="CZ38" s="323"/>
      <c r="DA38" s="323"/>
      <c r="DB38" s="323"/>
      <c r="DC38" s="323"/>
      <c r="DD38" s="323"/>
      <c r="DE38" s="323"/>
      <c r="DF38" s="323"/>
      <c r="DG38" s="323"/>
      <c r="DH38" s="323"/>
      <c r="DI38" s="323"/>
      <c r="DJ38" s="323"/>
      <c r="DK38" s="323"/>
      <c r="DL38" s="323"/>
      <c r="DM38" s="323"/>
      <c r="DN38" s="323"/>
      <c r="DO38" s="323"/>
      <c r="DP38" s="323"/>
      <c r="DQ38" s="323"/>
      <c r="DR38" s="323"/>
      <c r="DS38" s="323"/>
      <c r="DT38" s="323"/>
      <c r="DU38" s="323"/>
      <c r="DV38" s="323"/>
      <c r="DW38" s="323"/>
      <c r="DX38" s="323"/>
      <c r="DY38" s="323"/>
      <c r="DZ38" s="323"/>
      <c r="EA38" s="323"/>
      <c r="EB38" s="323"/>
      <c r="EC38" s="323"/>
      <c r="ED38" s="323"/>
      <c r="EE38" s="323"/>
      <c r="EF38" s="323"/>
      <c r="EG38" s="323"/>
      <c r="EH38" s="323"/>
      <c r="EI38" s="323"/>
      <c r="EJ38" s="323"/>
      <c r="EK38" s="323"/>
      <c r="EL38" s="323"/>
      <c r="EM38" s="323"/>
      <c r="EN38" s="323"/>
      <c r="EO38" s="323"/>
      <c r="EP38" s="323"/>
      <c r="EQ38" s="323"/>
      <c r="ER38" s="323"/>
      <c r="ES38" s="323"/>
      <c r="ET38" s="323"/>
      <c r="EU38" s="323"/>
      <c r="EV38" s="323"/>
      <c r="EW38" s="323"/>
      <c r="EX38" s="323"/>
      <c r="EY38" s="323"/>
      <c r="EZ38" s="323"/>
      <c r="FA38" s="323"/>
      <c r="FB38" s="323"/>
      <c r="FC38" s="323"/>
      <c r="FD38" s="323"/>
      <c r="FE38" s="323"/>
      <c r="FF38" s="323"/>
      <c r="FG38" s="323"/>
      <c r="FH38" s="323"/>
      <c r="FI38" s="323"/>
      <c r="FJ38" s="323"/>
      <c r="FK38" s="323"/>
      <c r="FL38" s="323"/>
      <c r="FM38" s="323"/>
      <c r="FN38" s="323"/>
      <c r="FO38" s="323"/>
      <c r="FP38" s="323"/>
      <c r="FQ38" s="323"/>
      <c r="FR38" s="323"/>
      <c r="FS38" s="323"/>
      <c r="FT38" s="323"/>
      <c r="FU38" s="323"/>
      <c r="FV38" s="323"/>
      <c r="FW38" s="323"/>
      <c r="FX38" s="323"/>
      <c r="FY38" s="323"/>
      <c r="FZ38" s="323"/>
      <c r="GA38" s="323"/>
      <c r="GB38" s="323"/>
      <c r="GC38" s="323"/>
      <c r="GD38" s="323"/>
      <c r="GE38" s="323"/>
      <c r="GF38" s="323"/>
      <c r="GG38" s="323"/>
      <c r="GH38" s="323"/>
      <c r="GI38" s="323"/>
      <c r="GJ38" s="323"/>
      <c r="GK38" s="323"/>
      <c r="GL38" s="323"/>
      <c r="GM38" s="323"/>
      <c r="GN38" s="323"/>
      <c r="GO38" s="323"/>
      <c r="GP38" s="323"/>
      <c r="GQ38" s="323"/>
      <c r="GR38" s="323"/>
      <c r="GS38" s="323"/>
      <c r="GT38" s="323"/>
      <c r="GU38" s="323"/>
      <c r="GV38" s="323"/>
      <c r="GW38" s="323"/>
      <c r="GX38" s="323"/>
      <c r="GY38" s="323"/>
      <c r="GZ38" s="323"/>
      <c r="HA38" s="323"/>
      <c r="HB38" s="323"/>
      <c r="HC38" s="323"/>
      <c r="HD38" s="323"/>
      <c r="HE38" s="323"/>
      <c r="HF38" s="323"/>
      <c r="HG38" s="323"/>
      <c r="HH38" s="323"/>
      <c r="HI38" s="323"/>
      <c r="HJ38" s="323"/>
      <c r="HK38" s="323"/>
      <c r="HL38" s="323"/>
      <c r="HM38" s="323"/>
      <c r="HN38" s="323"/>
      <c r="HO38" s="323"/>
      <c r="HP38" s="323"/>
      <c r="HQ38" s="323"/>
      <c r="HR38" s="323"/>
      <c r="HS38" s="323"/>
      <c r="HT38" s="323"/>
      <c r="HU38" s="323"/>
      <c r="HV38" s="323"/>
      <c r="HW38" s="323"/>
      <c r="HX38" s="323"/>
      <c r="HY38" s="323"/>
      <c r="HZ38" s="323"/>
      <c r="IA38" s="323"/>
      <c r="IB38" s="323"/>
      <c r="IC38" s="323"/>
      <c r="ID38" s="323"/>
      <c r="IE38" s="323"/>
      <c r="IF38" s="323"/>
      <c r="IG38" s="323"/>
      <c r="IH38" s="323"/>
      <c r="II38" s="323"/>
      <c r="IJ38" s="323"/>
      <c r="IK38" s="323"/>
      <c r="IL38" s="323"/>
      <c r="IM38" s="323"/>
      <c r="IN38" s="323"/>
      <c r="IO38" s="323"/>
      <c r="IP38" s="323"/>
      <c r="IQ38" s="323"/>
      <c r="IR38" s="323"/>
      <c r="IS38" s="323"/>
      <c r="IT38" s="323"/>
      <c r="IU38" s="323"/>
      <c r="IV38" s="323"/>
    </row>
    <row r="39" spans="1:256" ht="54">
      <c r="A39" s="178" t="s">
        <v>136</v>
      </c>
      <c r="B39" s="200" t="s">
        <v>184</v>
      </c>
      <c r="C39" s="151" t="s">
        <v>124</v>
      </c>
      <c r="D39" s="179" t="s">
        <v>116</v>
      </c>
      <c r="E39" s="151" t="s">
        <v>117</v>
      </c>
      <c r="F39" s="151" t="s">
        <v>118</v>
      </c>
      <c r="G39" s="152" t="str">
        <f t="shared" si="0"/>
        <v>No of Racks</v>
      </c>
      <c r="H39" s="151">
        <v>2</v>
      </c>
      <c r="I39" s="151">
        <v>2</v>
      </c>
      <c r="J39" s="180">
        <f t="shared" si="67"/>
        <v>0</v>
      </c>
      <c r="K39" s="151">
        <v>2</v>
      </c>
      <c r="L39" s="151"/>
      <c r="M39" s="181">
        <f>(620000)/12</f>
        <v>51666.666666666664</v>
      </c>
      <c r="N39" s="182">
        <f t="shared" si="40"/>
        <v>620000</v>
      </c>
      <c r="O39" s="183" t="str">
        <f t="shared" si="68"/>
        <v>Rated</v>
      </c>
      <c r="P39" s="151" t="s">
        <v>125</v>
      </c>
      <c r="Q39" s="151">
        <v>12</v>
      </c>
      <c r="R39" s="238">
        <v>0</v>
      </c>
      <c r="S39" s="185">
        <f t="shared" si="36"/>
        <v>12</v>
      </c>
      <c r="T39" s="151"/>
      <c r="U39" s="186">
        <f t="shared" ca="1" si="3"/>
        <v>6</v>
      </c>
      <c r="V39" s="186">
        <f t="shared" ca="1" si="4"/>
        <v>6</v>
      </c>
      <c r="W39" s="236">
        <f>R39</f>
        <v>0</v>
      </c>
      <c r="X39" s="186">
        <f>S39*-1</f>
        <v>-12</v>
      </c>
      <c r="Y39" s="83">
        <f>95000/12</f>
        <v>7916.666666666667</v>
      </c>
      <c r="Z39" s="189" t="str">
        <f t="shared" si="41"/>
        <v>Bundled</v>
      </c>
      <c r="AA39" s="151"/>
      <c r="AB39" s="186"/>
      <c r="AC39" s="190"/>
      <c r="AD39" s="199"/>
      <c r="AE39" s="120"/>
      <c r="AF39" s="152"/>
      <c r="AG39" s="151"/>
      <c r="AH39" s="151"/>
      <c r="AI39" s="151"/>
      <c r="AJ39" s="151"/>
      <c r="AK39" s="151"/>
      <c r="AL39" s="181"/>
      <c r="AM39" s="83">
        <f t="shared" si="42"/>
        <v>103333.33333333333</v>
      </c>
      <c r="AN39" s="83">
        <f t="shared" si="43"/>
        <v>-95000</v>
      </c>
      <c r="AO39" s="83">
        <f t="shared" si="44"/>
        <v>0</v>
      </c>
      <c r="AP39" s="83">
        <f t="shared" si="45"/>
        <v>0</v>
      </c>
      <c r="AQ39" s="84">
        <f>(32000+120000+12000+200000)/12</f>
        <v>30333.333333333332</v>
      </c>
      <c r="AR39" s="85">
        <f t="shared" si="46"/>
        <v>38666.666666666657</v>
      </c>
      <c r="AS39" s="86">
        <f t="shared" si="47"/>
        <v>463999.99999999988</v>
      </c>
      <c r="AT39" s="85" t="s">
        <v>134</v>
      </c>
      <c r="AU39" s="69" t="s">
        <v>185</v>
      </c>
      <c r="AV39" s="191">
        <v>42811</v>
      </c>
      <c r="AW39" s="69">
        <v>1</v>
      </c>
      <c r="AX39" s="191">
        <v>43149</v>
      </c>
      <c r="AY39" s="69" t="s">
        <v>186</v>
      </c>
      <c r="AZ39" s="323"/>
      <c r="BA39" s="84">
        <f t="shared" si="48"/>
        <v>19333.333333333328</v>
      </c>
      <c r="BB39" s="84">
        <f t="shared" ca="1" si="49"/>
        <v>0</v>
      </c>
      <c r="BC39" s="84">
        <f t="shared" ca="1" si="50"/>
        <v>1388.888888888888</v>
      </c>
      <c r="BD39" s="84">
        <f t="shared" ca="1" si="50"/>
        <v>-9033.7231111111123</v>
      </c>
      <c r="BE39" s="84">
        <f t="shared" ca="1" si="51"/>
        <v>-9033.7231111111123</v>
      </c>
      <c r="BF39" s="84"/>
      <c r="BG39" s="90">
        <f t="shared" si="52"/>
        <v>8333.3333333333285</v>
      </c>
      <c r="BH39" s="90">
        <f t="shared" ca="1" si="53"/>
        <v>0</v>
      </c>
      <c r="BI39" s="90">
        <f t="shared" ca="1" si="54"/>
        <v>8333.3333333333285</v>
      </c>
      <c r="BJ39" s="91">
        <f t="shared" si="20"/>
        <v>0</v>
      </c>
      <c r="BK39" s="91">
        <f t="shared" ca="1" si="21"/>
        <v>62535.672000000006</v>
      </c>
      <c r="BL39" s="91">
        <f t="shared" ca="1" si="55"/>
        <v>62535.672000000006</v>
      </c>
      <c r="BM39" s="91">
        <f t="shared" ca="1" si="56"/>
        <v>8333.3333333333285</v>
      </c>
      <c r="BN39" s="91">
        <f t="shared" ca="1" si="57"/>
        <v>36000</v>
      </c>
      <c r="BO39" s="91">
        <f t="shared" ca="1" si="58"/>
        <v>-36000</v>
      </c>
      <c r="BP39" s="91">
        <f t="shared" ca="1" si="59"/>
        <v>8333.3333333333285</v>
      </c>
      <c r="BQ39" s="91">
        <f t="shared" ca="1" si="60"/>
        <v>-27666.666666666672</v>
      </c>
      <c r="BR39" s="91">
        <f t="shared" ca="1" si="61"/>
        <v>6</v>
      </c>
      <c r="BS39" s="91">
        <f t="shared" ca="1" si="62"/>
        <v>1388.888888888888</v>
      </c>
      <c r="BT39" s="91">
        <f t="shared" ca="1" si="63"/>
        <v>62535.672000000006</v>
      </c>
      <c r="BU39" s="91">
        <f t="shared" ca="1" si="64"/>
        <v>-90202.338666666677</v>
      </c>
      <c r="BV39" s="91">
        <f t="shared" ca="1" si="65"/>
        <v>-27666.666666666672</v>
      </c>
      <c r="BW39" s="91">
        <f t="shared" ca="1" si="66"/>
        <v>10422.612000000001</v>
      </c>
      <c r="BX39" s="91">
        <f t="shared" ca="1" si="66"/>
        <v>-15033.723111111112</v>
      </c>
      <c r="BY39" s="91">
        <f t="shared" ca="1" si="66"/>
        <v>-4611.1111111111122</v>
      </c>
      <c r="BZ39" s="323"/>
      <c r="CA39" s="323"/>
      <c r="CB39" s="323"/>
      <c r="CC39" s="323"/>
      <c r="CD39" s="323"/>
      <c r="CE39" s="323"/>
      <c r="CF39" s="323"/>
      <c r="CG39" s="323"/>
      <c r="CH39" s="323"/>
      <c r="CI39" s="323"/>
      <c r="CJ39" s="323"/>
      <c r="CK39" s="323"/>
      <c r="CL39" s="323"/>
      <c r="CM39" s="323"/>
      <c r="CN39" s="323"/>
      <c r="CO39" s="323"/>
      <c r="CP39" s="323"/>
      <c r="CQ39" s="323"/>
      <c r="CR39" s="323"/>
      <c r="CS39" s="323"/>
      <c r="CT39" s="323"/>
      <c r="CU39" s="323"/>
      <c r="CV39" s="323"/>
      <c r="CW39" s="323"/>
      <c r="CX39" s="323"/>
      <c r="CY39" s="323"/>
      <c r="CZ39" s="323"/>
      <c r="DA39" s="323"/>
      <c r="DB39" s="323"/>
      <c r="DC39" s="323"/>
      <c r="DD39" s="323"/>
      <c r="DE39" s="323"/>
      <c r="DF39" s="323"/>
      <c r="DG39" s="323"/>
      <c r="DH39" s="323"/>
      <c r="DI39" s="323"/>
      <c r="DJ39" s="323"/>
      <c r="DK39" s="323"/>
      <c r="DL39" s="323"/>
      <c r="DM39" s="323"/>
      <c r="DN39" s="323"/>
      <c r="DO39" s="323"/>
      <c r="DP39" s="323"/>
      <c r="DQ39" s="323"/>
      <c r="DR39" s="323"/>
      <c r="DS39" s="323"/>
      <c r="DT39" s="323"/>
      <c r="DU39" s="323"/>
      <c r="DV39" s="323"/>
      <c r="DW39" s="323"/>
      <c r="DX39" s="323"/>
      <c r="DY39" s="323"/>
      <c r="DZ39" s="323"/>
      <c r="EA39" s="323"/>
      <c r="EB39" s="323"/>
      <c r="EC39" s="323"/>
      <c r="ED39" s="323"/>
      <c r="EE39" s="323"/>
      <c r="EF39" s="323"/>
      <c r="EG39" s="323"/>
      <c r="EH39" s="323"/>
      <c r="EI39" s="323"/>
      <c r="EJ39" s="323"/>
      <c r="EK39" s="323"/>
      <c r="EL39" s="323"/>
      <c r="EM39" s="323"/>
      <c r="EN39" s="323"/>
      <c r="EO39" s="323"/>
      <c r="EP39" s="323"/>
      <c r="EQ39" s="323"/>
      <c r="ER39" s="323"/>
      <c r="ES39" s="323"/>
      <c r="ET39" s="323"/>
      <c r="EU39" s="323"/>
      <c r="EV39" s="323"/>
      <c r="EW39" s="323"/>
      <c r="EX39" s="323"/>
      <c r="EY39" s="323"/>
      <c r="EZ39" s="323"/>
      <c r="FA39" s="323"/>
      <c r="FB39" s="323"/>
      <c r="FC39" s="323"/>
      <c r="FD39" s="323"/>
      <c r="FE39" s="323"/>
      <c r="FF39" s="323"/>
      <c r="FG39" s="323"/>
      <c r="FH39" s="323"/>
      <c r="FI39" s="323"/>
      <c r="FJ39" s="323"/>
      <c r="FK39" s="323"/>
      <c r="FL39" s="323"/>
      <c r="FM39" s="323"/>
      <c r="FN39" s="323"/>
      <c r="FO39" s="323"/>
      <c r="FP39" s="323"/>
      <c r="FQ39" s="323"/>
      <c r="FR39" s="323"/>
      <c r="FS39" s="323"/>
      <c r="FT39" s="323"/>
      <c r="FU39" s="323"/>
      <c r="FV39" s="323"/>
      <c r="FW39" s="323"/>
      <c r="FX39" s="323"/>
      <c r="FY39" s="323"/>
      <c r="FZ39" s="323"/>
      <c r="GA39" s="323"/>
      <c r="GB39" s="323"/>
      <c r="GC39" s="323"/>
      <c r="GD39" s="323"/>
      <c r="GE39" s="323"/>
      <c r="GF39" s="323"/>
      <c r="GG39" s="323"/>
      <c r="GH39" s="323"/>
      <c r="GI39" s="323"/>
      <c r="GJ39" s="323"/>
      <c r="GK39" s="323"/>
      <c r="GL39" s="323"/>
      <c r="GM39" s="323"/>
      <c r="GN39" s="323"/>
      <c r="GO39" s="323"/>
      <c r="GP39" s="323"/>
      <c r="GQ39" s="323"/>
      <c r="GR39" s="323"/>
      <c r="GS39" s="323"/>
      <c r="GT39" s="323"/>
      <c r="GU39" s="323"/>
      <c r="GV39" s="323"/>
      <c r="GW39" s="323"/>
      <c r="GX39" s="323"/>
      <c r="GY39" s="323"/>
      <c r="GZ39" s="323"/>
      <c r="HA39" s="323"/>
      <c r="HB39" s="323"/>
      <c r="HC39" s="323"/>
      <c r="HD39" s="323"/>
      <c r="HE39" s="323"/>
      <c r="HF39" s="323"/>
      <c r="HG39" s="323"/>
      <c r="HH39" s="323"/>
      <c r="HI39" s="323"/>
      <c r="HJ39" s="323"/>
      <c r="HK39" s="323"/>
      <c r="HL39" s="323"/>
      <c r="HM39" s="323"/>
      <c r="HN39" s="323"/>
      <c r="HO39" s="323"/>
      <c r="HP39" s="323"/>
      <c r="HQ39" s="323"/>
      <c r="HR39" s="323"/>
      <c r="HS39" s="323"/>
      <c r="HT39" s="323"/>
      <c r="HU39" s="323"/>
      <c r="HV39" s="323"/>
      <c r="HW39" s="323"/>
      <c r="HX39" s="323"/>
      <c r="HY39" s="323"/>
      <c r="HZ39" s="323"/>
      <c r="IA39" s="323"/>
      <c r="IB39" s="323"/>
      <c r="IC39" s="323"/>
      <c r="ID39" s="323"/>
      <c r="IE39" s="323"/>
      <c r="IF39" s="323"/>
      <c r="IG39" s="323"/>
      <c r="IH39" s="323"/>
      <c r="II39" s="323"/>
      <c r="IJ39" s="323"/>
      <c r="IK39" s="323"/>
      <c r="IL39" s="323"/>
      <c r="IM39" s="323"/>
      <c r="IN39" s="323"/>
      <c r="IO39" s="323"/>
      <c r="IP39" s="323"/>
      <c r="IQ39" s="323"/>
      <c r="IR39" s="323"/>
      <c r="IS39" s="323"/>
      <c r="IT39" s="323"/>
      <c r="IU39" s="323"/>
      <c r="IV39" s="323"/>
    </row>
    <row r="40" spans="1:256" ht="42.75">
      <c r="A40" s="178" t="s">
        <v>136</v>
      </c>
      <c r="B40" s="178" t="s">
        <v>187</v>
      </c>
      <c r="C40" s="151" t="s">
        <v>124</v>
      </c>
      <c r="D40" s="179" t="s">
        <v>116</v>
      </c>
      <c r="E40" s="151" t="s">
        <v>117</v>
      </c>
      <c r="F40" s="151" t="s">
        <v>131</v>
      </c>
      <c r="G40" s="152" t="str">
        <f t="shared" si="0"/>
        <v>No of Racks</v>
      </c>
      <c r="H40" s="151">
        <v>6</v>
      </c>
      <c r="I40" s="151">
        <v>6</v>
      </c>
      <c r="J40" s="180">
        <f t="shared" si="67"/>
        <v>0</v>
      </c>
      <c r="K40" s="151">
        <v>6</v>
      </c>
      <c r="L40" s="151"/>
      <c r="M40" s="181">
        <f>(600000)/12</f>
        <v>50000</v>
      </c>
      <c r="N40" s="182">
        <f t="shared" si="40"/>
        <v>600000</v>
      </c>
      <c r="O40" s="183" t="str">
        <f t="shared" si="68"/>
        <v>Rated</v>
      </c>
      <c r="P40" s="151" t="s">
        <v>125</v>
      </c>
      <c r="Q40" s="151">
        <v>36</v>
      </c>
      <c r="R40" s="223">
        <v>49.5</v>
      </c>
      <c r="S40" s="185">
        <f t="shared" si="36"/>
        <v>-13.5</v>
      </c>
      <c r="T40" s="151"/>
      <c r="U40" s="186">
        <f t="shared" si="3"/>
        <v>0</v>
      </c>
      <c r="V40" s="186">
        <f t="shared" ca="1" si="4"/>
        <v>18</v>
      </c>
      <c r="W40" s="236">
        <f>R40</f>
        <v>49.5</v>
      </c>
      <c r="X40" s="186">
        <f>S40*-1</f>
        <v>13.5</v>
      </c>
      <c r="Y40" s="83">
        <f>90000/12</f>
        <v>7500</v>
      </c>
      <c r="Z40" s="189" t="str">
        <f t="shared" si="41"/>
        <v>Bundled</v>
      </c>
      <c r="AA40" s="151"/>
      <c r="AB40" s="186"/>
      <c r="AC40" s="190"/>
      <c r="AD40" s="199"/>
      <c r="AE40" s="120"/>
      <c r="AF40" s="152"/>
      <c r="AG40" s="151"/>
      <c r="AH40" s="151"/>
      <c r="AI40" s="151"/>
      <c r="AJ40" s="151"/>
      <c r="AK40" s="151"/>
      <c r="AL40" s="181"/>
      <c r="AM40" s="83">
        <f t="shared" si="42"/>
        <v>300000</v>
      </c>
      <c r="AN40" s="83">
        <f t="shared" si="43"/>
        <v>101250</v>
      </c>
      <c r="AO40" s="83">
        <f t="shared" si="44"/>
        <v>0</v>
      </c>
      <c r="AP40" s="83">
        <f t="shared" si="45"/>
        <v>0</v>
      </c>
      <c r="AQ40" s="84">
        <f>10000+10000/12</f>
        <v>10833.333333333334</v>
      </c>
      <c r="AR40" s="85">
        <f t="shared" si="46"/>
        <v>412083.33333333331</v>
      </c>
      <c r="AS40" s="86">
        <f t="shared" si="47"/>
        <v>4945000</v>
      </c>
      <c r="AT40" s="85" t="s">
        <v>134</v>
      </c>
      <c r="AU40" s="69">
        <v>721005411</v>
      </c>
      <c r="AV40" s="191">
        <v>42995</v>
      </c>
      <c r="AW40" s="69">
        <v>5</v>
      </c>
      <c r="AX40" s="191">
        <v>44774</v>
      </c>
      <c r="AY40" s="69" t="s">
        <v>188</v>
      </c>
      <c r="AZ40" s="323"/>
      <c r="BA40" s="84">
        <f t="shared" si="48"/>
        <v>68680.555555555547</v>
      </c>
      <c r="BB40" s="84">
        <f t="shared" ca="1" si="49"/>
        <v>0</v>
      </c>
      <c r="BC40" s="84">
        <f t="shared" ca="1" si="50"/>
        <v>-6370.5163333333367</v>
      </c>
      <c r="BD40" s="84">
        <f t="shared" ca="1" si="50"/>
        <v>-6370.5163333333367</v>
      </c>
      <c r="BE40" s="84">
        <f t="shared" ca="1" si="51"/>
        <v>11869.054666666667</v>
      </c>
      <c r="BF40" s="84"/>
      <c r="BG40" s="90">
        <f t="shared" si="52"/>
        <v>401250</v>
      </c>
      <c r="BH40" s="90">
        <f t="shared" ca="1" si="53"/>
        <v>213642.984</v>
      </c>
      <c r="BI40" s="90">
        <f t="shared" ca="1" si="54"/>
        <v>187607.016</v>
      </c>
      <c r="BJ40" s="91">
        <f t="shared" si="20"/>
        <v>430877.25450000045</v>
      </c>
      <c r="BK40" s="91">
        <f t="shared" si="21"/>
        <v>430877.25450000045</v>
      </c>
      <c r="BL40" s="91">
        <f t="shared" ca="1" si="55"/>
        <v>187607.016</v>
      </c>
      <c r="BM40" s="91">
        <f t="shared" ca="1" si="56"/>
        <v>-114669.29400000005</v>
      </c>
      <c r="BN40" s="91">
        <f t="shared" ca="1" si="57"/>
        <v>108000</v>
      </c>
      <c r="BO40" s="91">
        <f t="shared" ca="1" si="58"/>
        <v>105642.984</v>
      </c>
      <c r="BP40" s="91">
        <f t="shared" ca="1" si="59"/>
        <v>-328312.27800000005</v>
      </c>
      <c r="BQ40" s="91">
        <f t="shared" ca="1" si="60"/>
        <v>-222669.29400000005</v>
      </c>
      <c r="BR40" s="91">
        <f t="shared" ca="1" si="61"/>
        <v>18</v>
      </c>
      <c r="BS40" s="91">
        <f t="shared" ca="1" si="62"/>
        <v>-6370.5163333333367</v>
      </c>
      <c r="BT40" s="91">
        <f t="shared" ca="1" si="63"/>
        <v>-328312.27800000005</v>
      </c>
      <c r="BU40" s="91">
        <f t="shared" ca="1" si="64"/>
        <v>105642.984</v>
      </c>
      <c r="BV40" s="91">
        <f t="shared" ca="1" si="65"/>
        <v>-222669.29400000005</v>
      </c>
      <c r="BW40" s="91">
        <f t="shared" ca="1" si="66"/>
        <v>-18239.571000000004</v>
      </c>
      <c r="BX40" s="91">
        <f t="shared" ca="1" si="66"/>
        <v>5869.0546666666669</v>
      </c>
      <c r="BY40" s="91">
        <f t="shared" ca="1" si="66"/>
        <v>-12370.516333333337</v>
      </c>
      <c r="BZ40" s="323"/>
      <c r="CA40" s="323"/>
      <c r="CB40" s="323"/>
      <c r="CC40" s="323"/>
      <c r="CD40" s="323"/>
      <c r="CE40" s="323"/>
      <c r="CF40" s="323"/>
      <c r="CG40" s="323"/>
      <c r="CH40" s="323"/>
      <c r="CI40" s="323"/>
      <c r="CJ40" s="323"/>
      <c r="CK40" s="323"/>
      <c r="CL40" s="323"/>
      <c r="CM40" s="323"/>
      <c r="CN40" s="323"/>
      <c r="CO40" s="323"/>
      <c r="CP40" s="323"/>
      <c r="CQ40" s="323"/>
      <c r="CR40" s="323"/>
      <c r="CS40" s="323"/>
      <c r="CT40" s="323"/>
      <c r="CU40" s="323"/>
      <c r="CV40" s="323"/>
      <c r="CW40" s="323"/>
      <c r="CX40" s="323"/>
      <c r="CY40" s="323"/>
      <c r="CZ40" s="323"/>
      <c r="DA40" s="323"/>
      <c r="DB40" s="323"/>
      <c r="DC40" s="323"/>
      <c r="DD40" s="323"/>
      <c r="DE40" s="323"/>
      <c r="DF40" s="323"/>
      <c r="DG40" s="323"/>
      <c r="DH40" s="323"/>
      <c r="DI40" s="323"/>
      <c r="DJ40" s="323"/>
      <c r="DK40" s="323"/>
      <c r="DL40" s="323"/>
      <c r="DM40" s="323"/>
      <c r="DN40" s="323"/>
      <c r="DO40" s="323"/>
      <c r="DP40" s="323"/>
      <c r="DQ40" s="323"/>
      <c r="DR40" s="323"/>
      <c r="DS40" s="323"/>
      <c r="DT40" s="323"/>
      <c r="DU40" s="323"/>
      <c r="DV40" s="323"/>
      <c r="DW40" s="323"/>
      <c r="DX40" s="323"/>
      <c r="DY40" s="323"/>
      <c r="DZ40" s="323"/>
      <c r="EA40" s="323"/>
      <c r="EB40" s="323"/>
      <c r="EC40" s="323"/>
      <c r="ED40" s="323"/>
      <c r="EE40" s="323"/>
      <c r="EF40" s="323"/>
      <c r="EG40" s="323"/>
      <c r="EH40" s="323"/>
      <c r="EI40" s="323"/>
      <c r="EJ40" s="323"/>
      <c r="EK40" s="323"/>
      <c r="EL40" s="323"/>
      <c r="EM40" s="323"/>
      <c r="EN40" s="323"/>
      <c r="EO40" s="323"/>
      <c r="EP40" s="323"/>
      <c r="EQ40" s="323"/>
      <c r="ER40" s="323"/>
      <c r="ES40" s="323"/>
      <c r="ET40" s="323"/>
      <c r="EU40" s="323"/>
      <c r="EV40" s="323"/>
      <c r="EW40" s="323"/>
      <c r="EX40" s="323"/>
      <c r="EY40" s="323"/>
      <c r="EZ40" s="323"/>
      <c r="FA40" s="323"/>
      <c r="FB40" s="323"/>
      <c r="FC40" s="323"/>
      <c r="FD40" s="323"/>
      <c r="FE40" s="323"/>
      <c r="FF40" s="323"/>
      <c r="FG40" s="323"/>
      <c r="FH40" s="323"/>
      <c r="FI40" s="323"/>
      <c r="FJ40" s="323"/>
      <c r="FK40" s="323"/>
      <c r="FL40" s="323"/>
      <c r="FM40" s="323"/>
      <c r="FN40" s="323"/>
      <c r="FO40" s="323"/>
      <c r="FP40" s="323"/>
      <c r="FQ40" s="323"/>
      <c r="FR40" s="323"/>
      <c r="FS40" s="323"/>
      <c r="FT40" s="323"/>
      <c r="FU40" s="323"/>
      <c r="FV40" s="323"/>
      <c r="FW40" s="323"/>
      <c r="FX40" s="323"/>
      <c r="FY40" s="323"/>
      <c r="FZ40" s="323"/>
      <c r="GA40" s="323"/>
      <c r="GB40" s="323"/>
      <c r="GC40" s="323"/>
      <c r="GD40" s="323"/>
      <c r="GE40" s="323"/>
      <c r="GF40" s="323"/>
      <c r="GG40" s="323"/>
      <c r="GH40" s="323"/>
      <c r="GI40" s="323"/>
      <c r="GJ40" s="323"/>
      <c r="GK40" s="323"/>
      <c r="GL40" s="323"/>
      <c r="GM40" s="323"/>
      <c r="GN40" s="323"/>
      <c r="GO40" s="323"/>
      <c r="GP40" s="323"/>
      <c r="GQ40" s="323"/>
      <c r="GR40" s="323"/>
      <c r="GS40" s="323"/>
      <c r="GT40" s="323"/>
      <c r="GU40" s="323"/>
      <c r="GV40" s="323"/>
      <c r="GW40" s="323"/>
      <c r="GX40" s="323"/>
      <c r="GY40" s="323"/>
      <c r="GZ40" s="323"/>
      <c r="HA40" s="323"/>
      <c r="HB40" s="323"/>
      <c r="HC40" s="323"/>
      <c r="HD40" s="323"/>
      <c r="HE40" s="323"/>
      <c r="HF40" s="323"/>
      <c r="HG40" s="323"/>
      <c r="HH40" s="323"/>
      <c r="HI40" s="323"/>
      <c r="HJ40" s="323"/>
      <c r="HK40" s="323"/>
      <c r="HL40" s="323"/>
      <c r="HM40" s="323"/>
      <c r="HN40" s="323"/>
      <c r="HO40" s="323"/>
      <c r="HP40" s="323"/>
      <c r="HQ40" s="323"/>
      <c r="HR40" s="323"/>
      <c r="HS40" s="323"/>
      <c r="HT40" s="323"/>
      <c r="HU40" s="323"/>
      <c r="HV40" s="323"/>
      <c r="HW40" s="323"/>
      <c r="HX40" s="323"/>
      <c r="HY40" s="323"/>
      <c r="HZ40" s="323"/>
      <c r="IA40" s="323"/>
      <c r="IB40" s="323"/>
      <c r="IC40" s="323"/>
      <c r="ID40" s="323"/>
      <c r="IE40" s="323"/>
      <c r="IF40" s="323"/>
      <c r="IG40" s="323"/>
      <c r="IH40" s="323"/>
      <c r="II40" s="323"/>
      <c r="IJ40" s="323"/>
      <c r="IK40" s="323"/>
      <c r="IL40" s="323"/>
      <c r="IM40" s="323"/>
      <c r="IN40" s="323"/>
      <c r="IO40" s="323"/>
      <c r="IP40" s="323"/>
      <c r="IQ40" s="323"/>
      <c r="IR40" s="323"/>
      <c r="IS40" s="323"/>
      <c r="IT40" s="323"/>
      <c r="IU40" s="323"/>
      <c r="IV40" s="323"/>
    </row>
    <row r="41" spans="1:256" ht="42.75">
      <c r="A41" s="151" t="s">
        <v>158</v>
      </c>
      <c r="B41" s="151" t="s">
        <v>189</v>
      </c>
      <c r="C41" s="151" t="s">
        <v>124</v>
      </c>
      <c r="D41" s="179" t="s">
        <v>116</v>
      </c>
      <c r="E41" s="151" t="s">
        <v>117</v>
      </c>
      <c r="F41" s="151" t="s">
        <v>118</v>
      </c>
      <c r="G41" s="152" t="str">
        <f t="shared" si="0"/>
        <v>No of Racks</v>
      </c>
      <c r="H41" s="151">
        <v>1</v>
      </c>
      <c r="I41" s="151">
        <v>1</v>
      </c>
      <c r="J41" s="180">
        <f t="shared" si="67"/>
        <v>0</v>
      </c>
      <c r="K41" s="151">
        <v>1</v>
      </c>
      <c r="L41" s="151"/>
      <c r="M41" s="181">
        <f>425000/12</f>
        <v>35416.666666666664</v>
      </c>
      <c r="N41" s="182">
        <f t="shared" si="40"/>
        <v>425000</v>
      </c>
      <c r="O41" s="183" t="str">
        <f t="shared" si="68"/>
        <v>Rated</v>
      </c>
      <c r="P41" s="151" t="s">
        <v>125</v>
      </c>
      <c r="Q41" s="151">
        <v>3</v>
      </c>
      <c r="R41" s="151">
        <v>0.6</v>
      </c>
      <c r="S41" s="185">
        <f t="shared" si="36"/>
        <v>2.4</v>
      </c>
      <c r="T41" s="151"/>
      <c r="U41" s="186">
        <f t="shared" ca="1" si="3"/>
        <v>1.2</v>
      </c>
      <c r="V41" s="186">
        <f t="shared" ca="1" si="4"/>
        <v>1.5</v>
      </c>
      <c r="W41" s="151">
        <v>0.6</v>
      </c>
      <c r="X41" s="186"/>
      <c r="Y41" s="83">
        <f>110000/12</f>
        <v>9166.6666666666661</v>
      </c>
      <c r="Z41" s="189" t="str">
        <f t="shared" si="41"/>
        <v>Bundled</v>
      </c>
      <c r="AA41" s="151"/>
      <c r="AB41" s="186"/>
      <c r="AC41" s="190"/>
      <c r="AD41" s="199"/>
      <c r="AE41" s="120"/>
      <c r="AF41" s="152"/>
      <c r="AG41" s="151"/>
      <c r="AH41" s="151"/>
      <c r="AI41" s="151"/>
      <c r="AJ41" s="151"/>
      <c r="AK41" s="151"/>
      <c r="AL41" s="181"/>
      <c r="AM41" s="83">
        <f t="shared" si="42"/>
        <v>35416.666666666664</v>
      </c>
      <c r="AN41" s="83">
        <f t="shared" si="43"/>
        <v>0</v>
      </c>
      <c r="AO41" s="83">
        <f t="shared" si="44"/>
        <v>0</v>
      </c>
      <c r="AP41" s="83">
        <f t="shared" si="45"/>
        <v>0</v>
      </c>
      <c r="AQ41" s="84"/>
      <c r="AR41" s="85">
        <f t="shared" si="46"/>
        <v>35416.666666666664</v>
      </c>
      <c r="AS41" s="86">
        <f t="shared" si="47"/>
        <v>425000</v>
      </c>
      <c r="AT41" s="85" t="s">
        <v>190</v>
      </c>
      <c r="AU41" s="69">
        <v>721004131</v>
      </c>
      <c r="AV41" s="191">
        <v>43602</v>
      </c>
      <c r="AW41" s="69">
        <v>1</v>
      </c>
      <c r="AX41" s="191">
        <v>43969</v>
      </c>
      <c r="AY41" s="69"/>
      <c r="AZ41" s="323"/>
      <c r="BA41" s="84"/>
      <c r="BB41" s="84"/>
      <c r="BC41" s="84">
        <f t="shared" ca="1" si="50"/>
        <v>19442.06631111111</v>
      </c>
      <c r="BD41" s="84">
        <f t="shared" ca="1" si="50"/>
        <v>11103.976711111109</v>
      </c>
      <c r="BE41" s="84">
        <f t="shared" ca="1" si="51"/>
        <v>13188.499111111109</v>
      </c>
      <c r="BF41" s="84"/>
      <c r="BG41" s="90">
        <f t="shared" si="52"/>
        <v>35416.666666666664</v>
      </c>
      <c r="BH41" s="90">
        <f t="shared" ca="1" si="53"/>
        <v>19782.748666666663</v>
      </c>
      <c r="BI41" s="90">
        <f t="shared" ca="1" si="54"/>
        <v>15633.918000000001</v>
      </c>
      <c r="BJ41" s="91">
        <f t="shared" si="20"/>
        <v>5222.7546000000057</v>
      </c>
      <c r="BK41" s="91">
        <f t="shared" ca="1" si="21"/>
        <v>18760.7016</v>
      </c>
      <c r="BL41" s="91">
        <f t="shared" ca="1" si="55"/>
        <v>15633.918000000001</v>
      </c>
      <c r="BM41" s="91">
        <f t="shared" ca="1" si="56"/>
        <v>29163.099466666667</v>
      </c>
      <c r="BN41" s="91">
        <f t="shared" ca="1" si="57"/>
        <v>9000</v>
      </c>
      <c r="BO41" s="91">
        <f t="shared" ca="1" si="58"/>
        <v>10782.748666666663</v>
      </c>
      <c r="BP41" s="91">
        <f t="shared" ca="1" si="59"/>
        <v>9380.3508000000002</v>
      </c>
      <c r="BQ41" s="91">
        <f t="shared" ca="1" si="60"/>
        <v>20163.099466666663</v>
      </c>
      <c r="BR41" s="91">
        <f t="shared" ca="1" si="61"/>
        <v>1.5</v>
      </c>
      <c r="BS41" s="91">
        <f t="shared" ca="1" si="62"/>
        <v>19442.06631111111</v>
      </c>
      <c r="BT41" s="91">
        <f t="shared" ca="1" si="63"/>
        <v>9380.3508000000002</v>
      </c>
      <c r="BU41" s="91">
        <f t="shared" ca="1" si="64"/>
        <v>10782.748666666663</v>
      </c>
      <c r="BV41" s="91">
        <f t="shared" ca="1" si="65"/>
        <v>20163.099466666663</v>
      </c>
      <c r="BW41" s="91">
        <f t="shared" ca="1" si="66"/>
        <v>6253.5672000000004</v>
      </c>
      <c r="BX41" s="91">
        <f t="shared" ca="1" si="66"/>
        <v>7188.4991111111085</v>
      </c>
      <c r="BY41" s="91">
        <f t="shared" ca="1" si="66"/>
        <v>13442.066311111108</v>
      </c>
      <c r="BZ41" s="323"/>
      <c r="CA41" s="323"/>
      <c r="CB41" s="323"/>
      <c r="CC41" s="323"/>
      <c r="CD41" s="323"/>
      <c r="CE41" s="323"/>
      <c r="CF41" s="323"/>
      <c r="CG41" s="323"/>
      <c r="CH41" s="323"/>
      <c r="CI41" s="323"/>
      <c r="CJ41" s="323"/>
      <c r="CK41" s="323"/>
      <c r="CL41" s="323"/>
      <c r="CM41" s="323"/>
      <c r="CN41" s="323"/>
      <c r="CO41" s="323"/>
      <c r="CP41" s="323"/>
      <c r="CQ41" s="323"/>
      <c r="CR41" s="323"/>
      <c r="CS41" s="323"/>
      <c r="CT41" s="323"/>
      <c r="CU41" s="323"/>
      <c r="CV41" s="323"/>
      <c r="CW41" s="323"/>
      <c r="CX41" s="323"/>
      <c r="CY41" s="323"/>
      <c r="CZ41" s="323"/>
      <c r="DA41" s="323"/>
      <c r="DB41" s="323"/>
      <c r="DC41" s="323"/>
      <c r="DD41" s="323"/>
      <c r="DE41" s="323"/>
      <c r="DF41" s="323"/>
      <c r="DG41" s="323"/>
      <c r="DH41" s="323"/>
      <c r="DI41" s="323"/>
      <c r="DJ41" s="323"/>
      <c r="DK41" s="323"/>
      <c r="DL41" s="323"/>
      <c r="DM41" s="323"/>
      <c r="DN41" s="323"/>
      <c r="DO41" s="323"/>
      <c r="DP41" s="323"/>
      <c r="DQ41" s="323"/>
      <c r="DR41" s="323"/>
      <c r="DS41" s="323"/>
      <c r="DT41" s="323"/>
      <c r="DU41" s="323"/>
      <c r="DV41" s="323"/>
      <c r="DW41" s="323"/>
      <c r="DX41" s="323"/>
      <c r="DY41" s="323"/>
      <c r="DZ41" s="323"/>
      <c r="EA41" s="323"/>
      <c r="EB41" s="323"/>
      <c r="EC41" s="323"/>
      <c r="ED41" s="323"/>
      <c r="EE41" s="323"/>
      <c r="EF41" s="323"/>
      <c r="EG41" s="323"/>
      <c r="EH41" s="323"/>
      <c r="EI41" s="323"/>
      <c r="EJ41" s="323"/>
      <c r="EK41" s="323"/>
      <c r="EL41" s="323"/>
      <c r="EM41" s="323"/>
      <c r="EN41" s="323"/>
      <c r="EO41" s="323"/>
      <c r="EP41" s="323"/>
      <c r="EQ41" s="323"/>
      <c r="ER41" s="323"/>
      <c r="ES41" s="323"/>
      <c r="ET41" s="323"/>
      <c r="EU41" s="323"/>
      <c r="EV41" s="323"/>
      <c r="EW41" s="323"/>
      <c r="EX41" s="323"/>
      <c r="EY41" s="323"/>
      <c r="EZ41" s="323"/>
      <c r="FA41" s="323"/>
      <c r="FB41" s="323"/>
      <c r="FC41" s="323"/>
      <c r="FD41" s="323"/>
      <c r="FE41" s="323"/>
      <c r="FF41" s="323"/>
      <c r="FG41" s="323"/>
      <c r="FH41" s="323"/>
      <c r="FI41" s="323"/>
      <c r="FJ41" s="323"/>
      <c r="FK41" s="323"/>
      <c r="FL41" s="323"/>
      <c r="FM41" s="323"/>
      <c r="FN41" s="323"/>
      <c r="FO41" s="323"/>
      <c r="FP41" s="323"/>
      <c r="FQ41" s="323"/>
      <c r="FR41" s="323"/>
      <c r="FS41" s="323"/>
      <c r="FT41" s="323"/>
      <c r="FU41" s="323"/>
      <c r="FV41" s="323"/>
      <c r="FW41" s="323"/>
      <c r="FX41" s="323"/>
      <c r="FY41" s="323"/>
      <c r="FZ41" s="323"/>
      <c r="GA41" s="323"/>
      <c r="GB41" s="323"/>
      <c r="GC41" s="323"/>
      <c r="GD41" s="323"/>
      <c r="GE41" s="323"/>
      <c r="GF41" s="323"/>
      <c r="GG41" s="323"/>
      <c r="GH41" s="323"/>
      <c r="GI41" s="323"/>
      <c r="GJ41" s="323"/>
      <c r="GK41" s="323"/>
      <c r="GL41" s="323"/>
      <c r="GM41" s="323"/>
      <c r="GN41" s="323"/>
      <c r="GO41" s="323"/>
      <c r="GP41" s="323"/>
      <c r="GQ41" s="323"/>
      <c r="GR41" s="323"/>
      <c r="GS41" s="323"/>
      <c r="GT41" s="323"/>
      <c r="GU41" s="323"/>
      <c r="GV41" s="323"/>
      <c r="GW41" s="323"/>
      <c r="GX41" s="323"/>
      <c r="GY41" s="323"/>
      <c r="GZ41" s="323"/>
      <c r="HA41" s="323"/>
      <c r="HB41" s="323"/>
      <c r="HC41" s="323"/>
      <c r="HD41" s="323"/>
      <c r="HE41" s="323"/>
      <c r="HF41" s="323"/>
      <c r="HG41" s="323"/>
      <c r="HH41" s="323"/>
      <c r="HI41" s="323"/>
      <c r="HJ41" s="323"/>
      <c r="HK41" s="323"/>
      <c r="HL41" s="323"/>
      <c r="HM41" s="323"/>
      <c r="HN41" s="323"/>
      <c r="HO41" s="323"/>
      <c r="HP41" s="323"/>
      <c r="HQ41" s="323"/>
      <c r="HR41" s="323"/>
      <c r="HS41" s="323"/>
      <c r="HT41" s="323"/>
      <c r="HU41" s="323"/>
      <c r="HV41" s="323"/>
      <c r="HW41" s="323"/>
      <c r="HX41" s="323"/>
      <c r="HY41" s="323"/>
      <c r="HZ41" s="323"/>
      <c r="IA41" s="323"/>
      <c r="IB41" s="323"/>
      <c r="IC41" s="323"/>
      <c r="ID41" s="323"/>
      <c r="IE41" s="323"/>
      <c r="IF41" s="323"/>
      <c r="IG41" s="323"/>
      <c r="IH41" s="323"/>
      <c r="II41" s="323"/>
      <c r="IJ41" s="323"/>
      <c r="IK41" s="323"/>
      <c r="IL41" s="323"/>
      <c r="IM41" s="323"/>
      <c r="IN41" s="323"/>
      <c r="IO41" s="323"/>
      <c r="IP41" s="323"/>
      <c r="IQ41" s="323"/>
      <c r="IR41" s="323"/>
      <c r="IS41" s="323"/>
      <c r="IT41" s="323"/>
      <c r="IU41" s="323"/>
      <c r="IV41" s="323"/>
    </row>
    <row r="42" spans="1:256" ht="42.75">
      <c r="A42" s="178" t="s">
        <v>136</v>
      </c>
      <c r="B42" s="151" t="s">
        <v>191</v>
      </c>
      <c r="C42" s="151" t="s">
        <v>115</v>
      </c>
      <c r="D42" s="179" t="s">
        <v>130</v>
      </c>
      <c r="E42" s="151" t="s">
        <v>117</v>
      </c>
      <c r="F42" s="151" t="s">
        <v>131</v>
      </c>
      <c r="G42" s="152" t="str">
        <f t="shared" si="0"/>
        <v>No of Racks</v>
      </c>
      <c r="H42" s="151">
        <v>16</v>
      </c>
      <c r="I42" s="151">
        <v>16</v>
      </c>
      <c r="J42" s="180">
        <f t="shared" si="67"/>
        <v>0</v>
      </c>
      <c r="K42" s="151">
        <v>16</v>
      </c>
      <c r="L42" s="151"/>
      <c r="M42" s="181">
        <f>(18200000/65/16)</f>
        <v>17500</v>
      </c>
      <c r="N42" s="83">
        <f t="shared" si="40"/>
        <v>210000</v>
      </c>
      <c r="O42" s="183" t="str">
        <f t="shared" si="68"/>
        <v>Subscribed</v>
      </c>
      <c r="P42" s="151" t="s">
        <v>108</v>
      </c>
      <c r="Q42" s="151">
        <v>48</v>
      </c>
      <c r="R42" s="225">
        <v>49.1</v>
      </c>
      <c r="S42" s="185">
        <f t="shared" si="36"/>
        <v>-1.1000000000000014</v>
      </c>
      <c r="T42" s="151"/>
      <c r="U42" s="186">
        <f t="shared" si="3"/>
        <v>0</v>
      </c>
      <c r="V42" s="186">
        <f t="shared" si="4"/>
        <v>48</v>
      </c>
      <c r="W42" s="202">
        <f>R42</f>
        <v>49.1</v>
      </c>
      <c r="X42" s="186"/>
      <c r="Y42" s="239" t="s">
        <v>192</v>
      </c>
      <c r="Z42" s="189" t="str">
        <f t="shared" si="41"/>
        <v>Metered</v>
      </c>
      <c r="AA42" s="151"/>
      <c r="AB42" s="179" t="s">
        <v>145</v>
      </c>
      <c r="AC42" s="190">
        <v>15</v>
      </c>
      <c r="AD42" s="240">
        <v>0</v>
      </c>
      <c r="AE42" s="120"/>
      <c r="AF42" s="152" t="s">
        <v>133</v>
      </c>
      <c r="AG42" s="151">
        <v>20</v>
      </c>
      <c r="AH42" s="151">
        <v>20</v>
      </c>
      <c r="AI42" s="151">
        <v>0</v>
      </c>
      <c r="AJ42" s="151">
        <v>20</v>
      </c>
      <c r="AK42" s="151"/>
      <c r="AL42" s="181">
        <f>((4333333/10/65)+(80000/12))</f>
        <v>13333.33282051282</v>
      </c>
      <c r="AM42" s="83">
        <f t="shared" si="42"/>
        <v>280000</v>
      </c>
      <c r="AN42" s="83"/>
      <c r="AO42" s="83"/>
      <c r="AP42" s="83"/>
      <c r="AQ42" s="84"/>
      <c r="AR42" s="85">
        <f t="shared" si="46"/>
        <v>280000</v>
      </c>
      <c r="AS42" s="86">
        <f t="shared" si="47"/>
        <v>3360000</v>
      </c>
      <c r="AT42" s="85" t="s">
        <v>168</v>
      </c>
      <c r="AU42" s="69">
        <v>721005781</v>
      </c>
      <c r="AV42" s="191">
        <v>43025</v>
      </c>
      <c r="AW42" s="69">
        <v>6</v>
      </c>
      <c r="AX42" s="191">
        <v>45192</v>
      </c>
      <c r="AY42" s="69"/>
      <c r="AZ42" s="323"/>
      <c r="BA42" s="84">
        <f>IF(E42="Rack",AR42/H42,0)+IF(E42="U Space",AR42*40/H42,0)+IF(E42="Space",AR42*30/H42,0)</f>
        <v>17500</v>
      </c>
      <c r="BB42" s="84">
        <f>+AR42/V42</f>
        <v>5833.333333333333</v>
      </c>
      <c r="BC42" s="84">
        <f t="shared" si="50"/>
        <v>-3070.7378770833434</v>
      </c>
      <c r="BD42" s="84">
        <f t="shared" si="50"/>
        <v>-3070.7378770833434</v>
      </c>
      <c r="BE42" s="84">
        <f t="shared" si="51"/>
        <v>-1565.5690166666755</v>
      </c>
      <c r="BF42" s="84"/>
      <c r="BG42" s="90">
        <f t="shared" si="52"/>
        <v>280000</v>
      </c>
      <c r="BH42" s="90">
        <f t="shared" si="53"/>
        <v>280000</v>
      </c>
      <c r="BI42" s="90">
        <f t="shared" si="54"/>
        <v>0</v>
      </c>
      <c r="BJ42" s="91">
        <f t="shared" si="20"/>
        <v>427395.41810000048</v>
      </c>
      <c r="BK42" s="91">
        <f t="shared" si="21"/>
        <v>427395.41810000048</v>
      </c>
      <c r="BL42" s="91">
        <f t="shared" si="55"/>
        <v>355147.31280000042</v>
      </c>
      <c r="BM42" s="91">
        <f t="shared" si="56"/>
        <v>-147395.41810000048</v>
      </c>
      <c r="BN42" s="91">
        <f t="shared" si="57"/>
        <v>0</v>
      </c>
      <c r="BO42" s="91">
        <f t="shared" si="58"/>
        <v>280000</v>
      </c>
      <c r="BP42" s="91">
        <f t="shared" si="59"/>
        <v>-427395.41810000048</v>
      </c>
      <c r="BQ42" s="91">
        <f t="shared" si="60"/>
        <v>-147395.41810000048</v>
      </c>
      <c r="BR42" s="91">
        <f t="shared" si="61"/>
        <v>48</v>
      </c>
      <c r="BS42" s="91">
        <f t="shared" si="62"/>
        <v>-3070.7378770833434</v>
      </c>
      <c r="BT42" s="91">
        <f t="shared" si="63"/>
        <v>-427395.41810000048</v>
      </c>
      <c r="BU42" s="91">
        <f t="shared" si="64"/>
        <v>280000</v>
      </c>
      <c r="BV42" s="91">
        <f t="shared" si="65"/>
        <v>-147395.41810000048</v>
      </c>
      <c r="BW42" s="91">
        <f t="shared" si="66"/>
        <v>-8904.071210416676</v>
      </c>
      <c r="BX42" s="91">
        <f t="shared" si="66"/>
        <v>5833.333333333333</v>
      </c>
      <c r="BY42" s="91">
        <f t="shared" si="66"/>
        <v>-3070.7378770833434</v>
      </c>
      <c r="BZ42" s="323"/>
      <c r="CA42" s="323"/>
      <c r="CB42" s="323"/>
      <c r="CC42" s="323"/>
      <c r="CD42" s="323"/>
      <c r="CE42" s="323"/>
      <c r="CF42" s="323"/>
      <c r="CG42" s="323"/>
      <c r="CH42" s="323"/>
      <c r="CI42" s="323"/>
      <c r="CJ42" s="323"/>
      <c r="CK42" s="323"/>
      <c r="CL42" s="323"/>
      <c r="CM42" s="323"/>
      <c r="CN42" s="323"/>
      <c r="CO42" s="323"/>
      <c r="CP42" s="323"/>
      <c r="CQ42" s="323"/>
      <c r="CR42" s="323"/>
      <c r="CS42" s="323"/>
      <c r="CT42" s="323"/>
      <c r="CU42" s="323"/>
      <c r="CV42" s="323"/>
      <c r="CW42" s="323"/>
      <c r="CX42" s="323"/>
      <c r="CY42" s="323"/>
      <c r="CZ42" s="323"/>
      <c r="DA42" s="323"/>
      <c r="DB42" s="323"/>
      <c r="DC42" s="323"/>
      <c r="DD42" s="323"/>
      <c r="DE42" s="323"/>
      <c r="DF42" s="323"/>
      <c r="DG42" s="323"/>
      <c r="DH42" s="323"/>
      <c r="DI42" s="323"/>
      <c r="DJ42" s="323"/>
      <c r="DK42" s="323"/>
      <c r="DL42" s="323"/>
      <c r="DM42" s="323"/>
      <c r="DN42" s="323"/>
      <c r="DO42" s="323"/>
      <c r="DP42" s="323"/>
      <c r="DQ42" s="323"/>
      <c r="DR42" s="323"/>
      <c r="DS42" s="323"/>
      <c r="DT42" s="323"/>
      <c r="DU42" s="323"/>
      <c r="DV42" s="323"/>
      <c r="DW42" s="323"/>
      <c r="DX42" s="323"/>
      <c r="DY42" s="323"/>
      <c r="DZ42" s="323"/>
      <c r="EA42" s="323"/>
      <c r="EB42" s="323"/>
      <c r="EC42" s="323"/>
      <c r="ED42" s="323"/>
      <c r="EE42" s="323"/>
      <c r="EF42" s="323"/>
      <c r="EG42" s="323"/>
      <c r="EH42" s="323"/>
      <c r="EI42" s="323"/>
      <c r="EJ42" s="323"/>
      <c r="EK42" s="323"/>
      <c r="EL42" s="323"/>
      <c r="EM42" s="323"/>
      <c r="EN42" s="323"/>
      <c r="EO42" s="323"/>
      <c r="EP42" s="323"/>
      <c r="EQ42" s="323"/>
      <c r="ER42" s="323"/>
      <c r="ES42" s="323"/>
      <c r="ET42" s="323"/>
      <c r="EU42" s="323"/>
      <c r="EV42" s="323"/>
      <c r="EW42" s="323"/>
      <c r="EX42" s="323"/>
      <c r="EY42" s="323"/>
      <c r="EZ42" s="323"/>
      <c r="FA42" s="323"/>
      <c r="FB42" s="323"/>
      <c r="FC42" s="323"/>
      <c r="FD42" s="323"/>
      <c r="FE42" s="323"/>
      <c r="FF42" s="323"/>
      <c r="FG42" s="323"/>
      <c r="FH42" s="323"/>
      <c r="FI42" s="323"/>
      <c r="FJ42" s="323"/>
      <c r="FK42" s="323"/>
      <c r="FL42" s="323"/>
      <c r="FM42" s="323"/>
      <c r="FN42" s="323"/>
      <c r="FO42" s="323"/>
      <c r="FP42" s="323"/>
      <c r="FQ42" s="323"/>
      <c r="FR42" s="323"/>
      <c r="FS42" s="323"/>
      <c r="FT42" s="323"/>
      <c r="FU42" s="323"/>
      <c r="FV42" s="323"/>
      <c r="FW42" s="323"/>
      <c r="FX42" s="323"/>
      <c r="FY42" s="323"/>
      <c r="FZ42" s="323"/>
      <c r="GA42" s="323"/>
      <c r="GB42" s="323"/>
      <c r="GC42" s="323"/>
      <c r="GD42" s="323"/>
      <c r="GE42" s="323"/>
      <c r="GF42" s="323"/>
      <c r="GG42" s="323"/>
      <c r="GH42" s="323"/>
      <c r="GI42" s="323"/>
      <c r="GJ42" s="323"/>
      <c r="GK42" s="323"/>
      <c r="GL42" s="323"/>
      <c r="GM42" s="323"/>
      <c r="GN42" s="323"/>
      <c r="GO42" s="323"/>
      <c r="GP42" s="323"/>
      <c r="GQ42" s="323"/>
      <c r="GR42" s="323"/>
      <c r="GS42" s="323"/>
      <c r="GT42" s="323"/>
      <c r="GU42" s="323"/>
      <c r="GV42" s="323"/>
      <c r="GW42" s="323"/>
      <c r="GX42" s="323"/>
      <c r="GY42" s="323"/>
      <c r="GZ42" s="323"/>
      <c r="HA42" s="323"/>
      <c r="HB42" s="323"/>
      <c r="HC42" s="323"/>
      <c r="HD42" s="323"/>
      <c r="HE42" s="323"/>
      <c r="HF42" s="323"/>
      <c r="HG42" s="323"/>
      <c r="HH42" s="323"/>
      <c r="HI42" s="323"/>
      <c r="HJ42" s="323"/>
      <c r="HK42" s="323"/>
      <c r="HL42" s="323"/>
      <c r="HM42" s="323"/>
      <c r="HN42" s="323"/>
      <c r="HO42" s="323"/>
      <c r="HP42" s="323"/>
      <c r="HQ42" s="323"/>
      <c r="HR42" s="323"/>
      <c r="HS42" s="323"/>
      <c r="HT42" s="323"/>
      <c r="HU42" s="323"/>
      <c r="HV42" s="323"/>
      <c r="HW42" s="323"/>
      <c r="HX42" s="323"/>
      <c r="HY42" s="323"/>
      <c r="HZ42" s="323"/>
      <c r="IA42" s="323"/>
      <c r="IB42" s="323"/>
      <c r="IC42" s="323"/>
      <c r="ID42" s="323"/>
      <c r="IE42" s="323"/>
      <c r="IF42" s="323"/>
      <c r="IG42" s="323"/>
      <c r="IH42" s="323"/>
      <c r="II42" s="323"/>
      <c r="IJ42" s="323"/>
      <c r="IK42" s="323"/>
      <c r="IL42" s="323"/>
      <c r="IM42" s="323"/>
      <c r="IN42" s="323"/>
      <c r="IO42" s="323"/>
      <c r="IP42" s="323"/>
      <c r="IQ42" s="323"/>
      <c r="IR42" s="323"/>
      <c r="IS42" s="323"/>
      <c r="IT42" s="323"/>
      <c r="IU42" s="323"/>
      <c r="IV42" s="323"/>
    </row>
    <row r="43" spans="1:256" ht="42.75">
      <c r="A43" s="178" t="s">
        <v>136</v>
      </c>
      <c r="B43" s="151" t="s">
        <v>191</v>
      </c>
      <c r="C43" s="151" t="s">
        <v>115</v>
      </c>
      <c r="D43" s="179" t="s">
        <v>130</v>
      </c>
      <c r="E43" s="151" t="s">
        <v>117</v>
      </c>
      <c r="F43" s="151" t="s">
        <v>131</v>
      </c>
      <c r="G43" s="152" t="str">
        <f t="shared" si="0"/>
        <v>No of Racks</v>
      </c>
      <c r="H43" s="151">
        <v>1</v>
      </c>
      <c r="I43" s="151">
        <v>1</v>
      </c>
      <c r="J43" s="180">
        <f t="shared" si="67"/>
        <v>0</v>
      </c>
      <c r="K43" s="151">
        <v>1</v>
      </c>
      <c r="L43" s="151"/>
      <c r="M43" s="181">
        <f>(18200000/65/16)</f>
        <v>17500</v>
      </c>
      <c r="N43" s="83">
        <f t="shared" si="40"/>
        <v>210000</v>
      </c>
      <c r="O43" s="183" t="str">
        <f t="shared" si="68"/>
        <v>Subscribed</v>
      </c>
      <c r="P43" s="151" t="s">
        <v>108</v>
      </c>
      <c r="Q43" s="151">
        <v>3</v>
      </c>
      <c r="R43" s="225">
        <v>1.0900000000000001</v>
      </c>
      <c r="S43" s="185">
        <f t="shared" si="36"/>
        <v>1.91</v>
      </c>
      <c r="T43" s="151"/>
      <c r="U43" s="186">
        <f t="shared" si="3"/>
        <v>1.91</v>
      </c>
      <c r="V43" s="186">
        <f t="shared" si="4"/>
        <v>3</v>
      </c>
      <c r="W43" s="202">
        <f>R43</f>
        <v>1.0900000000000001</v>
      </c>
      <c r="X43" s="186"/>
      <c r="Y43" s="239" t="s">
        <v>192</v>
      </c>
      <c r="Z43" s="189" t="str">
        <f t="shared" si="41"/>
        <v>Metered</v>
      </c>
      <c r="AA43" s="151"/>
      <c r="AB43" s="179" t="s">
        <v>145</v>
      </c>
      <c r="AC43" s="190">
        <v>15</v>
      </c>
      <c r="AD43" s="241">
        <v>0</v>
      </c>
      <c r="AE43" s="120"/>
      <c r="AF43" s="152" t="s">
        <v>133</v>
      </c>
      <c r="AG43" s="151"/>
      <c r="AH43" s="151"/>
      <c r="AI43" s="151"/>
      <c r="AJ43" s="151"/>
      <c r="AK43" s="151"/>
      <c r="AL43" s="181"/>
      <c r="AM43" s="83">
        <f t="shared" si="42"/>
        <v>17500</v>
      </c>
      <c r="AN43" s="83"/>
      <c r="AO43" s="83"/>
      <c r="AP43" s="83"/>
      <c r="AQ43" s="84"/>
      <c r="AR43" s="85">
        <f t="shared" si="46"/>
        <v>17500</v>
      </c>
      <c r="AS43" s="86">
        <f t="shared" si="47"/>
        <v>210000</v>
      </c>
      <c r="AT43" s="85" t="s">
        <v>168</v>
      </c>
      <c r="AU43" s="69" t="s">
        <v>193</v>
      </c>
      <c r="AV43" s="191">
        <v>43269</v>
      </c>
      <c r="AW43" s="69">
        <v>1</v>
      </c>
      <c r="AX43" s="191">
        <v>43604</v>
      </c>
      <c r="AY43" s="69"/>
      <c r="AZ43" s="323"/>
      <c r="BA43" s="84">
        <f>IF(E43="Rack",AR43/H43,0)+IF(E43="U Space",AR43*40/H43,0)+IF(E43="Space",AR43*30/H43,0)</f>
        <v>17500</v>
      </c>
      <c r="BB43" s="84">
        <f>+AR43/V43</f>
        <v>5833.333333333333</v>
      </c>
      <c r="BC43" s="84">
        <f t="shared" si="50"/>
        <v>2670.6652699999963</v>
      </c>
      <c r="BD43" s="84">
        <f t="shared" si="50"/>
        <v>-2871.2576666666769</v>
      </c>
      <c r="BE43" s="84">
        <f t="shared" si="51"/>
        <v>-1565.5690166666755</v>
      </c>
      <c r="BF43" s="84"/>
      <c r="BG43" s="90">
        <f t="shared" si="52"/>
        <v>17500</v>
      </c>
      <c r="BH43" s="90">
        <f t="shared" si="53"/>
        <v>17500</v>
      </c>
      <c r="BI43" s="90">
        <f t="shared" si="54"/>
        <v>0</v>
      </c>
      <c r="BJ43" s="91">
        <f t="shared" si="20"/>
        <v>9488.0041900000106</v>
      </c>
      <c r="BK43" s="91">
        <f t="shared" si="21"/>
        <v>26113.77300000003</v>
      </c>
      <c r="BL43" s="91">
        <f t="shared" si="55"/>
        <v>22196.707050000026</v>
      </c>
      <c r="BM43" s="91">
        <f t="shared" si="56"/>
        <v>8011.9958099999894</v>
      </c>
      <c r="BN43" s="91">
        <f t="shared" si="57"/>
        <v>0</v>
      </c>
      <c r="BO43" s="91">
        <f t="shared" si="58"/>
        <v>17500</v>
      </c>
      <c r="BP43" s="91">
        <f t="shared" si="59"/>
        <v>-9488.0041900000106</v>
      </c>
      <c r="BQ43" s="91">
        <f t="shared" si="60"/>
        <v>8011.9958099999894</v>
      </c>
      <c r="BR43" s="91">
        <f t="shared" si="61"/>
        <v>3</v>
      </c>
      <c r="BS43" s="91">
        <f t="shared" si="62"/>
        <v>2670.6652699999963</v>
      </c>
      <c r="BT43" s="91">
        <f t="shared" si="63"/>
        <v>-9488.0041900000106</v>
      </c>
      <c r="BU43" s="91">
        <f t="shared" si="64"/>
        <v>17500</v>
      </c>
      <c r="BV43" s="91">
        <f t="shared" si="65"/>
        <v>8011.9958099999894</v>
      </c>
      <c r="BW43" s="91">
        <f t="shared" si="66"/>
        <v>-3162.6680633333367</v>
      </c>
      <c r="BX43" s="91">
        <f t="shared" si="66"/>
        <v>5833.333333333333</v>
      </c>
      <c r="BY43" s="91">
        <f t="shared" si="66"/>
        <v>2670.6652699999963</v>
      </c>
      <c r="BZ43" s="323"/>
      <c r="CA43" s="323"/>
      <c r="CB43" s="323"/>
      <c r="CC43" s="323"/>
      <c r="CD43" s="323"/>
      <c r="CE43" s="323"/>
      <c r="CF43" s="323"/>
      <c r="CG43" s="323"/>
      <c r="CH43" s="323"/>
      <c r="CI43" s="323"/>
      <c r="CJ43" s="323"/>
      <c r="CK43" s="323"/>
      <c r="CL43" s="323"/>
      <c r="CM43" s="323"/>
      <c r="CN43" s="323"/>
      <c r="CO43" s="323"/>
      <c r="CP43" s="323"/>
      <c r="CQ43" s="323"/>
      <c r="CR43" s="323"/>
      <c r="CS43" s="323"/>
      <c r="CT43" s="323"/>
      <c r="CU43" s="323"/>
      <c r="CV43" s="323"/>
      <c r="CW43" s="323"/>
      <c r="CX43" s="323"/>
      <c r="CY43" s="323"/>
      <c r="CZ43" s="323"/>
      <c r="DA43" s="323"/>
      <c r="DB43" s="323"/>
      <c r="DC43" s="323"/>
      <c r="DD43" s="323"/>
      <c r="DE43" s="323"/>
      <c r="DF43" s="323"/>
      <c r="DG43" s="323"/>
      <c r="DH43" s="323"/>
      <c r="DI43" s="323"/>
      <c r="DJ43" s="323"/>
      <c r="DK43" s="323"/>
      <c r="DL43" s="323"/>
      <c r="DM43" s="323"/>
      <c r="DN43" s="323"/>
      <c r="DO43" s="323"/>
      <c r="DP43" s="323"/>
      <c r="DQ43" s="323"/>
      <c r="DR43" s="323"/>
      <c r="DS43" s="323"/>
      <c r="DT43" s="323"/>
      <c r="DU43" s="323"/>
      <c r="DV43" s="323"/>
      <c r="DW43" s="323"/>
      <c r="DX43" s="323"/>
      <c r="DY43" s="323"/>
      <c r="DZ43" s="323"/>
      <c r="EA43" s="323"/>
      <c r="EB43" s="323"/>
      <c r="EC43" s="323"/>
      <c r="ED43" s="323"/>
      <c r="EE43" s="323"/>
      <c r="EF43" s="323"/>
      <c r="EG43" s="323"/>
      <c r="EH43" s="323"/>
      <c r="EI43" s="323"/>
      <c r="EJ43" s="323"/>
      <c r="EK43" s="323"/>
      <c r="EL43" s="323"/>
      <c r="EM43" s="323"/>
      <c r="EN43" s="323"/>
      <c r="EO43" s="323"/>
      <c r="EP43" s="323"/>
      <c r="EQ43" s="323"/>
      <c r="ER43" s="323"/>
      <c r="ES43" s="323"/>
      <c r="ET43" s="323"/>
      <c r="EU43" s="323"/>
      <c r="EV43" s="323"/>
      <c r="EW43" s="323"/>
      <c r="EX43" s="323"/>
      <c r="EY43" s="323"/>
      <c r="EZ43" s="323"/>
      <c r="FA43" s="323"/>
      <c r="FB43" s="323"/>
      <c r="FC43" s="323"/>
      <c r="FD43" s="323"/>
      <c r="FE43" s="323"/>
      <c r="FF43" s="323"/>
      <c r="FG43" s="323"/>
      <c r="FH43" s="323"/>
      <c r="FI43" s="323"/>
      <c r="FJ43" s="323"/>
      <c r="FK43" s="323"/>
      <c r="FL43" s="323"/>
      <c r="FM43" s="323"/>
      <c r="FN43" s="323"/>
      <c r="FO43" s="323"/>
      <c r="FP43" s="323"/>
      <c r="FQ43" s="323"/>
      <c r="FR43" s="323"/>
      <c r="FS43" s="323"/>
      <c r="FT43" s="323"/>
      <c r="FU43" s="323"/>
      <c r="FV43" s="323"/>
      <c r="FW43" s="323"/>
      <c r="FX43" s="323"/>
      <c r="FY43" s="323"/>
      <c r="FZ43" s="323"/>
      <c r="GA43" s="323"/>
      <c r="GB43" s="323"/>
      <c r="GC43" s="323"/>
      <c r="GD43" s="323"/>
      <c r="GE43" s="323"/>
      <c r="GF43" s="323"/>
      <c r="GG43" s="323"/>
      <c r="GH43" s="323"/>
      <c r="GI43" s="323"/>
      <c r="GJ43" s="323"/>
      <c r="GK43" s="323"/>
      <c r="GL43" s="323"/>
      <c r="GM43" s="323"/>
      <c r="GN43" s="323"/>
      <c r="GO43" s="323"/>
      <c r="GP43" s="323"/>
      <c r="GQ43" s="323"/>
      <c r="GR43" s="323"/>
      <c r="GS43" s="323"/>
      <c r="GT43" s="323"/>
      <c r="GU43" s="323"/>
      <c r="GV43" s="323"/>
      <c r="GW43" s="323"/>
      <c r="GX43" s="323"/>
      <c r="GY43" s="323"/>
      <c r="GZ43" s="323"/>
      <c r="HA43" s="323"/>
      <c r="HB43" s="323"/>
      <c r="HC43" s="323"/>
      <c r="HD43" s="323"/>
      <c r="HE43" s="323"/>
      <c r="HF43" s="323"/>
      <c r="HG43" s="323"/>
      <c r="HH43" s="323"/>
      <c r="HI43" s="323"/>
      <c r="HJ43" s="323"/>
      <c r="HK43" s="323"/>
      <c r="HL43" s="323"/>
      <c r="HM43" s="323"/>
      <c r="HN43" s="323"/>
      <c r="HO43" s="323"/>
      <c r="HP43" s="323"/>
      <c r="HQ43" s="323"/>
      <c r="HR43" s="323"/>
      <c r="HS43" s="323"/>
      <c r="HT43" s="323"/>
      <c r="HU43" s="323"/>
      <c r="HV43" s="323"/>
      <c r="HW43" s="323"/>
      <c r="HX43" s="323"/>
      <c r="HY43" s="323"/>
      <c r="HZ43" s="323"/>
      <c r="IA43" s="323"/>
      <c r="IB43" s="323"/>
      <c r="IC43" s="323"/>
      <c r="ID43" s="323"/>
      <c r="IE43" s="323"/>
      <c r="IF43" s="323"/>
      <c r="IG43" s="323"/>
      <c r="IH43" s="323"/>
      <c r="II43" s="323"/>
      <c r="IJ43" s="323"/>
      <c r="IK43" s="323"/>
      <c r="IL43" s="323"/>
      <c r="IM43" s="323"/>
      <c r="IN43" s="323"/>
      <c r="IO43" s="323"/>
      <c r="IP43" s="323"/>
      <c r="IQ43" s="323"/>
      <c r="IR43" s="323"/>
      <c r="IS43" s="323"/>
      <c r="IT43" s="323"/>
      <c r="IU43" s="323"/>
      <c r="IV43" s="323"/>
    </row>
    <row r="44" spans="1:256" ht="42.75">
      <c r="A44" s="178" t="s">
        <v>136</v>
      </c>
      <c r="B44" s="151" t="s">
        <v>191</v>
      </c>
      <c r="C44" s="151" t="s">
        <v>115</v>
      </c>
      <c r="D44" s="179" t="s">
        <v>130</v>
      </c>
      <c r="E44" s="151" t="s">
        <v>117</v>
      </c>
      <c r="F44" s="151" t="s">
        <v>131</v>
      </c>
      <c r="G44" s="152" t="str">
        <f t="shared" si="0"/>
        <v>No of Racks</v>
      </c>
      <c r="H44" s="151">
        <v>1</v>
      </c>
      <c r="I44" s="151">
        <v>1</v>
      </c>
      <c r="J44" s="180">
        <f t="shared" si="67"/>
        <v>0</v>
      </c>
      <c r="K44" s="151">
        <v>1</v>
      </c>
      <c r="L44" s="151"/>
      <c r="M44" s="181"/>
      <c r="N44" s="83"/>
      <c r="O44" s="183" t="str">
        <f t="shared" si="68"/>
        <v>Subscribed</v>
      </c>
      <c r="P44" s="151" t="s">
        <v>108</v>
      </c>
      <c r="Q44" s="151">
        <v>3</v>
      </c>
      <c r="R44" s="225">
        <v>0.4</v>
      </c>
      <c r="S44" s="185">
        <f t="shared" si="36"/>
        <v>2.6</v>
      </c>
      <c r="T44" s="151"/>
      <c r="U44" s="186"/>
      <c r="V44" s="186">
        <f t="shared" si="4"/>
        <v>3</v>
      </c>
      <c r="W44" s="202"/>
      <c r="X44" s="186"/>
      <c r="Y44" s="83"/>
      <c r="Z44" s="189"/>
      <c r="AA44" s="151"/>
      <c r="AB44" s="186"/>
      <c r="AC44" s="190"/>
      <c r="AD44" s="228"/>
      <c r="AE44" s="120"/>
      <c r="AF44" s="152"/>
      <c r="AG44" s="151"/>
      <c r="AH44" s="151"/>
      <c r="AI44" s="151"/>
      <c r="AJ44" s="151"/>
      <c r="AK44" s="151"/>
      <c r="AL44" s="181"/>
      <c r="AM44" s="83"/>
      <c r="AN44" s="83"/>
      <c r="AO44" s="83"/>
      <c r="AP44" s="83"/>
      <c r="AQ44" s="84"/>
      <c r="AR44" s="103"/>
      <c r="AS44" s="86"/>
      <c r="AT44" s="85"/>
      <c r="AU44" s="69"/>
      <c r="AV44" s="191"/>
      <c r="AW44" s="69"/>
      <c r="AX44" s="191"/>
      <c r="AY44" s="69"/>
      <c r="AZ44" s="323"/>
      <c r="BA44" s="84"/>
      <c r="BB44" s="84"/>
      <c r="BC44" s="84"/>
      <c r="BD44" s="84"/>
      <c r="BE44" s="84"/>
      <c r="BF44" s="84"/>
      <c r="BG44" s="90"/>
      <c r="BH44" s="90"/>
      <c r="BI44" s="90"/>
      <c r="BJ44" s="91"/>
      <c r="BK44" s="91"/>
      <c r="BL44" s="91">
        <f t="shared" si="55"/>
        <v>22196.707050000026</v>
      </c>
      <c r="BM44" s="91"/>
      <c r="BN44" s="91">
        <f t="shared" si="57"/>
        <v>0</v>
      </c>
      <c r="BO44" s="91"/>
      <c r="BP44" s="91"/>
      <c r="BQ44" s="91"/>
      <c r="BR44" s="91">
        <f t="shared" si="61"/>
        <v>3</v>
      </c>
      <c r="BS44" s="91"/>
      <c r="BT44" s="91"/>
      <c r="BU44" s="91"/>
      <c r="BV44" s="91"/>
      <c r="BW44" s="91"/>
      <c r="BX44" s="91"/>
      <c r="BY44" s="91"/>
      <c r="BZ44" s="323"/>
      <c r="CA44" s="323"/>
      <c r="CB44" s="323"/>
      <c r="CC44" s="323"/>
      <c r="CD44" s="323"/>
      <c r="CE44" s="323"/>
      <c r="CF44" s="323"/>
      <c r="CG44" s="323"/>
      <c r="CH44" s="323"/>
      <c r="CI44" s="323"/>
      <c r="CJ44" s="323"/>
      <c r="CK44" s="323"/>
      <c r="CL44" s="323"/>
      <c r="CM44" s="323"/>
      <c r="CN44" s="323"/>
      <c r="CO44" s="323"/>
      <c r="CP44" s="323"/>
      <c r="CQ44" s="323"/>
      <c r="CR44" s="323"/>
      <c r="CS44" s="323"/>
      <c r="CT44" s="323"/>
      <c r="CU44" s="323"/>
      <c r="CV44" s="323"/>
      <c r="CW44" s="323"/>
      <c r="CX44" s="323"/>
      <c r="CY44" s="323"/>
      <c r="CZ44" s="323"/>
      <c r="DA44" s="323"/>
      <c r="DB44" s="323"/>
      <c r="DC44" s="323"/>
      <c r="DD44" s="323"/>
      <c r="DE44" s="323"/>
      <c r="DF44" s="323"/>
      <c r="DG44" s="323"/>
      <c r="DH44" s="323"/>
      <c r="DI44" s="323"/>
      <c r="DJ44" s="323"/>
      <c r="DK44" s="323"/>
      <c r="DL44" s="323"/>
      <c r="DM44" s="323"/>
      <c r="DN44" s="323"/>
      <c r="DO44" s="323"/>
      <c r="DP44" s="323"/>
      <c r="DQ44" s="323"/>
      <c r="DR44" s="323"/>
      <c r="DS44" s="323"/>
      <c r="DT44" s="323"/>
      <c r="DU44" s="323"/>
      <c r="DV44" s="323"/>
      <c r="DW44" s="323"/>
      <c r="DX44" s="323"/>
      <c r="DY44" s="323"/>
      <c r="DZ44" s="323"/>
      <c r="EA44" s="323"/>
      <c r="EB44" s="323"/>
      <c r="EC44" s="323"/>
      <c r="ED44" s="323"/>
      <c r="EE44" s="323"/>
      <c r="EF44" s="323"/>
      <c r="EG44" s="323"/>
      <c r="EH44" s="323"/>
      <c r="EI44" s="323"/>
      <c r="EJ44" s="323"/>
      <c r="EK44" s="323"/>
      <c r="EL44" s="323"/>
      <c r="EM44" s="323"/>
      <c r="EN44" s="323"/>
      <c r="EO44" s="323"/>
      <c r="EP44" s="323"/>
      <c r="EQ44" s="323"/>
      <c r="ER44" s="323"/>
      <c r="ES44" s="323"/>
      <c r="ET44" s="323"/>
      <c r="EU44" s="323"/>
      <c r="EV44" s="323"/>
      <c r="EW44" s="323"/>
      <c r="EX44" s="323"/>
      <c r="EY44" s="323"/>
      <c r="EZ44" s="323"/>
      <c r="FA44" s="323"/>
      <c r="FB44" s="323"/>
      <c r="FC44" s="323"/>
      <c r="FD44" s="323"/>
      <c r="FE44" s="323"/>
      <c r="FF44" s="323"/>
      <c r="FG44" s="323"/>
      <c r="FH44" s="323"/>
      <c r="FI44" s="323"/>
      <c r="FJ44" s="323"/>
      <c r="FK44" s="323"/>
      <c r="FL44" s="323"/>
      <c r="FM44" s="323"/>
      <c r="FN44" s="323"/>
      <c r="FO44" s="323"/>
      <c r="FP44" s="323"/>
      <c r="FQ44" s="323"/>
      <c r="FR44" s="323"/>
      <c r="FS44" s="323"/>
      <c r="FT44" s="323"/>
      <c r="FU44" s="323"/>
      <c r="FV44" s="323"/>
      <c r="FW44" s="323"/>
      <c r="FX44" s="323"/>
      <c r="FY44" s="323"/>
      <c r="FZ44" s="323"/>
      <c r="GA44" s="323"/>
      <c r="GB44" s="323"/>
      <c r="GC44" s="323"/>
      <c r="GD44" s="323"/>
      <c r="GE44" s="323"/>
      <c r="GF44" s="323"/>
      <c r="GG44" s="323"/>
      <c r="GH44" s="323"/>
      <c r="GI44" s="323"/>
      <c r="GJ44" s="323"/>
      <c r="GK44" s="323"/>
      <c r="GL44" s="323"/>
      <c r="GM44" s="323"/>
      <c r="GN44" s="323"/>
      <c r="GO44" s="323"/>
      <c r="GP44" s="323"/>
      <c r="GQ44" s="323"/>
      <c r="GR44" s="323"/>
      <c r="GS44" s="323"/>
      <c r="GT44" s="323"/>
      <c r="GU44" s="323"/>
      <c r="GV44" s="323"/>
      <c r="GW44" s="323"/>
      <c r="GX44" s="323"/>
      <c r="GY44" s="323"/>
      <c r="GZ44" s="323"/>
      <c r="HA44" s="323"/>
      <c r="HB44" s="323"/>
      <c r="HC44" s="323"/>
      <c r="HD44" s="323"/>
      <c r="HE44" s="323"/>
      <c r="HF44" s="323"/>
      <c r="HG44" s="323"/>
      <c r="HH44" s="323"/>
      <c r="HI44" s="323"/>
      <c r="HJ44" s="323"/>
      <c r="HK44" s="323"/>
      <c r="HL44" s="323"/>
      <c r="HM44" s="323"/>
      <c r="HN44" s="323"/>
      <c r="HO44" s="323"/>
      <c r="HP44" s="323"/>
      <c r="HQ44" s="323"/>
      <c r="HR44" s="323"/>
      <c r="HS44" s="323"/>
      <c r="HT44" s="323"/>
      <c r="HU44" s="323"/>
      <c r="HV44" s="323"/>
      <c r="HW44" s="323"/>
      <c r="HX44" s="323"/>
      <c r="HY44" s="323"/>
      <c r="HZ44" s="323"/>
      <c r="IA44" s="323"/>
      <c r="IB44" s="323"/>
      <c r="IC44" s="323"/>
      <c r="ID44" s="323"/>
      <c r="IE44" s="323"/>
      <c r="IF44" s="323"/>
      <c r="IG44" s="323"/>
      <c r="IH44" s="323"/>
      <c r="II44" s="323"/>
      <c r="IJ44" s="323"/>
      <c r="IK44" s="323"/>
      <c r="IL44" s="323"/>
      <c r="IM44" s="323"/>
      <c r="IN44" s="323"/>
      <c r="IO44" s="323"/>
      <c r="IP44" s="323"/>
      <c r="IQ44" s="323"/>
      <c r="IR44" s="323"/>
      <c r="IS44" s="323"/>
      <c r="IT44" s="323"/>
      <c r="IU44" s="323"/>
      <c r="IV44" s="323"/>
    </row>
    <row r="45" spans="1:256" ht="32.25">
      <c r="A45" s="178" t="s">
        <v>136</v>
      </c>
      <c r="B45" s="200" t="s">
        <v>194</v>
      </c>
      <c r="C45" s="151" t="s">
        <v>115</v>
      </c>
      <c r="D45" s="179" t="s">
        <v>130</v>
      </c>
      <c r="E45" s="151" t="s">
        <v>117</v>
      </c>
      <c r="F45" s="151" t="s">
        <v>131</v>
      </c>
      <c r="G45" s="152" t="str">
        <f t="shared" si="0"/>
        <v>No of Racks</v>
      </c>
      <c r="H45" s="151">
        <v>18</v>
      </c>
      <c r="I45" s="151">
        <v>18</v>
      </c>
      <c r="J45" s="180">
        <f t="shared" si="67"/>
        <v>0</v>
      </c>
      <c r="K45" s="151">
        <v>18</v>
      </c>
      <c r="L45" s="151"/>
      <c r="M45" s="181">
        <f>288889/12</f>
        <v>24074.083333333332</v>
      </c>
      <c r="N45" s="182">
        <f t="shared" ref="N45:N53" si="69">M45*12</f>
        <v>288889</v>
      </c>
      <c r="O45" s="183" t="str">
        <f t="shared" si="68"/>
        <v>Subscribed</v>
      </c>
      <c r="P45" s="151" t="s">
        <v>108</v>
      </c>
      <c r="Q45" s="151">
        <v>80</v>
      </c>
      <c r="R45" s="209">
        <v>52.7</v>
      </c>
      <c r="S45" s="185">
        <f t="shared" si="36"/>
        <v>27.299999999999997</v>
      </c>
      <c r="T45" s="151"/>
      <c r="U45" s="186">
        <f t="shared" ref="U45:U53" si="70">IF(S45&lt;=0,0,(IF(O45="Rated",(S45+T45)*$U$20,(S45+T45))))</f>
        <v>27.299999999999997</v>
      </c>
      <c r="V45" s="186">
        <f t="shared" si="4"/>
        <v>80</v>
      </c>
      <c r="W45" s="202">
        <f>R45</f>
        <v>52.7</v>
      </c>
      <c r="X45" s="186"/>
      <c r="Y45" s="83">
        <v>0</v>
      </c>
      <c r="Z45" s="189" t="str">
        <f t="shared" ref="Z45:Z50" si="71">D45</f>
        <v>Metered</v>
      </c>
      <c r="AA45" s="151">
        <v>1.7</v>
      </c>
      <c r="AB45" s="179" t="s">
        <v>132</v>
      </c>
      <c r="AC45" s="190">
        <v>8.1999999999999993</v>
      </c>
      <c r="AD45" s="147">
        <v>37508.599609375</v>
      </c>
      <c r="AE45" s="120"/>
      <c r="AF45" s="152" t="str">
        <f>IF(AE45="No of Seats","No of Seats",(IF(AE45="Space","Sq Ft","")))</f>
        <v/>
      </c>
      <c r="AG45" s="151">
        <v>3</v>
      </c>
      <c r="AH45" s="151">
        <v>3</v>
      </c>
      <c r="AI45" s="151">
        <v>0</v>
      </c>
      <c r="AJ45" s="151">
        <v>3</v>
      </c>
      <c r="AK45" s="151"/>
      <c r="AL45" s="181">
        <f>50000/12</f>
        <v>4166.666666666667</v>
      </c>
      <c r="AM45" s="83">
        <f t="shared" ref="AM45:AM53" si="72">M45*K45</f>
        <v>433333.5</v>
      </c>
      <c r="AN45" s="83">
        <f t="shared" ref="AN45:AN53" si="73">Y45*X45</f>
        <v>0</v>
      </c>
      <c r="AO45" s="83">
        <f t="shared" ref="AO45:AO53" si="74">AD45*AC45*AA45</f>
        <v>522869.87855468749</v>
      </c>
      <c r="AP45" s="83">
        <f t="shared" ref="AP45:AP53" si="75">AL45*AJ45</f>
        <v>12500</v>
      </c>
      <c r="AQ45" s="84"/>
      <c r="AR45" s="103">
        <f t="shared" ref="AR45:AR53" si="76">SUBTOTAL(9,AM45:AQ45)</f>
        <v>968703.37855468749</v>
      </c>
      <c r="AS45" s="86">
        <f t="shared" ref="AS45:AS53" si="77">AR45*12</f>
        <v>11624440.54265625</v>
      </c>
      <c r="AT45" s="85" t="s">
        <v>134</v>
      </c>
      <c r="AU45" s="69">
        <v>721004444</v>
      </c>
      <c r="AV45" s="191">
        <v>42783</v>
      </c>
      <c r="AW45" s="69">
        <v>5</v>
      </c>
      <c r="AX45" s="191">
        <v>44583</v>
      </c>
      <c r="AY45" s="69"/>
      <c r="AZ45" s="323"/>
      <c r="BA45" s="84">
        <f t="shared" ref="BA45:BA53" si="78">IF(E45="Rack",AR45/H45,0)+IF(E45="U Space",AR45*40/H45,0)+IF(E45="Space",AR45*30/H45,0)</f>
        <v>53816.854364149302</v>
      </c>
      <c r="BB45" s="84">
        <f t="shared" ref="BB45:BB53" si="79">+AR45/V45</f>
        <v>12108.792231933594</v>
      </c>
      <c r="BC45" s="84" t="e">
        <f t="shared" ref="BC45:BD53" si="80">+($AM45+$AN45+$AO45-BJ45)/$V45</f>
        <v>#VALUE!</v>
      </c>
      <c r="BD45" s="84" t="e">
        <f t="shared" si="80"/>
        <v>#VALUE!</v>
      </c>
      <c r="BE45" s="84">
        <f t="shared" ref="BE45:BE53" si="81">+($AM45+$AN45+IF(D45="Bundled",0,V45*0.85*AA45*AC45*30.5*24)-BL45)/$V45</f>
        <v>6691.2343999999921</v>
      </c>
      <c r="BF45" s="84"/>
      <c r="BG45" s="90">
        <f t="shared" ref="BG45:BG53" si="82">+AM45+AN45+AO45</f>
        <v>956203.37855468749</v>
      </c>
      <c r="BH45" s="90">
        <f t="shared" ref="BH45:BH53" si="83">+BG45-BI45</f>
        <v>433333.5</v>
      </c>
      <c r="BI45" s="90">
        <f t="shared" ref="BI45:BI53" si="84">IF(D45="Bundled",MIN(V45*$AD$20*(1+$K$2),BG45),AO45)</f>
        <v>522869.87855468749</v>
      </c>
      <c r="BJ45" s="91" t="e">
        <f t="shared" ref="BJ45:BJ53" si="85">IF($AD45&gt;0,$AD45*$AA$20*$AC$20*(1+$AF$20*(20/$AC$20)/732),$AD$20*W45)</f>
        <v>#VALUE!</v>
      </c>
      <c r="BK45" s="91" t="e">
        <f t="shared" ref="BK45:BK53" si="86">IF($AD45&gt;0,$AD45*$AA$20*$AC$20*(1+$AF$20*(20/$AC$20)/732),+$AD$20*(W45+U45))</f>
        <v>#VALUE!</v>
      </c>
      <c r="BL45" s="91">
        <f t="shared" si="55"/>
        <v>591912.18800000055</v>
      </c>
      <c r="BM45" s="91" t="e">
        <f t="shared" ref="BM45:BM53" si="87">+BC45*V45</f>
        <v>#VALUE!</v>
      </c>
      <c r="BN45" s="91">
        <f t="shared" si="57"/>
        <v>0</v>
      </c>
      <c r="BO45" s="91">
        <f t="shared" ref="BO45:BO53" si="88">+BH45-BN45</f>
        <v>433333.5</v>
      </c>
      <c r="BP45" s="91" t="e">
        <f t="shared" ref="BP45:BP53" si="89">+BI45-BJ45</f>
        <v>#VALUE!</v>
      </c>
      <c r="BQ45" s="91" t="e">
        <f t="shared" ref="BQ45:BQ53" si="90">+BO45+BP45</f>
        <v>#VALUE!</v>
      </c>
      <c r="BR45" s="91">
        <f t="shared" si="61"/>
        <v>80</v>
      </c>
      <c r="BS45" s="91" t="e">
        <f t="shared" ref="BS45:BS53" si="91">+BC45</f>
        <v>#VALUE!</v>
      </c>
      <c r="BT45" s="91" t="e">
        <f t="shared" ref="BT45:BT53" si="92">IF(D45="Bundled",BL45-BJ45,AO45-BJ45)</f>
        <v>#VALUE!</v>
      </c>
      <c r="BU45" s="91">
        <f t="shared" ref="BU45:BU53" si="93">IF(D45="Bundled",+(BE45-$J$2)*V45,(AM45+AN45)-V45*$J$2)</f>
        <v>433333.5</v>
      </c>
      <c r="BV45" s="91" t="e">
        <f t="shared" ref="BV45:BV53" si="94">+BT45+BU45</f>
        <v>#VALUE!</v>
      </c>
      <c r="BW45" s="91" t="e">
        <f t="shared" ref="BW45:BY53" si="95">+BT45/$BR45</f>
        <v>#VALUE!</v>
      </c>
      <c r="BX45" s="91">
        <f t="shared" si="95"/>
        <v>5416.6687499999998</v>
      </c>
      <c r="BY45" s="91" t="e">
        <f t="shared" si="95"/>
        <v>#VALUE!</v>
      </c>
      <c r="BZ45" s="323"/>
      <c r="CA45" s="323"/>
      <c r="CB45" s="323"/>
      <c r="CC45" s="323"/>
      <c r="CD45" s="323"/>
      <c r="CE45" s="323"/>
      <c r="CF45" s="323"/>
      <c r="CG45" s="323"/>
      <c r="CH45" s="323"/>
      <c r="CI45" s="323"/>
      <c r="CJ45" s="323"/>
      <c r="CK45" s="323"/>
      <c r="CL45" s="323"/>
      <c r="CM45" s="323"/>
      <c r="CN45" s="323"/>
      <c r="CO45" s="323"/>
      <c r="CP45" s="323"/>
      <c r="CQ45" s="323"/>
      <c r="CR45" s="323"/>
      <c r="CS45" s="323"/>
      <c r="CT45" s="323"/>
      <c r="CU45" s="323"/>
      <c r="CV45" s="323"/>
      <c r="CW45" s="323"/>
      <c r="CX45" s="323"/>
      <c r="CY45" s="323"/>
      <c r="CZ45" s="323"/>
      <c r="DA45" s="323"/>
      <c r="DB45" s="323"/>
      <c r="DC45" s="323"/>
      <c r="DD45" s="323"/>
      <c r="DE45" s="323"/>
      <c r="DF45" s="323"/>
      <c r="DG45" s="323"/>
      <c r="DH45" s="323"/>
      <c r="DI45" s="323"/>
      <c r="DJ45" s="323"/>
      <c r="DK45" s="323"/>
      <c r="DL45" s="323"/>
      <c r="DM45" s="323"/>
      <c r="DN45" s="323"/>
      <c r="DO45" s="323"/>
      <c r="DP45" s="323"/>
      <c r="DQ45" s="323"/>
      <c r="DR45" s="323"/>
      <c r="DS45" s="323"/>
      <c r="DT45" s="323"/>
      <c r="DU45" s="323"/>
      <c r="DV45" s="323"/>
      <c r="DW45" s="323"/>
      <c r="DX45" s="323"/>
      <c r="DY45" s="323"/>
      <c r="DZ45" s="323"/>
      <c r="EA45" s="323"/>
      <c r="EB45" s="323"/>
      <c r="EC45" s="323"/>
      <c r="ED45" s="323"/>
      <c r="EE45" s="323"/>
      <c r="EF45" s="323"/>
      <c r="EG45" s="323"/>
      <c r="EH45" s="323"/>
      <c r="EI45" s="323"/>
      <c r="EJ45" s="323"/>
      <c r="EK45" s="323"/>
      <c r="EL45" s="323"/>
      <c r="EM45" s="323"/>
      <c r="EN45" s="323"/>
      <c r="EO45" s="323"/>
      <c r="EP45" s="323"/>
      <c r="EQ45" s="323"/>
      <c r="ER45" s="323"/>
      <c r="ES45" s="323"/>
      <c r="ET45" s="323"/>
      <c r="EU45" s="323"/>
      <c r="EV45" s="323"/>
      <c r="EW45" s="323"/>
      <c r="EX45" s="323"/>
      <c r="EY45" s="323"/>
      <c r="EZ45" s="323"/>
      <c r="FA45" s="323"/>
      <c r="FB45" s="323"/>
      <c r="FC45" s="323"/>
      <c r="FD45" s="323"/>
      <c r="FE45" s="323"/>
      <c r="FF45" s="323"/>
      <c r="FG45" s="323"/>
      <c r="FH45" s="323"/>
      <c r="FI45" s="323"/>
      <c r="FJ45" s="323"/>
      <c r="FK45" s="323"/>
      <c r="FL45" s="323"/>
      <c r="FM45" s="323"/>
      <c r="FN45" s="323"/>
      <c r="FO45" s="323"/>
      <c r="FP45" s="323"/>
      <c r="FQ45" s="323"/>
      <c r="FR45" s="323"/>
      <c r="FS45" s="323"/>
      <c r="FT45" s="323"/>
      <c r="FU45" s="323"/>
      <c r="FV45" s="323"/>
      <c r="FW45" s="323"/>
      <c r="FX45" s="323"/>
      <c r="FY45" s="323"/>
      <c r="FZ45" s="323"/>
      <c r="GA45" s="323"/>
      <c r="GB45" s="323"/>
      <c r="GC45" s="323"/>
      <c r="GD45" s="323"/>
      <c r="GE45" s="323"/>
      <c r="GF45" s="323"/>
      <c r="GG45" s="323"/>
      <c r="GH45" s="323"/>
      <c r="GI45" s="323"/>
      <c r="GJ45" s="323"/>
      <c r="GK45" s="323"/>
      <c r="GL45" s="323"/>
      <c r="GM45" s="323"/>
      <c r="GN45" s="323"/>
      <c r="GO45" s="323"/>
      <c r="GP45" s="323"/>
      <c r="GQ45" s="323"/>
      <c r="GR45" s="323"/>
      <c r="GS45" s="323"/>
      <c r="GT45" s="323"/>
      <c r="GU45" s="323"/>
      <c r="GV45" s="323"/>
      <c r="GW45" s="323"/>
      <c r="GX45" s="323"/>
      <c r="GY45" s="323"/>
      <c r="GZ45" s="323"/>
      <c r="HA45" s="323"/>
      <c r="HB45" s="323"/>
      <c r="HC45" s="323"/>
      <c r="HD45" s="323"/>
      <c r="HE45" s="323"/>
      <c r="HF45" s="323"/>
      <c r="HG45" s="323"/>
      <c r="HH45" s="323"/>
      <c r="HI45" s="323"/>
      <c r="HJ45" s="323"/>
      <c r="HK45" s="323"/>
      <c r="HL45" s="323"/>
      <c r="HM45" s="323"/>
      <c r="HN45" s="323"/>
      <c r="HO45" s="323"/>
      <c r="HP45" s="323"/>
      <c r="HQ45" s="323"/>
      <c r="HR45" s="323"/>
      <c r="HS45" s="323"/>
      <c r="HT45" s="323"/>
      <c r="HU45" s="323"/>
      <c r="HV45" s="323"/>
      <c r="HW45" s="323"/>
      <c r="HX45" s="323"/>
      <c r="HY45" s="323"/>
      <c r="HZ45" s="323"/>
      <c r="IA45" s="323"/>
      <c r="IB45" s="323"/>
      <c r="IC45" s="323"/>
      <c r="ID45" s="323"/>
      <c r="IE45" s="323"/>
      <c r="IF45" s="323"/>
      <c r="IG45" s="323"/>
      <c r="IH45" s="323"/>
      <c r="II45" s="323"/>
      <c r="IJ45" s="323"/>
      <c r="IK45" s="323"/>
      <c r="IL45" s="323"/>
      <c r="IM45" s="323"/>
      <c r="IN45" s="323"/>
      <c r="IO45" s="323"/>
      <c r="IP45" s="323"/>
      <c r="IQ45" s="323"/>
      <c r="IR45" s="323"/>
      <c r="IS45" s="323"/>
      <c r="IT45" s="323"/>
      <c r="IU45" s="323"/>
      <c r="IV45" s="323"/>
    </row>
    <row r="46" spans="1:256" ht="32.25">
      <c r="A46" s="242" t="s">
        <v>122</v>
      </c>
      <c r="B46" s="243" t="s">
        <v>195</v>
      </c>
      <c r="C46" s="243" t="s">
        <v>124</v>
      </c>
      <c r="D46" s="244" t="s">
        <v>116</v>
      </c>
      <c r="E46" s="243" t="s">
        <v>117</v>
      </c>
      <c r="F46" s="243" t="s">
        <v>118</v>
      </c>
      <c r="G46" s="154" t="str">
        <f t="shared" si="0"/>
        <v>No of Racks</v>
      </c>
      <c r="H46" s="243">
        <v>2</v>
      </c>
      <c r="I46" s="243">
        <v>2</v>
      </c>
      <c r="J46" s="180">
        <f t="shared" si="67"/>
        <v>0</v>
      </c>
      <c r="K46" s="243">
        <v>2</v>
      </c>
      <c r="L46" s="243"/>
      <c r="M46" s="245">
        <f>(475000*2)/12</f>
        <v>79166.666666666672</v>
      </c>
      <c r="N46" s="104">
        <f t="shared" si="69"/>
        <v>950000</v>
      </c>
      <c r="O46" s="246" t="str">
        <f t="shared" si="68"/>
        <v>Rated</v>
      </c>
      <c r="P46" s="243" t="s">
        <v>125</v>
      </c>
      <c r="Q46" s="243">
        <v>8</v>
      </c>
      <c r="R46" s="247">
        <v>0</v>
      </c>
      <c r="S46" s="248">
        <f t="shared" si="36"/>
        <v>8</v>
      </c>
      <c r="T46" s="249"/>
      <c r="U46" s="186">
        <f t="shared" ca="1" si="70"/>
        <v>4</v>
      </c>
      <c r="V46" s="249">
        <v>4.3499999999999996</v>
      </c>
      <c r="W46" s="202">
        <f>R46</f>
        <v>0</v>
      </c>
      <c r="X46" s="186"/>
      <c r="Y46" s="104">
        <f>(90000+100000)/12</f>
        <v>15833.333333333334</v>
      </c>
      <c r="Z46" s="250" t="str">
        <f t="shared" si="71"/>
        <v>Bundled</v>
      </c>
      <c r="AA46" s="249"/>
      <c r="AB46" s="249"/>
      <c r="AC46" s="190"/>
      <c r="AD46" s="193"/>
      <c r="AE46" s="137"/>
      <c r="AF46" s="154" t="str">
        <f>IF(AE46="No of Seats","No of Seats",(IF(AE46="Space","Sq Ft","")))</f>
        <v/>
      </c>
      <c r="AG46" s="249"/>
      <c r="AH46" s="249"/>
      <c r="AI46" s="249"/>
      <c r="AJ46" s="249"/>
      <c r="AK46" s="249"/>
      <c r="AL46" s="245"/>
      <c r="AM46" s="104">
        <f t="shared" si="72"/>
        <v>158333.33333333334</v>
      </c>
      <c r="AN46" s="104">
        <f t="shared" si="73"/>
        <v>0</v>
      </c>
      <c r="AO46" s="104">
        <f t="shared" si="74"/>
        <v>0</v>
      </c>
      <c r="AP46" s="104">
        <f t="shared" si="75"/>
        <v>0</v>
      </c>
      <c r="AQ46" s="105">
        <f>(40000)/12</f>
        <v>3333.3333333333335</v>
      </c>
      <c r="AR46" s="103">
        <f t="shared" si="76"/>
        <v>161666.66666666669</v>
      </c>
      <c r="AS46" s="103">
        <f t="shared" si="77"/>
        <v>1940000.0000000002</v>
      </c>
      <c r="AT46" s="103" t="s">
        <v>119</v>
      </c>
      <c r="AU46" s="106">
        <v>721005672</v>
      </c>
      <c r="AV46" s="251">
        <v>43070</v>
      </c>
      <c r="AW46" s="106">
        <v>1</v>
      </c>
      <c r="AX46" s="251">
        <v>43405</v>
      </c>
      <c r="AY46" s="106"/>
      <c r="AZ46" s="323"/>
      <c r="BA46" s="107">
        <f t="shared" si="78"/>
        <v>80833.333333333343</v>
      </c>
      <c r="BB46" s="107">
        <f t="shared" si="79"/>
        <v>37164.750957854412</v>
      </c>
      <c r="BC46" s="107">
        <f t="shared" si="80"/>
        <v>36398.467432950194</v>
      </c>
      <c r="BD46" s="107">
        <f t="shared" ca="1" si="80"/>
        <v>26814.456398467435</v>
      </c>
      <c r="BE46" s="107">
        <f t="shared" si="81"/>
        <v>27693.876432950186</v>
      </c>
      <c r="BF46" s="107"/>
      <c r="BG46" s="252">
        <f t="shared" si="82"/>
        <v>158333.33333333334</v>
      </c>
      <c r="BH46" s="252">
        <f t="shared" si="83"/>
        <v>0</v>
      </c>
      <c r="BI46" s="252">
        <f t="shared" si="84"/>
        <v>158333.33333333334</v>
      </c>
      <c r="BJ46" s="108">
        <f t="shared" si="85"/>
        <v>0</v>
      </c>
      <c r="BK46" s="108">
        <f t="shared" ca="1" si="86"/>
        <v>41690.448000000004</v>
      </c>
      <c r="BL46" s="108">
        <f t="shared" si="55"/>
        <v>37864.970850000042</v>
      </c>
      <c r="BM46" s="108">
        <f t="shared" si="87"/>
        <v>158333.33333333334</v>
      </c>
      <c r="BN46" s="108">
        <f t="shared" si="57"/>
        <v>0</v>
      </c>
      <c r="BO46" s="108">
        <f t="shared" si="88"/>
        <v>0</v>
      </c>
      <c r="BP46" s="108">
        <f t="shared" si="89"/>
        <v>158333.33333333334</v>
      </c>
      <c r="BQ46" s="108">
        <f t="shared" si="90"/>
        <v>158333.33333333334</v>
      </c>
      <c r="BR46" s="108">
        <f t="shared" si="61"/>
        <v>4.3499999999999996</v>
      </c>
      <c r="BS46" s="108">
        <f t="shared" si="91"/>
        <v>36398.467432950194</v>
      </c>
      <c r="BT46" s="108">
        <f t="shared" si="92"/>
        <v>37864.970850000042</v>
      </c>
      <c r="BU46" s="108">
        <f t="shared" si="93"/>
        <v>120468.3624833333</v>
      </c>
      <c r="BV46" s="108">
        <f t="shared" si="94"/>
        <v>158333.33333333334</v>
      </c>
      <c r="BW46" s="108">
        <f t="shared" si="95"/>
        <v>8704.5910000000094</v>
      </c>
      <c r="BX46" s="108">
        <f t="shared" si="95"/>
        <v>27693.876432950186</v>
      </c>
      <c r="BY46" s="108">
        <f t="shared" si="95"/>
        <v>36398.467432950194</v>
      </c>
      <c r="BZ46" s="323"/>
      <c r="CA46" s="323"/>
      <c r="CB46" s="323"/>
      <c r="CC46" s="323"/>
      <c r="CD46" s="323"/>
      <c r="CE46" s="323"/>
      <c r="CF46" s="323"/>
      <c r="CG46" s="323"/>
      <c r="CH46" s="323"/>
      <c r="CI46" s="323"/>
      <c r="CJ46" s="323"/>
      <c r="CK46" s="323"/>
      <c r="CL46" s="323"/>
      <c r="CM46" s="323"/>
      <c r="CN46" s="323"/>
      <c r="CO46" s="323"/>
      <c r="CP46" s="323"/>
      <c r="CQ46" s="323"/>
      <c r="CR46" s="323"/>
      <c r="CS46" s="323"/>
      <c r="CT46" s="323"/>
      <c r="CU46" s="323"/>
      <c r="CV46" s="323"/>
      <c r="CW46" s="323"/>
      <c r="CX46" s="323"/>
      <c r="CY46" s="323"/>
      <c r="CZ46" s="323"/>
      <c r="DA46" s="323"/>
      <c r="DB46" s="323"/>
      <c r="DC46" s="323"/>
      <c r="DD46" s="323"/>
      <c r="DE46" s="323"/>
      <c r="DF46" s="323"/>
      <c r="DG46" s="323"/>
      <c r="DH46" s="323"/>
      <c r="DI46" s="323"/>
      <c r="DJ46" s="323"/>
      <c r="DK46" s="323"/>
      <c r="DL46" s="323"/>
      <c r="DM46" s="323"/>
      <c r="DN46" s="323"/>
      <c r="DO46" s="323"/>
      <c r="DP46" s="323"/>
      <c r="DQ46" s="323"/>
      <c r="DR46" s="323"/>
      <c r="DS46" s="323"/>
      <c r="DT46" s="323"/>
      <c r="DU46" s="323"/>
      <c r="DV46" s="323"/>
      <c r="DW46" s="323"/>
      <c r="DX46" s="323"/>
      <c r="DY46" s="323"/>
      <c r="DZ46" s="323"/>
      <c r="EA46" s="323"/>
      <c r="EB46" s="323"/>
      <c r="EC46" s="323"/>
      <c r="ED46" s="323"/>
      <c r="EE46" s="323"/>
      <c r="EF46" s="323"/>
      <c r="EG46" s="323"/>
      <c r="EH46" s="323"/>
      <c r="EI46" s="323"/>
      <c r="EJ46" s="323"/>
      <c r="EK46" s="323"/>
      <c r="EL46" s="323"/>
      <c r="EM46" s="323"/>
      <c r="EN46" s="323"/>
      <c r="EO46" s="323"/>
      <c r="EP46" s="323"/>
      <c r="EQ46" s="323"/>
      <c r="ER46" s="323"/>
      <c r="ES46" s="323"/>
      <c r="ET46" s="323"/>
      <c r="EU46" s="323"/>
      <c r="EV46" s="323"/>
      <c r="EW46" s="323"/>
      <c r="EX46" s="323"/>
      <c r="EY46" s="323"/>
      <c r="EZ46" s="323"/>
      <c r="FA46" s="323"/>
      <c r="FB46" s="323"/>
      <c r="FC46" s="323"/>
      <c r="FD46" s="323"/>
      <c r="FE46" s="323"/>
      <c r="FF46" s="323"/>
      <c r="FG46" s="323"/>
      <c r="FH46" s="323"/>
      <c r="FI46" s="323"/>
      <c r="FJ46" s="323"/>
      <c r="FK46" s="323"/>
      <c r="FL46" s="323"/>
      <c r="FM46" s="323"/>
      <c r="FN46" s="323"/>
      <c r="FO46" s="323"/>
      <c r="FP46" s="323"/>
      <c r="FQ46" s="323"/>
      <c r="FR46" s="323"/>
      <c r="FS46" s="323"/>
      <c r="FT46" s="323"/>
      <c r="FU46" s="323"/>
      <c r="FV46" s="323"/>
      <c r="FW46" s="323"/>
      <c r="FX46" s="323"/>
      <c r="FY46" s="323"/>
      <c r="FZ46" s="323"/>
      <c r="GA46" s="323"/>
      <c r="GB46" s="323"/>
      <c r="GC46" s="323"/>
      <c r="GD46" s="323"/>
      <c r="GE46" s="323"/>
      <c r="GF46" s="323"/>
      <c r="GG46" s="323"/>
      <c r="GH46" s="323"/>
      <c r="GI46" s="323"/>
      <c r="GJ46" s="323"/>
      <c r="GK46" s="323"/>
      <c r="GL46" s="323"/>
      <c r="GM46" s="323"/>
      <c r="GN46" s="323"/>
      <c r="GO46" s="323"/>
      <c r="GP46" s="323"/>
      <c r="GQ46" s="323"/>
      <c r="GR46" s="323"/>
      <c r="GS46" s="323"/>
      <c r="GT46" s="323"/>
      <c r="GU46" s="323"/>
      <c r="GV46" s="323"/>
      <c r="GW46" s="323"/>
      <c r="GX46" s="323"/>
      <c r="GY46" s="323"/>
      <c r="GZ46" s="323"/>
      <c r="HA46" s="323"/>
      <c r="HB46" s="323"/>
      <c r="HC46" s="323"/>
      <c r="HD46" s="323"/>
      <c r="HE46" s="323"/>
      <c r="HF46" s="323"/>
      <c r="HG46" s="323"/>
      <c r="HH46" s="323"/>
      <c r="HI46" s="323"/>
      <c r="HJ46" s="323"/>
      <c r="HK46" s="323"/>
      <c r="HL46" s="323"/>
      <c r="HM46" s="323"/>
      <c r="HN46" s="323"/>
      <c r="HO46" s="323"/>
      <c r="HP46" s="323"/>
      <c r="HQ46" s="323"/>
      <c r="HR46" s="323"/>
      <c r="HS46" s="323"/>
      <c r="HT46" s="323"/>
      <c r="HU46" s="323"/>
      <c r="HV46" s="323"/>
      <c r="HW46" s="323"/>
      <c r="HX46" s="323"/>
      <c r="HY46" s="323"/>
      <c r="HZ46" s="323"/>
      <c r="IA46" s="323"/>
      <c r="IB46" s="323"/>
      <c r="IC46" s="323"/>
      <c r="ID46" s="323"/>
      <c r="IE46" s="323"/>
      <c r="IF46" s="323"/>
      <c r="IG46" s="323"/>
      <c r="IH46" s="323"/>
      <c r="II46" s="323"/>
      <c r="IJ46" s="323"/>
      <c r="IK46" s="323"/>
      <c r="IL46" s="323"/>
      <c r="IM46" s="323"/>
      <c r="IN46" s="323"/>
      <c r="IO46" s="323"/>
      <c r="IP46" s="323"/>
      <c r="IQ46" s="323"/>
      <c r="IR46" s="323"/>
      <c r="IS46" s="323"/>
      <c r="IT46" s="323"/>
      <c r="IU46" s="323"/>
      <c r="IV46" s="323"/>
    </row>
    <row r="47" spans="1:256" ht="15">
      <c r="A47" s="242" t="s">
        <v>122</v>
      </c>
      <c r="B47" s="243" t="s">
        <v>196</v>
      </c>
      <c r="C47" s="243" t="s">
        <v>124</v>
      </c>
      <c r="D47" s="244" t="s">
        <v>116</v>
      </c>
      <c r="E47" s="243" t="s">
        <v>117</v>
      </c>
      <c r="F47" s="243" t="s">
        <v>118</v>
      </c>
      <c r="G47" s="154" t="str">
        <f t="shared" si="0"/>
        <v>No of Racks</v>
      </c>
      <c r="H47" s="243">
        <v>1</v>
      </c>
      <c r="I47" s="243">
        <v>1</v>
      </c>
      <c r="J47" s="180">
        <f t="shared" si="67"/>
        <v>0</v>
      </c>
      <c r="K47" s="243">
        <v>1</v>
      </c>
      <c r="L47" s="243"/>
      <c r="M47" s="245">
        <f>420000/12</f>
        <v>35000</v>
      </c>
      <c r="N47" s="104">
        <f t="shared" si="69"/>
        <v>420000</v>
      </c>
      <c r="O47" s="246" t="str">
        <f t="shared" si="68"/>
        <v>Rated</v>
      </c>
      <c r="P47" s="243" t="s">
        <v>125</v>
      </c>
      <c r="Q47" s="243">
        <v>3</v>
      </c>
      <c r="R47" s="247">
        <v>4.6900000000000004</v>
      </c>
      <c r="S47" s="248">
        <f t="shared" si="36"/>
        <v>-1.6900000000000004</v>
      </c>
      <c r="T47" s="249"/>
      <c r="U47" s="186">
        <f t="shared" si="70"/>
        <v>0</v>
      </c>
      <c r="V47" s="249">
        <f t="shared" ref="V47:V53" ca="1" si="96">IF(O47="Rated",Q47*$U$20,Q47)</f>
        <v>1.5</v>
      </c>
      <c r="W47" s="202">
        <f>R47</f>
        <v>4.6900000000000004</v>
      </c>
      <c r="X47" s="186"/>
      <c r="Y47" s="104">
        <f>90000/12</f>
        <v>7500</v>
      </c>
      <c r="Z47" s="250" t="str">
        <f t="shared" si="71"/>
        <v>Bundled</v>
      </c>
      <c r="AA47" s="249"/>
      <c r="AB47" s="249"/>
      <c r="AC47" s="190"/>
      <c r="AD47" s="193"/>
      <c r="AE47" s="137"/>
      <c r="AF47" s="154" t="str">
        <f>IF(AE47="No of Seats","No of Seats",(IF(AE47="Space","Sq Ft","")))</f>
        <v/>
      </c>
      <c r="AG47" s="249"/>
      <c r="AH47" s="249"/>
      <c r="AI47" s="249"/>
      <c r="AJ47" s="249"/>
      <c r="AK47" s="249"/>
      <c r="AL47" s="245"/>
      <c r="AM47" s="104">
        <f t="shared" si="72"/>
        <v>35000</v>
      </c>
      <c r="AN47" s="104">
        <f t="shared" si="73"/>
        <v>0</v>
      </c>
      <c r="AO47" s="104">
        <f t="shared" si="74"/>
        <v>0</v>
      </c>
      <c r="AP47" s="104">
        <f t="shared" si="75"/>
        <v>0</v>
      </c>
      <c r="AQ47" s="105">
        <f>(40000)/12</f>
        <v>3333.3333333333335</v>
      </c>
      <c r="AR47" s="103">
        <f t="shared" si="76"/>
        <v>38333.333333333336</v>
      </c>
      <c r="AS47" s="103">
        <f t="shared" si="77"/>
        <v>460000</v>
      </c>
      <c r="AT47" s="103" t="s">
        <v>119</v>
      </c>
      <c r="AU47" s="106" t="s">
        <v>197</v>
      </c>
      <c r="AV47" s="251">
        <v>43101</v>
      </c>
      <c r="AW47" s="106">
        <v>1</v>
      </c>
      <c r="AX47" s="251">
        <v>43452</v>
      </c>
      <c r="AY47" s="106" t="s">
        <v>198</v>
      </c>
      <c r="AZ47" s="323"/>
      <c r="BA47" s="107">
        <f t="shared" si="78"/>
        <v>38333.333333333336</v>
      </c>
      <c r="BB47" s="107">
        <f t="shared" ca="1" si="79"/>
        <v>0</v>
      </c>
      <c r="BC47" s="107">
        <f t="shared" ca="1" si="80"/>
        <v>-9254.7001866666742</v>
      </c>
      <c r="BD47" s="107">
        <f t="shared" ca="1" si="80"/>
        <v>-9254.7001866666742</v>
      </c>
      <c r="BE47" s="107">
        <f t="shared" ca="1" si="81"/>
        <v>12910.721333333333</v>
      </c>
      <c r="BF47" s="107"/>
      <c r="BG47" s="252">
        <f t="shared" si="82"/>
        <v>35000</v>
      </c>
      <c r="BH47" s="252">
        <f t="shared" ca="1" si="83"/>
        <v>19366.081999999999</v>
      </c>
      <c r="BI47" s="252">
        <f t="shared" ca="1" si="84"/>
        <v>15633.918000000001</v>
      </c>
      <c r="BJ47" s="108">
        <f t="shared" si="85"/>
        <v>40824.531790000045</v>
      </c>
      <c r="BK47" s="108">
        <f t="shared" si="86"/>
        <v>40824.531790000045</v>
      </c>
      <c r="BL47" s="108">
        <f t="shared" ca="1" si="55"/>
        <v>15633.918000000001</v>
      </c>
      <c r="BM47" s="108">
        <f t="shared" ca="1" si="87"/>
        <v>-13882.05028000001</v>
      </c>
      <c r="BN47" s="108">
        <f t="shared" ca="1" si="57"/>
        <v>9000</v>
      </c>
      <c r="BO47" s="108">
        <f t="shared" ca="1" si="88"/>
        <v>10366.081999999999</v>
      </c>
      <c r="BP47" s="108">
        <f t="shared" ca="1" si="89"/>
        <v>-33248.132280000005</v>
      </c>
      <c r="BQ47" s="108">
        <f t="shared" ca="1" si="90"/>
        <v>-22882.050280000007</v>
      </c>
      <c r="BR47" s="108">
        <f t="shared" ca="1" si="61"/>
        <v>1.5</v>
      </c>
      <c r="BS47" s="108">
        <f t="shared" ca="1" si="91"/>
        <v>-9254.7001866666742</v>
      </c>
      <c r="BT47" s="108">
        <f t="shared" ca="1" si="92"/>
        <v>-33248.132280000005</v>
      </c>
      <c r="BU47" s="108">
        <f t="shared" ca="1" si="93"/>
        <v>10366.081999999999</v>
      </c>
      <c r="BV47" s="108">
        <f t="shared" ca="1" si="94"/>
        <v>-22882.050280000007</v>
      </c>
      <c r="BW47" s="108">
        <f t="shared" ca="1" si="95"/>
        <v>-22165.421520000004</v>
      </c>
      <c r="BX47" s="108">
        <f t="shared" ca="1" si="95"/>
        <v>6910.721333333332</v>
      </c>
      <c r="BY47" s="108">
        <f t="shared" ca="1" si="95"/>
        <v>-15254.700186666671</v>
      </c>
      <c r="BZ47" s="323"/>
      <c r="CA47" s="323"/>
      <c r="CB47" s="323"/>
      <c r="CC47" s="323"/>
      <c r="CD47" s="323"/>
      <c r="CE47" s="323"/>
      <c r="CF47" s="323"/>
      <c r="CG47" s="323"/>
      <c r="CH47" s="323"/>
      <c r="CI47" s="323"/>
      <c r="CJ47" s="323"/>
      <c r="CK47" s="323"/>
      <c r="CL47" s="323"/>
      <c r="CM47" s="323"/>
      <c r="CN47" s="323"/>
      <c r="CO47" s="323"/>
      <c r="CP47" s="323"/>
      <c r="CQ47" s="323"/>
      <c r="CR47" s="323"/>
      <c r="CS47" s="323"/>
      <c r="CT47" s="323"/>
      <c r="CU47" s="323"/>
      <c r="CV47" s="323"/>
      <c r="CW47" s="323"/>
      <c r="CX47" s="323"/>
      <c r="CY47" s="323"/>
      <c r="CZ47" s="323"/>
      <c r="DA47" s="323"/>
      <c r="DB47" s="323"/>
      <c r="DC47" s="323"/>
      <c r="DD47" s="323"/>
      <c r="DE47" s="323"/>
      <c r="DF47" s="323"/>
      <c r="DG47" s="323"/>
      <c r="DH47" s="323"/>
      <c r="DI47" s="323"/>
      <c r="DJ47" s="323"/>
      <c r="DK47" s="323"/>
      <c r="DL47" s="323"/>
      <c r="DM47" s="323"/>
      <c r="DN47" s="323"/>
      <c r="DO47" s="323"/>
      <c r="DP47" s="323"/>
      <c r="DQ47" s="323"/>
      <c r="DR47" s="323"/>
      <c r="DS47" s="323"/>
      <c r="DT47" s="323"/>
      <c r="DU47" s="323"/>
      <c r="DV47" s="323"/>
      <c r="DW47" s="323"/>
      <c r="DX47" s="323"/>
      <c r="DY47" s="323"/>
      <c r="DZ47" s="323"/>
      <c r="EA47" s="323"/>
      <c r="EB47" s="323"/>
      <c r="EC47" s="323"/>
      <c r="ED47" s="323"/>
      <c r="EE47" s="323"/>
      <c r="EF47" s="323"/>
      <c r="EG47" s="323"/>
      <c r="EH47" s="323"/>
      <c r="EI47" s="323"/>
      <c r="EJ47" s="323"/>
      <c r="EK47" s="323"/>
      <c r="EL47" s="323"/>
      <c r="EM47" s="323"/>
      <c r="EN47" s="323"/>
      <c r="EO47" s="323"/>
      <c r="EP47" s="323"/>
      <c r="EQ47" s="323"/>
      <c r="ER47" s="323"/>
      <c r="ES47" s="323"/>
      <c r="ET47" s="323"/>
      <c r="EU47" s="323"/>
      <c r="EV47" s="323"/>
      <c r="EW47" s="323"/>
      <c r="EX47" s="323"/>
      <c r="EY47" s="323"/>
      <c r="EZ47" s="323"/>
      <c r="FA47" s="323"/>
      <c r="FB47" s="323"/>
      <c r="FC47" s="323"/>
      <c r="FD47" s="323"/>
      <c r="FE47" s="323"/>
      <c r="FF47" s="323"/>
      <c r="FG47" s="323"/>
      <c r="FH47" s="323"/>
      <c r="FI47" s="323"/>
      <c r="FJ47" s="323"/>
      <c r="FK47" s="323"/>
      <c r="FL47" s="323"/>
      <c r="FM47" s="323"/>
      <c r="FN47" s="323"/>
      <c r="FO47" s="323"/>
      <c r="FP47" s="323"/>
      <c r="FQ47" s="323"/>
      <c r="FR47" s="323"/>
      <c r="FS47" s="323"/>
      <c r="FT47" s="323"/>
      <c r="FU47" s="323"/>
      <c r="FV47" s="323"/>
      <c r="FW47" s="323"/>
      <c r="FX47" s="323"/>
      <c r="FY47" s="323"/>
      <c r="FZ47" s="323"/>
      <c r="GA47" s="323"/>
      <c r="GB47" s="323"/>
      <c r="GC47" s="323"/>
      <c r="GD47" s="323"/>
      <c r="GE47" s="323"/>
      <c r="GF47" s="323"/>
      <c r="GG47" s="323"/>
      <c r="GH47" s="323"/>
      <c r="GI47" s="323"/>
      <c r="GJ47" s="323"/>
      <c r="GK47" s="323"/>
      <c r="GL47" s="323"/>
      <c r="GM47" s="323"/>
      <c r="GN47" s="323"/>
      <c r="GO47" s="323"/>
      <c r="GP47" s="323"/>
      <c r="GQ47" s="323"/>
      <c r="GR47" s="323"/>
      <c r="GS47" s="323"/>
      <c r="GT47" s="323"/>
      <c r="GU47" s="323"/>
      <c r="GV47" s="323"/>
      <c r="GW47" s="323"/>
      <c r="GX47" s="323"/>
      <c r="GY47" s="323"/>
      <c r="GZ47" s="323"/>
      <c r="HA47" s="323"/>
      <c r="HB47" s="323"/>
      <c r="HC47" s="323"/>
      <c r="HD47" s="323"/>
      <c r="HE47" s="323"/>
      <c r="HF47" s="323"/>
      <c r="HG47" s="323"/>
      <c r="HH47" s="323"/>
      <c r="HI47" s="323"/>
      <c r="HJ47" s="323"/>
      <c r="HK47" s="323"/>
      <c r="HL47" s="323"/>
      <c r="HM47" s="323"/>
      <c r="HN47" s="323"/>
      <c r="HO47" s="323"/>
      <c r="HP47" s="323"/>
      <c r="HQ47" s="323"/>
      <c r="HR47" s="323"/>
      <c r="HS47" s="323"/>
      <c r="HT47" s="323"/>
      <c r="HU47" s="323"/>
      <c r="HV47" s="323"/>
      <c r="HW47" s="323"/>
      <c r="HX47" s="323"/>
      <c r="HY47" s="323"/>
      <c r="HZ47" s="323"/>
      <c r="IA47" s="323"/>
      <c r="IB47" s="323"/>
      <c r="IC47" s="323"/>
      <c r="ID47" s="323"/>
      <c r="IE47" s="323"/>
      <c r="IF47" s="323"/>
      <c r="IG47" s="323"/>
      <c r="IH47" s="323"/>
      <c r="II47" s="323"/>
      <c r="IJ47" s="323"/>
      <c r="IK47" s="323"/>
      <c r="IL47" s="323"/>
      <c r="IM47" s="323"/>
      <c r="IN47" s="323"/>
      <c r="IO47" s="323"/>
      <c r="IP47" s="323"/>
      <c r="IQ47" s="323"/>
      <c r="IR47" s="323"/>
      <c r="IS47" s="323"/>
      <c r="IT47" s="323"/>
      <c r="IU47" s="323"/>
      <c r="IV47" s="323"/>
    </row>
    <row r="48" spans="1:256" ht="42.75">
      <c r="A48" s="178" t="s">
        <v>136</v>
      </c>
      <c r="B48" s="243" t="s">
        <v>199</v>
      </c>
      <c r="C48" s="243" t="s">
        <v>124</v>
      </c>
      <c r="D48" s="244" t="s">
        <v>116</v>
      </c>
      <c r="E48" s="243" t="s">
        <v>117</v>
      </c>
      <c r="F48" s="243" t="s">
        <v>118</v>
      </c>
      <c r="G48" s="154" t="str">
        <f t="shared" si="0"/>
        <v>No of Racks</v>
      </c>
      <c r="H48" s="243">
        <v>4</v>
      </c>
      <c r="I48" s="243">
        <v>4</v>
      </c>
      <c r="J48" s="180">
        <f t="shared" si="67"/>
        <v>0</v>
      </c>
      <c r="K48" s="243">
        <v>4</v>
      </c>
      <c r="L48" s="243"/>
      <c r="M48" s="245">
        <f>2483545/12</f>
        <v>206962.08333333334</v>
      </c>
      <c r="N48" s="104">
        <f t="shared" si="69"/>
        <v>2483545</v>
      </c>
      <c r="O48" s="246" t="str">
        <f t="shared" si="68"/>
        <v>Rated</v>
      </c>
      <c r="P48" s="243" t="s">
        <v>125</v>
      </c>
      <c r="Q48" s="243">
        <v>24</v>
      </c>
      <c r="R48" s="233">
        <v>47.92</v>
      </c>
      <c r="S48" s="248">
        <f t="shared" si="36"/>
        <v>-23.92</v>
      </c>
      <c r="T48" s="249"/>
      <c r="U48" s="186">
        <f t="shared" si="70"/>
        <v>0</v>
      </c>
      <c r="V48" s="249">
        <f t="shared" ca="1" si="96"/>
        <v>12</v>
      </c>
      <c r="W48" s="202">
        <f>R48</f>
        <v>47.92</v>
      </c>
      <c r="X48" s="186"/>
      <c r="Y48" s="104">
        <f>96000/12</f>
        <v>8000</v>
      </c>
      <c r="Z48" s="250" t="str">
        <f t="shared" si="71"/>
        <v>Bundled</v>
      </c>
      <c r="AA48" s="249"/>
      <c r="AB48" s="249"/>
      <c r="AC48" s="190"/>
      <c r="AD48" s="193"/>
      <c r="AE48" s="253" t="s">
        <v>133</v>
      </c>
      <c r="AF48" s="154" t="str">
        <f>IF(AE48="No of Seats","No of Seats",(IF(AE48="Space","Sq Ft","")))</f>
        <v>No of Seats</v>
      </c>
      <c r="AG48" s="151">
        <v>1</v>
      </c>
      <c r="AH48" s="151">
        <v>1</v>
      </c>
      <c r="AI48" s="151">
        <v>0</v>
      </c>
      <c r="AJ48" s="249"/>
      <c r="AK48" s="249"/>
      <c r="AL48" s="245">
        <f>95000/12</f>
        <v>7916.666666666667</v>
      </c>
      <c r="AM48" s="104">
        <f t="shared" si="72"/>
        <v>827848.33333333337</v>
      </c>
      <c r="AN48" s="104">
        <f t="shared" si="73"/>
        <v>0</v>
      </c>
      <c r="AO48" s="104">
        <f t="shared" si="74"/>
        <v>0</v>
      </c>
      <c r="AP48" s="104">
        <f t="shared" si="75"/>
        <v>0</v>
      </c>
      <c r="AQ48" s="105">
        <f>150000+12500+48000</f>
        <v>210500</v>
      </c>
      <c r="AR48" s="103">
        <f t="shared" si="76"/>
        <v>1038348.3333333334</v>
      </c>
      <c r="AS48" s="103">
        <f t="shared" si="77"/>
        <v>12460180</v>
      </c>
      <c r="AT48" s="103" t="s">
        <v>119</v>
      </c>
      <c r="AU48" s="106"/>
      <c r="AV48" s="251">
        <v>43391</v>
      </c>
      <c r="AW48" s="106">
        <v>3</v>
      </c>
      <c r="AX48" s="251">
        <v>44460</v>
      </c>
      <c r="AY48" s="106" t="s">
        <v>200</v>
      </c>
      <c r="AZ48" s="323"/>
      <c r="BA48" s="107">
        <f t="shared" si="78"/>
        <v>259587.08333333334</v>
      </c>
      <c r="BB48" s="107">
        <f t="shared" ca="1" si="79"/>
        <v>0</v>
      </c>
      <c r="BC48" s="107">
        <f t="shared" ca="1" si="80"/>
        <v>27366.397191111111</v>
      </c>
      <c r="BD48" s="107">
        <f t="shared" ca="1" si="80"/>
        <v>27366.397191111111</v>
      </c>
      <c r="BE48" s="107">
        <f t="shared" ca="1" si="81"/>
        <v>58564.749111111109</v>
      </c>
      <c r="BF48" s="107"/>
      <c r="BG48" s="252">
        <f t="shared" si="82"/>
        <v>827848.33333333337</v>
      </c>
      <c r="BH48" s="252">
        <f t="shared" ca="1" si="83"/>
        <v>702776.98933333333</v>
      </c>
      <c r="BI48" s="252">
        <f t="shared" ca="1" si="84"/>
        <v>125071.34400000001</v>
      </c>
      <c r="BJ48" s="108">
        <f t="shared" si="85"/>
        <v>417124.00072000048</v>
      </c>
      <c r="BK48" s="108">
        <f t="shared" si="86"/>
        <v>417124.00072000048</v>
      </c>
      <c r="BL48" s="108">
        <f t="shared" ca="1" si="55"/>
        <v>125071.34400000001</v>
      </c>
      <c r="BM48" s="108">
        <f t="shared" ca="1" si="87"/>
        <v>328396.76629333332</v>
      </c>
      <c r="BN48" s="108">
        <f t="shared" ca="1" si="57"/>
        <v>72000</v>
      </c>
      <c r="BO48" s="108">
        <f t="shared" ca="1" si="88"/>
        <v>630776.98933333333</v>
      </c>
      <c r="BP48" s="108">
        <f t="shared" ca="1" si="89"/>
        <v>-374380.22304000007</v>
      </c>
      <c r="BQ48" s="108">
        <f t="shared" ca="1" si="90"/>
        <v>256396.76629333326</v>
      </c>
      <c r="BR48" s="108">
        <f t="shared" ca="1" si="61"/>
        <v>12</v>
      </c>
      <c r="BS48" s="108">
        <f t="shared" ca="1" si="91"/>
        <v>27366.397191111111</v>
      </c>
      <c r="BT48" s="108">
        <f t="shared" ca="1" si="92"/>
        <v>-374380.22304000007</v>
      </c>
      <c r="BU48" s="108">
        <f t="shared" ca="1" si="93"/>
        <v>630776.98933333333</v>
      </c>
      <c r="BV48" s="108">
        <f t="shared" ca="1" si="94"/>
        <v>256396.76629333326</v>
      </c>
      <c r="BW48" s="108">
        <f t="shared" ca="1" si="95"/>
        <v>-31198.351920000005</v>
      </c>
      <c r="BX48" s="108">
        <f t="shared" ca="1" si="95"/>
        <v>52564.749111111109</v>
      </c>
      <c r="BY48" s="108">
        <f t="shared" ca="1" si="95"/>
        <v>21366.397191111104</v>
      </c>
      <c r="BZ48" s="323"/>
      <c r="CA48" s="323"/>
      <c r="CB48" s="323"/>
      <c r="CC48" s="323"/>
      <c r="CD48" s="323"/>
      <c r="CE48" s="323"/>
      <c r="CF48" s="323"/>
      <c r="CG48" s="323"/>
      <c r="CH48" s="323"/>
      <c r="CI48" s="323"/>
      <c r="CJ48" s="323"/>
      <c r="CK48" s="323"/>
      <c r="CL48" s="323"/>
      <c r="CM48" s="323"/>
      <c r="CN48" s="323"/>
      <c r="CO48" s="323"/>
      <c r="CP48" s="323"/>
      <c r="CQ48" s="323"/>
      <c r="CR48" s="323"/>
      <c r="CS48" s="323"/>
      <c r="CT48" s="323"/>
      <c r="CU48" s="323"/>
      <c r="CV48" s="323"/>
      <c r="CW48" s="323"/>
      <c r="CX48" s="323"/>
      <c r="CY48" s="323"/>
      <c r="CZ48" s="323"/>
      <c r="DA48" s="323"/>
      <c r="DB48" s="323"/>
      <c r="DC48" s="323"/>
      <c r="DD48" s="323"/>
      <c r="DE48" s="323"/>
      <c r="DF48" s="323"/>
      <c r="DG48" s="323"/>
      <c r="DH48" s="323"/>
      <c r="DI48" s="323"/>
      <c r="DJ48" s="323"/>
      <c r="DK48" s="323"/>
      <c r="DL48" s="323"/>
      <c r="DM48" s="323"/>
      <c r="DN48" s="323"/>
      <c r="DO48" s="323"/>
      <c r="DP48" s="323"/>
      <c r="DQ48" s="323"/>
      <c r="DR48" s="323"/>
      <c r="DS48" s="323"/>
      <c r="DT48" s="323"/>
      <c r="DU48" s="323"/>
      <c r="DV48" s="323"/>
      <c r="DW48" s="323"/>
      <c r="DX48" s="323"/>
      <c r="DY48" s="323"/>
      <c r="DZ48" s="323"/>
      <c r="EA48" s="323"/>
      <c r="EB48" s="323"/>
      <c r="EC48" s="323"/>
      <c r="ED48" s="323"/>
      <c r="EE48" s="323"/>
      <c r="EF48" s="323"/>
      <c r="EG48" s="323"/>
      <c r="EH48" s="323"/>
      <c r="EI48" s="323"/>
      <c r="EJ48" s="323"/>
      <c r="EK48" s="323"/>
      <c r="EL48" s="323"/>
      <c r="EM48" s="323"/>
      <c r="EN48" s="323"/>
      <c r="EO48" s="323"/>
      <c r="EP48" s="323"/>
      <c r="EQ48" s="323"/>
      <c r="ER48" s="323"/>
      <c r="ES48" s="323"/>
      <c r="ET48" s="323"/>
      <c r="EU48" s="323"/>
      <c r="EV48" s="323"/>
      <c r="EW48" s="323"/>
      <c r="EX48" s="323"/>
      <c r="EY48" s="323"/>
      <c r="EZ48" s="323"/>
      <c r="FA48" s="323"/>
      <c r="FB48" s="323"/>
      <c r="FC48" s="323"/>
      <c r="FD48" s="323"/>
      <c r="FE48" s="323"/>
      <c r="FF48" s="323"/>
      <c r="FG48" s="323"/>
      <c r="FH48" s="323"/>
      <c r="FI48" s="323"/>
      <c r="FJ48" s="323"/>
      <c r="FK48" s="323"/>
      <c r="FL48" s="323"/>
      <c r="FM48" s="323"/>
      <c r="FN48" s="323"/>
      <c r="FO48" s="323"/>
      <c r="FP48" s="323"/>
      <c r="FQ48" s="323"/>
      <c r="FR48" s="323"/>
      <c r="FS48" s="323"/>
      <c r="FT48" s="323"/>
      <c r="FU48" s="323"/>
      <c r="FV48" s="323"/>
      <c r="FW48" s="323"/>
      <c r="FX48" s="323"/>
      <c r="FY48" s="323"/>
      <c r="FZ48" s="323"/>
      <c r="GA48" s="323"/>
      <c r="GB48" s="323"/>
      <c r="GC48" s="323"/>
      <c r="GD48" s="323"/>
      <c r="GE48" s="323"/>
      <c r="GF48" s="323"/>
      <c r="GG48" s="323"/>
      <c r="GH48" s="323"/>
      <c r="GI48" s="323"/>
      <c r="GJ48" s="323"/>
      <c r="GK48" s="323"/>
      <c r="GL48" s="323"/>
      <c r="GM48" s="323"/>
      <c r="GN48" s="323"/>
      <c r="GO48" s="323"/>
      <c r="GP48" s="323"/>
      <c r="GQ48" s="323"/>
      <c r="GR48" s="323"/>
      <c r="GS48" s="323"/>
      <c r="GT48" s="323"/>
      <c r="GU48" s="323"/>
      <c r="GV48" s="323"/>
      <c r="GW48" s="323"/>
      <c r="GX48" s="323"/>
      <c r="GY48" s="323"/>
      <c r="GZ48" s="323"/>
      <c r="HA48" s="323"/>
      <c r="HB48" s="323"/>
      <c r="HC48" s="323"/>
      <c r="HD48" s="323"/>
      <c r="HE48" s="323"/>
      <c r="HF48" s="323"/>
      <c r="HG48" s="323"/>
      <c r="HH48" s="323"/>
      <c r="HI48" s="323"/>
      <c r="HJ48" s="323"/>
      <c r="HK48" s="323"/>
      <c r="HL48" s="323"/>
      <c r="HM48" s="323"/>
      <c r="HN48" s="323"/>
      <c r="HO48" s="323"/>
      <c r="HP48" s="323"/>
      <c r="HQ48" s="323"/>
      <c r="HR48" s="323"/>
      <c r="HS48" s="323"/>
      <c r="HT48" s="323"/>
      <c r="HU48" s="323"/>
      <c r="HV48" s="323"/>
      <c r="HW48" s="323"/>
      <c r="HX48" s="323"/>
      <c r="HY48" s="323"/>
      <c r="HZ48" s="323"/>
      <c r="IA48" s="323"/>
      <c r="IB48" s="323"/>
      <c r="IC48" s="323"/>
      <c r="ID48" s="323"/>
      <c r="IE48" s="323"/>
      <c r="IF48" s="323"/>
      <c r="IG48" s="323"/>
      <c r="IH48" s="323"/>
      <c r="II48" s="323"/>
      <c r="IJ48" s="323"/>
      <c r="IK48" s="323"/>
      <c r="IL48" s="323"/>
      <c r="IM48" s="323"/>
      <c r="IN48" s="323"/>
      <c r="IO48" s="323"/>
      <c r="IP48" s="323"/>
      <c r="IQ48" s="323"/>
      <c r="IR48" s="323"/>
      <c r="IS48" s="323"/>
      <c r="IT48" s="323"/>
      <c r="IU48" s="323"/>
      <c r="IV48" s="323"/>
    </row>
    <row r="49" spans="1:256" ht="21.75">
      <c r="A49" s="178" t="s">
        <v>122</v>
      </c>
      <c r="B49" s="200" t="s">
        <v>201</v>
      </c>
      <c r="C49" s="151" t="s">
        <v>124</v>
      </c>
      <c r="D49" s="179" t="s">
        <v>116</v>
      </c>
      <c r="E49" s="151" t="s">
        <v>117</v>
      </c>
      <c r="F49" s="151" t="s">
        <v>118</v>
      </c>
      <c r="G49" s="152" t="str">
        <f t="shared" si="0"/>
        <v>No of Racks</v>
      </c>
      <c r="H49" s="151">
        <v>1</v>
      </c>
      <c r="I49" s="151">
        <v>1</v>
      </c>
      <c r="J49" s="180">
        <f t="shared" si="67"/>
        <v>0</v>
      </c>
      <c r="K49" s="151">
        <v>1</v>
      </c>
      <c r="L49" s="151"/>
      <c r="M49" s="181">
        <f>485000/12</f>
        <v>40416.666666666664</v>
      </c>
      <c r="N49" s="182">
        <f t="shared" si="69"/>
        <v>485000</v>
      </c>
      <c r="O49" s="183" t="str">
        <f t="shared" si="68"/>
        <v>Rated</v>
      </c>
      <c r="P49" s="151" t="s">
        <v>125</v>
      </c>
      <c r="Q49" s="151">
        <v>3</v>
      </c>
      <c r="R49" s="223">
        <v>2.64</v>
      </c>
      <c r="S49" s="185">
        <f t="shared" si="36"/>
        <v>0.35999999999999988</v>
      </c>
      <c r="T49" s="186"/>
      <c r="U49" s="186">
        <f t="shared" ca="1" si="70"/>
        <v>0.17999999999999994</v>
      </c>
      <c r="V49" s="186">
        <f t="shared" ca="1" si="96"/>
        <v>1.5</v>
      </c>
      <c r="W49" s="202">
        <f>R49</f>
        <v>2.64</v>
      </c>
      <c r="X49" s="186"/>
      <c r="Y49" s="83">
        <f>90000/12</f>
        <v>7500</v>
      </c>
      <c r="Z49" s="189" t="str">
        <f t="shared" si="71"/>
        <v>Bundled</v>
      </c>
      <c r="AA49" s="186"/>
      <c r="AB49" s="186"/>
      <c r="AC49" s="190"/>
      <c r="AD49" s="193"/>
      <c r="AE49" s="120"/>
      <c r="AF49" s="152" t="str">
        <f>IF(AE49="No of Seats","No of Seats",(IF(AE49="Space","Sq Ft","")))</f>
        <v/>
      </c>
      <c r="AG49" s="186"/>
      <c r="AH49" s="186"/>
      <c r="AI49" s="186"/>
      <c r="AJ49" s="186"/>
      <c r="AK49" s="186"/>
      <c r="AL49" s="181"/>
      <c r="AM49" s="83">
        <f t="shared" si="72"/>
        <v>40416.666666666664</v>
      </c>
      <c r="AN49" s="83">
        <f t="shared" si="73"/>
        <v>0</v>
      </c>
      <c r="AO49" s="83">
        <f t="shared" si="74"/>
        <v>0</v>
      </c>
      <c r="AP49" s="83">
        <f t="shared" si="75"/>
        <v>0</v>
      </c>
      <c r="AQ49" s="109">
        <f>(225000+100000+10000+100000)/12</f>
        <v>36250</v>
      </c>
      <c r="AR49" s="85">
        <f t="shared" si="76"/>
        <v>76666.666666666657</v>
      </c>
      <c r="AS49" s="86">
        <f t="shared" si="77"/>
        <v>919999.99999999988</v>
      </c>
      <c r="AT49" s="85" t="s">
        <v>119</v>
      </c>
      <c r="AU49" s="69" t="s">
        <v>202</v>
      </c>
      <c r="AV49" s="191">
        <v>42948</v>
      </c>
      <c r="AW49" s="69">
        <v>1</v>
      </c>
      <c r="AX49" s="191">
        <v>43282</v>
      </c>
      <c r="AY49" s="69"/>
      <c r="AZ49" s="69"/>
      <c r="BA49" s="84">
        <f t="shared" si="78"/>
        <v>76666.666666666657</v>
      </c>
      <c r="BB49" s="84">
        <f t="shared" ca="1" si="79"/>
        <v>0</v>
      </c>
      <c r="BC49" s="84">
        <f t="shared" ca="1" si="80"/>
        <v>8600.6473244444405</v>
      </c>
      <c r="BD49" s="84">
        <f t="shared" ca="1" si="80"/>
        <v>7349.9338844444383</v>
      </c>
      <c r="BE49" s="84">
        <f t="shared" ca="1" si="81"/>
        <v>16521.832444444441</v>
      </c>
      <c r="BF49" s="84"/>
      <c r="BG49" s="93">
        <f t="shared" si="82"/>
        <v>40416.666666666664</v>
      </c>
      <c r="BH49" s="93">
        <f t="shared" ca="1" si="83"/>
        <v>24782.748666666663</v>
      </c>
      <c r="BI49" s="93">
        <f t="shared" ca="1" si="84"/>
        <v>15633.918000000001</v>
      </c>
      <c r="BJ49" s="91">
        <f t="shared" si="85"/>
        <v>22980.120240000026</v>
      </c>
      <c r="BK49" s="91">
        <f t="shared" ca="1" si="86"/>
        <v>29391.765840000007</v>
      </c>
      <c r="BL49" s="91">
        <f t="shared" ca="1" si="55"/>
        <v>15633.918000000001</v>
      </c>
      <c r="BM49" s="91">
        <f t="shared" ca="1" si="87"/>
        <v>12900.97098666666</v>
      </c>
      <c r="BN49" s="91">
        <f t="shared" ca="1" si="57"/>
        <v>9000</v>
      </c>
      <c r="BO49" s="91">
        <f t="shared" ca="1" si="88"/>
        <v>15782.748666666663</v>
      </c>
      <c r="BP49" s="91">
        <f t="shared" ca="1" si="89"/>
        <v>-11881.777680000003</v>
      </c>
      <c r="BQ49" s="91">
        <f t="shared" ca="1" si="90"/>
        <v>3900.9709866666599</v>
      </c>
      <c r="BR49" s="91">
        <f t="shared" ca="1" si="61"/>
        <v>1.5</v>
      </c>
      <c r="BS49" s="91">
        <f t="shared" ca="1" si="91"/>
        <v>8600.6473244444405</v>
      </c>
      <c r="BT49" s="91">
        <f t="shared" ca="1" si="92"/>
        <v>-11881.777680000003</v>
      </c>
      <c r="BU49" s="91">
        <f t="shared" ca="1" si="93"/>
        <v>15782.748666666661</v>
      </c>
      <c r="BV49" s="91">
        <f t="shared" ca="1" si="94"/>
        <v>3900.9709866666581</v>
      </c>
      <c r="BW49" s="91">
        <f t="shared" ca="1" si="95"/>
        <v>-7921.1851200000019</v>
      </c>
      <c r="BX49" s="91">
        <f t="shared" ca="1" si="95"/>
        <v>10521.832444444441</v>
      </c>
      <c r="BY49" s="91">
        <f t="shared" ca="1" si="95"/>
        <v>2600.6473244444387</v>
      </c>
      <c r="BZ49" s="323"/>
      <c r="CA49" s="323"/>
      <c r="CB49" s="323"/>
      <c r="CC49" s="323"/>
      <c r="CD49" s="323"/>
      <c r="CE49" s="323"/>
      <c r="CF49" s="323"/>
      <c r="CG49" s="323"/>
      <c r="CH49" s="323"/>
      <c r="CI49" s="323"/>
      <c r="CJ49" s="323"/>
      <c r="CK49" s="323"/>
      <c r="CL49" s="323"/>
      <c r="CM49" s="323"/>
      <c r="CN49" s="323"/>
      <c r="CO49" s="323"/>
      <c r="CP49" s="323"/>
      <c r="CQ49" s="323"/>
      <c r="CR49" s="323"/>
      <c r="CS49" s="323"/>
      <c r="CT49" s="323"/>
      <c r="CU49" s="323"/>
      <c r="CV49" s="323"/>
      <c r="CW49" s="323"/>
      <c r="CX49" s="323"/>
      <c r="CY49" s="323"/>
      <c r="CZ49" s="323"/>
      <c r="DA49" s="323"/>
      <c r="DB49" s="323"/>
      <c r="DC49" s="323"/>
      <c r="DD49" s="323"/>
      <c r="DE49" s="323"/>
      <c r="DF49" s="323"/>
      <c r="DG49" s="323"/>
      <c r="DH49" s="323"/>
      <c r="DI49" s="323"/>
      <c r="DJ49" s="323"/>
      <c r="DK49" s="323"/>
      <c r="DL49" s="323"/>
      <c r="DM49" s="323"/>
      <c r="DN49" s="323"/>
      <c r="DO49" s="323"/>
      <c r="DP49" s="323"/>
      <c r="DQ49" s="323"/>
      <c r="DR49" s="323"/>
      <c r="DS49" s="323"/>
      <c r="DT49" s="323"/>
      <c r="DU49" s="323"/>
      <c r="DV49" s="323"/>
      <c r="DW49" s="323"/>
      <c r="DX49" s="323"/>
      <c r="DY49" s="323"/>
      <c r="DZ49" s="323"/>
      <c r="EA49" s="323"/>
      <c r="EB49" s="323"/>
      <c r="EC49" s="323"/>
      <c r="ED49" s="323"/>
      <c r="EE49" s="323"/>
      <c r="EF49" s="323"/>
      <c r="EG49" s="323"/>
      <c r="EH49" s="323"/>
      <c r="EI49" s="323"/>
      <c r="EJ49" s="323"/>
      <c r="EK49" s="323"/>
      <c r="EL49" s="323"/>
      <c r="EM49" s="323"/>
      <c r="EN49" s="323"/>
      <c r="EO49" s="323"/>
      <c r="EP49" s="323"/>
      <c r="EQ49" s="323"/>
      <c r="ER49" s="323"/>
      <c r="ES49" s="323"/>
      <c r="ET49" s="323"/>
      <c r="EU49" s="323"/>
      <c r="EV49" s="323"/>
      <c r="EW49" s="323"/>
      <c r="EX49" s="323"/>
      <c r="EY49" s="323"/>
      <c r="EZ49" s="323"/>
      <c r="FA49" s="323"/>
      <c r="FB49" s="323"/>
      <c r="FC49" s="323"/>
      <c r="FD49" s="323"/>
      <c r="FE49" s="323"/>
      <c r="FF49" s="323"/>
      <c r="FG49" s="323"/>
      <c r="FH49" s="323"/>
      <c r="FI49" s="323"/>
      <c r="FJ49" s="323"/>
      <c r="FK49" s="323"/>
      <c r="FL49" s="323"/>
      <c r="FM49" s="323"/>
      <c r="FN49" s="323"/>
      <c r="FO49" s="323"/>
      <c r="FP49" s="323"/>
      <c r="FQ49" s="323"/>
      <c r="FR49" s="323"/>
      <c r="FS49" s="323"/>
      <c r="FT49" s="323"/>
      <c r="FU49" s="323"/>
      <c r="FV49" s="323"/>
      <c r="FW49" s="323"/>
      <c r="FX49" s="323"/>
      <c r="FY49" s="323"/>
      <c r="FZ49" s="323"/>
      <c r="GA49" s="323"/>
      <c r="GB49" s="323"/>
      <c r="GC49" s="323"/>
      <c r="GD49" s="323"/>
      <c r="GE49" s="323"/>
      <c r="GF49" s="323"/>
      <c r="GG49" s="323"/>
      <c r="GH49" s="323"/>
      <c r="GI49" s="323"/>
      <c r="GJ49" s="323"/>
      <c r="GK49" s="323"/>
      <c r="GL49" s="323"/>
      <c r="GM49" s="323"/>
      <c r="GN49" s="323"/>
      <c r="GO49" s="323"/>
      <c r="GP49" s="323"/>
      <c r="GQ49" s="323"/>
      <c r="GR49" s="323"/>
      <c r="GS49" s="323"/>
      <c r="GT49" s="323"/>
      <c r="GU49" s="323"/>
      <c r="GV49" s="323"/>
      <c r="GW49" s="323"/>
      <c r="GX49" s="323"/>
      <c r="GY49" s="323"/>
      <c r="GZ49" s="323"/>
      <c r="HA49" s="323"/>
      <c r="HB49" s="323"/>
      <c r="HC49" s="323"/>
      <c r="HD49" s="323"/>
      <c r="HE49" s="323"/>
      <c r="HF49" s="323"/>
      <c r="HG49" s="323"/>
      <c r="HH49" s="323"/>
      <c r="HI49" s="323"/>
      <c r="HJ49" s="323"/>
      <c r="HK49" s="323"/>
      <c r="HL49" s="323"/>
      <c r="HM49" s="323"/>
      <c r="HN49" s="323"/>
      <c r="HO49" s="323"/>
      <c r="HP49" s="323"/>
      <c r="HQ49" s="323"/>
      <c r="HR49" s="323"/>
      <c r="HS49" s="323"/>
      <c r="HT49" s="323"/>
      <c r="HU49" s="323"/>
      <c r="HV49" s="323"/>
      <c r="HW49" s="323"/>
      <c r="HX49" s="323"/>
      <c r="HY49" s="323"/>
      <c r="HZ49" s="323"/>
      <c r="IA49" s="323"/>
      <c r="IB49" s="323"/>
      <c r="IC49" s="323"/>
      <c r="ID49" s="323"/>
      <c r="IE49" s="323"/>
      <c r="IF49" s="323"/>
      <c r="IG49" s="323"/>
      <c r="IH49" s="323"/>
      <c r="II49" s="323"/>
      <c r="IJ49" s="323"/>
      <c r="IK49" s="323"/>
      <c r="IL49" s="323"/>
      <c r="IM49" s="323"/>
      <c r="IN49" s="323"/>
      <c r="IO49" s="323"/>
      <c r="IP49" s="323"/>
      <c r="IQ49" s="323"/>
      <c r="IR49" s="323"/>
      <c r="IS49" s="323"/>
      <c r="IT49" s="323"/>
      <c r="IU49" s="323"/>
      <c r="IV49" s="323"/>
    </row>
    <row r="50" spans="1:256" ht="42.75">
      <c r="A50" s="178" t="s">
        <v>138</v>
      </c>
      <c r="B50" s="151" t="s">
        <v>203</v>
      </c>
      <c r="C50" s="151" t="s">
        <v>115</v>
      </c>
      <c r="D50" s="179" t="s">
        <v>116</v>
      </c>
      <c r="E50" s="151" t="s">
        <v>117</v>
      </c>
      <c r="F50" s="151" t="s">
        <v>118</v>
      </c>
      <c r="G50" s="152" t="str">
        <f t="shared" si="0"/>
        <v>No of Racks</v>
      </c>
      <c r="H50" s="151">
        <v>20</v>
      </c>
      <c r="I50" s="151">
        <v>20</v>
      </c>
      <c r="J50" s="180">
        <f t="shared" si="67"/>
        <v>0</v>
      </c>
      <c r="K50" s="151">
        <v>20</v>
      </c>
      <c r="L50" s="151"/>
      <c r="M50" s="181">
        <f>133940/12</f>
        <v>11161.666666666666</v>
      </c>
      <c r="N50" s="83">
        <f t="shared" si="69"/>
        <v>133940</v>
      </c>
      <c r="O50" s="183" t="str">
        <f t="shared" si="68"/>
        <v>Subscribed</v>
      </c>
      <c r="P50" s="151" t="s">
        <v>125</v>
      </c>
      <c r="Q50" s="151">
        <v>40</v>
      </c>
      <c r="R50" s="225">
        <v>53.9</v>
      </c>
      <c r="S50" s="185">
        <f t="shared" si="36"/>
        <v>-13.899999999999999</v>
      </c>
      <c r="T50" s="151"/>
      <c r="U50" s="186">
        <f t="shared" si="70"/>
        <v>0</v>
      </c>
      <c r="V50" s="186">
        <f t="shared" si="96"/>
        <v>40</v>
      </c>
      <c r="W50" s="202">
        <f>R50*0.9</f>
        <v>48.51</v>
      </c>
      <c r="X50" s="186">
        <f>S50*-1</f>
        <v>13.899999999999999</v>
      </c>
      <c r="Y50" s="83">
        <f>129700/12</f>
        <v>10808.333333333334</v>
      </c>
      <c r="Z50" s="189" t="str">
        <f t="shared" si="71"/>
        <v>Bundled</v>
      </c>
      <c r="AA50" s="151">
        <v>1.7</v>
      </c>
      <c r="AB50" s="179" t="s">
        <v>132</v>
      </c>
      <c r="AC50" s="190">
        <v>8.1999999999999993</v>
      </c>
      <c r="AD50" s="147">
        <v>35316.38232421875</v>
      </c>
      <c r="AE50" s="120"/>
      <c r="AF50" s="152"/>
      <c r="AG50" s="151"/>
      <c r="AH50" s="151"/>
      <c r="AI50" s="151"/>
      <c r="AJ50" s="151"/>
      <c r="AK50" s="151"/>
      <c r="AL50" s="181"/>
      <c r="AM50" s="83">
        <f t="shared" si="72"/>
        <v>223233.33333333331</v>
      </c>
      <c r="AN50" s="83">
        <f t="shared" si="73"/>
        <v>150235.83333333331</v>
      </c>
      <c r="AO50" s="83">
        <f t="shared" si="74"/>
        <v>492310.36959960929</v>
      </c>
      <c r="AP50" s="83">
        <f t="shared" si="75"/>
        <v>0</v>
      </c>
      <c r="AQ50" s="84">
        <f>50000+10000+50000+20000</f>
        <v>130000</v>
      </c>
      <c r="AR50" s="103">
        <f t="shared" si="76"/>
        <v>995779.53626627591</v>
      </c>
      <c r="AS50" s="85">
        <f t="shared" si="77"/>
        <v>11949354.435195312</v>
      </c>
      <c r="AT50" s="85" t="s">
        <v>168</v>
      </c>
      <c r="AU50" s="69" t="s">
        <v>204</v>
      </c>
      <c r="AV50" s="191">
        <v>43252</v>
      </c>
      <c r="AW50" s="69">
        <v>3</v>
      </c>
      <c r="AX50" s="191">
        <v>44317</v>
      </c>
      <c r="AY50" s="69"/>
      <c r="AZ50" s="323"/>
      <c r="BA50" s="84">
        <f t="shared" si="78"/>
        <v>49788.976813313799</v>
      </c>
      <c r="BB50" s="84">
        <f t="shared" si="79"/>
        <v>24894.488406656899</v>
      </c>
      <c r="BC50" s="84" t="e">
        <f t="shared" si="80"/>
        <v>#VALUE!</v>
      </c>
      <c r="BD50" s="84" t="e">
        <f t="shared" si="80"/>
        <v>#VALUE!</v>
      </c>
      <c r="BE50" s="84">
        <f t="shared" si="81"/>
        <v>632.13816666665662</v>
      </c>
      <c r="BF50" s="84"/>
      <c r="BG50" s="93">
        <f t="shared" si="82"/>
        <v>865779.53626627591</v>
      </c>
      <c r="BH50" s="93">
        <f t="shared" si="83"/>
        <v>0</v>
      </c>
      <c r="BI50" s="93">
        <f t="shared" si="84"/>
        <v>865779.53626627591</v>
      </c>
      <c r="BJ50" s="91" t="e">
        <f t="shared" si="85"/>
        <v>#VALUE!</v>
      </c>
      <c r="BK50" s="91" t="e">
        <f t="shared" si="86"/>
        <v>#VALUE!</v>
      </c>
      <c r="BL50" s="91">
        <f t="shared" si="55"/>
        <v>348183.64000000036</v>
      </c>
      <c r="BM50" s="91" t="e">
        <f t="shared" si="87"/>
        <v>#VALUE!</v>
      </c>
      <c r="BN50" s="91">
        <f t="shared" si="57"/>
        <v>0</v>
      </c>
      <c r="BO50" s="91">
        <f t="shared" si="88"/>
        <v>0</v>
      </c>
      <c r="BP50" s="91" t="e">
        <f t="shared" si="89"/>
        <v>#VALUE!</v>
      </c>
      <c r="BQ50" s="91" t="e">
        <f t="shared" si="90"/>
        <v>#VALUE!</v>
      </c>
      <c r="BR50" s="91">
        <f t="shared" si="61"/>
        <v>40</v>
      </c>
      <c r="BS50" s="91" t="e">
        <f t="shared" si="91"/>
        <v>#VALUE!</v>
      </c>
      <c r="BT50" s="91" t="e">
        <f t="shared" si="92"/>
        <v>#VALUE!</v>
      </c>
      <c r="BU50" s="91">
        <f t="shared" si="93"/>
        <v>25285.526666666265</v>
      </c>
      <c r="BV50" s="91" t="e">
        <f t="shared" si="94"/>
        <v>#VALUE!</v>
      </c>
      <c r="BW50" s="91" t="e">
        <f t="shared" si="95"/>
        <v>#VALUE!</v>
      </c>
      <c r="BX50" s="91">
        <f t="shared" si="95"/>
        <v>632.13816666665662</v>
      </c>
      <c r="BY50" s="91" t="e">
        <f t="shared" si="95"/>
        <v>#VALUE!</v>
      </c>
      <c r="BZ50" s="323"/>
      <c r="CA50" s="323"/>
      <c r="CB50" s="323"/>
      <c r="CC50" s="323"/>
      <c r="CD50" s="323"/>
      <c r="CE50" s="323"/>
      <c r="CF50" s="323"/>
      <c r="CG50" s="323"/>
      <c r="CH50" s="323"/>
      <c r="CI50" s="323"/>
      <c r="CJ50" s="323"/>
      <c r="CK50" s="323"/>
      <c r="CL50" s="323"/>
      <c r="CM50" s="323"/>
      <c r="CN50" s="323"/>
      <c r="CO50" s="323"/>
      <c r="CP50" s="323"/>
      <c r="CQ50" s="323"/>
      <c r="CR50" s="323"/>
      <c r="CS50" s="323"/>
      <c r="CT50" s="323"/>
      <c r="CU50" s="323"/>
      <c r="CV50" s="323"/>
      <c r="CW50" s="323"/>
      <c r="CX50" s="323"/>
      <c r="CY50" s="323"/>
      <c r="CZ50" s="323"/>
      <c r="DA50" s="323"/>
      <c r="DB50" s="323"/>
      <c r="DC50" s="323"/>
      <c r="DD50" s="323"/>
      <c r="DE50" s="323"/>
      <c r="DF50" s="323"/>
      <c r="DG50" s="323"/>
      <c r="DH50" s="323"/>
      <c r="DI50" s="323"/>
      <c r="DJ50" s="323"/>
      <c r="DK50" s="323"/>
      <c r="DL50" s="323"/>
      <c r="DM50" s="323"/>
      <c r="DN50" s="323"/>
      <c r="DO50" s="323"/>
      <c r="DP50" s="323"/>
      <c r="DQ50" s="323"/>
      <c r="DR50" s="323"/>
      <c r="DS50" s="323"/>
      <c r="DT50" s="323"/>
      <c r="DU50" s="323"/>
      <c r="DV50" s="323"/>
      <c r="DW50" s="323"/>
      <c r="DX50" s="323"/>
      <c r="DY50" s="323"/>
      <c r="DZ50" s="323"/>
      <c r="EA50" s="323"/>
      <c r="EB50" s="323"/>
      <c r="EC50" s="323"/>
      <c r="ED50" s="323"/>
      <c r="EE50" s="323"/>
      <c r="EF50" s="323"/>
      <c r="EG50" s="323"/>
      <c r="EH50" s="323"/>
      <c r="EI50" s="323"/>
      <c r="EJ50" s="323"/>
      <c r="EK50" s="323"/>
      <c r="EL50" s="323"/>
      <c r="EM50" s="323"/>
      <c r="EN50" s="323"/>
      <c r="EO50" s="323"/>
      <c r="EP50" s="323"/>
      <c r="EQ50" s="323"/>
      <c r="ER50" s="323"/>
      <c r="ES50" s="323"/>
      <c r="ET50" s="323"/>
      <c r="EU50" s="323"/>
      <c r="EV50" s="323"/>
      <c r="EW50" s="323"/>
      <c r="EX50" s="323"/>
      <c r="EY50" s="323"/>
      <c r="EZ50" s="323"/>
      <c r="FA50" s="323"/>
      <c r="FB50" s="323"/>
      <c r="FC50" s="323"/>
      <c r="FD50" s="323"/>
      <c r="FE50" s="323"/>
      <c r="FF50" s="323"/>
      <c r="FG50" s="323"/>
      <c r="FH50" s="323"/>
      <c r="FI50" s="323"/>
      <c r="FJ50" s="323"/>
      <c r="FK50" s="323"/>
      <c r="FL50" s="323"/>
      <c r="FM50" s="323"/>
      <c r="FN50" s="323"/>
      <c r="FO50" s="323"/>
      <c r="FP50" s="323"/>
      <c r="FQ50" s="323"/>
      <c r="FR50" s="323"/>
      <c r="FS50" s="323"/>
      <c r="FT50" s="323"/>
      <c r="FU50" s="323"/>
      <c r="FV50" s="323"/>
      <c r="FW50" s="323"/>
      <c r="FX50" s="323"/>
      <c r="FY50" s="323"/>
      <c r="FZ50" s="323"/>
      <c r="GA50" s="323"/>
      <c r="GB50" s="323"/>
      <c r="GC50" s="323"/>
      <c r="GD50" s="323"/>
      <c r="GE50" s="323"/>
      <c r="GF50" s="323"/>
      <c r="GG50" s="323"/>
      <c r="GH50" s="323"/>
      <c r="GI50" s="323"/>
      <c r="GJ50" s="323"/>
      <c r="GK50" s="323"/>
      <c r="GL50" s="323"/>
      <c r="GM50" s="323"/>
      <c r="GN50" s="323"/>
      <c r="GO50" s="323"/>
      <c r="GP50" s="323"/>
      <c r="GQ50" s="323"/>
      <c r="GR50" s="323"/>
      <c r="GS50" s="323"/>
      <c r="GT50" s="323"/>
      <c r="GU50" s="323"/>
      <c r="GV50" s="323"/>
      <c r="GW50" s="323"/>
      <c r="GX50" s="323"/>
      <c r="GY50" s="323"/>
      <c r="GZ50" s="323"/>
      <c r="HA50" s="323"/>
      <c r="HB50" s="323"/>
      <c r="HC50" s="323"/>
      <c r="HD50" s="323"/>
      <c r="HE50" s="323"/>
      <c r="HF50" s="323"/>
      <c r="HG50" s="323"/>
      <c r="HH50" s="323"/>
      <c r="HI50" s="323"/>
      <c r="HJ50" s="323"/>
      <c r="HK50" s="323"/>
      <c r="HL50" s="323"/>
      <c r="HM50" s="323"/>
      <c r="HN50" s="323"/>
      <c r="HO50" s="323"/>
      <c r="HP50" s="323"/>
      <c r="HQ50" s="323"/>
      <c r="HR50" s="323"/>
      <c r="HS50" s="323"/>
      <c r="HT50" s="323"/>
      <c r="HU50" s="323"/>
      <c r="HV50" s="323"/>
      <c r="HW50" s="323"/>
      <c r="HX50" s="323"/>
      <c r="HY50" s="323"/>
      <c r="HZ50" s="323"/>
      <c r="IA50" s="323"/>
      <c r="IB50" s="323"/>
      <c r="IC50" s="323"/>
      <c r="ID50" s="323"/>
      <c r="IE50" s="323"/>
      <c r="IF50" s="323"/>
      <c r="IG50" s="323"/>
      <c r="IH50" s="323"/>
      <c r="II50" s="323"/>
      <c r="IJ50" s="323"/>
      <c r="IK50" s="323"/>
      <c r="IL50" s="323"/>
      <c r="IM50" s="323"/>
      <c r="IN50" s="323"/>
      <c r="IO50" s="323"/>
      <c r="IP50" s="323"/>
      <c r="IQ50" s="323"/>
      <c r="IR50" s="323"/>
      <c r="IS50" s="323"/>
      <c r="IT50" s="323"/>
      <c r="IU50" s="323"/>
      <c r="IV50" s="323"/>
    </row>
    <row r="51" spans="1:256" ht="21.75">
      <c r="A51" s="178" t="s">
        <v>205</v>
      </c>
      <c r="B51" s="151" t="s">
        <v>206</v>
      </c>
      <c r="C51" s="151" t="s">
        <v>115</v>
      </c>
      <c r="D51" s="179" t="s">
        <v>116</v>
      </c>
      <c r="E51" s="151" t="s">
        <v>117</v>
      </c>
      <c r="F51" s="151" t="s">
        <v>118</v>
      </c>
      <c r="G51" s="152" t="str">
        <f t="shared" si="0"/>
        <v>No of Racks</v>
      </c>
      <c r="H51" s="151">
        <v>19</v>
      </c>
      <c r="I51" s="151">
        <v>19</v>
      </c>
      <c r="J51" s="180">
        <f t="shared" si="67"/>
        <v>0</v>
      </c>
      <c r="K51" s="151">
        <v>19</v>
      </c>
      <c r="L51" s="151"/>
      <c r="M51" s="181">
        <f>((748*68)*3)</f>
        <v>152592</v>
      </c>
      <c r="N51" s="83">
        <f t="shared" si="69"/>
        <v>1831104</v>
      </c>
      <c r="O51" s="183" t="str">
        <f t="shared" si="68"/>
        <v>Subscribed</v>
      </c>
      <c r="P51" s="151" t="s">
        <v>108</v>
      </c>
      <c r="Q51" s="200">
        <v>47.64</v>
      </c>
      <c r="R51" s="225">
        <v>49.41</v>
      </c>
      <c r="S51" s="185">
        <f t="shared" si="36"/>
        <v>-1.769999999999996</v>
      </c>
      <c r="T51" s="151"/>
      <c r="U51" s="186">
        <f t="shared" si="70"/>
        <v>0</v>
      </c>
      <c r="V51" s="186">
        <f t="shared" si="96"/>
        <v>47.64</v>
      </c>
      <c r="W51" s="202">
        <f>R51</f>
        <v>49.41</v>
      </c>
      <c r="X51" s="186"/>
      <c r="Y51" s="83">
        <f>(1384*68)/12</f>
        <v>7842.666666666667</v>
      </c>
      <c r="Z51" s="189" t="s">
        <v>116</v>
      </c>
      <c r="AA51" s="151"/>
      <c r="AB51" s="186"/>
      <c r="AC51" s="190"/>
      <c r="AD51" s="228"/>
      <c r="AE51" s="120"/>
      <c r="AF51" s="152"/>
      <c r="AG51" s="151"/>
      <c r="AH51" s="151"/>
      <c r="AI51" s="151"/>
      <c r="AJ51" s="151"/>
      <c r="AK51" s="151"/>
      <c r="AL51" s="181"/>
      <c r="AM51" s="83">
        <f t="shared" si="72"/>
        <v>2899248</v>
      </c>
      <c r="AN51" s="83">
        <f t="shared" si="73"/>
        <v>0</v>
      </c>
      <c r="AO51" s="83">
        <f t="shared" si="74"/>
        <v>0</v>
      </c>
      <c r="AP51" s="83">
        <f t="shared" si="75"/>
        <v>0</v>
      </c>
      <c r="AQ51" s="84">
        <f>(116*7)*68</f>
        <v>55216</v>
      </c>
      <c r="AR51" s="103">
        <f t="shared" si="76"/>
        <v>2954464</v>
      </c>
      <c r="AS51" s="85">
        <f t="shared" si="77"/>
        <v>35453568</v>
      </c>
      <c r="AT51" s="85" t="s">
        <v>119</v>
      </c>
      <c r="AU51" s="69"/>
      <c r="AV51" s="191">
        <v>43238</v>
      </c>
      <c r="AW51" s="69">
        <v>1</v>
      </c>
      <c r="AX51" s="191">
        <v>43574</v>
      </c>
      <c r="AY51" s="69"/>
      <c r="AZ51" s="323"/>
      <c r="BA51" s="84">
        <f t="shared" si="78"/>
        <v>155498.10526315789</v>
      </c>
      <c r="BB51" s="84">
        <f t="shared" si="79"/>
        <v>62016.456759026027</v>
      </c>
      <c r="BC51" s="84">
        <f t="shared" si="80"/>
        <v>51829.432382241801</v>
      </c>
      <c r="BD51" s="84">
        <f t="shared" si="80"/>
        <v>51829.432382241801</v>
      </c>
      <c r="BE51" s="84">
        <f t="shared" si="81"/>
        <v>52152.839730478583</v>
      </c>
      <c r="BF51" s="84"/>
      <c r="BG51" s="93">
        <f t="shared" si="82"/>
        <v>2899248</v>
      </c>
      <c r="BH51" s="93">
        <f t="shared" si="83"/>
        <v>411127.70855999738</v>
      </c>
      <c r="BI51" s="93">
        <f t="shared" si="84"/>
        <v>2488120.2914400026</v>
      </c>
      <c r="BJ51" s="91">
        <f t="shared" si="85"/>
        <v>430093.84131000045</v>
      </c>
      <c r="BK51" s="91">
        <f t="shared" si="86"/>
        <v>430093.84131000045</v>
      </c>
      <c r="BL51" s="91">
        <f t="shared" si="55"/>
        <v>414686.71524000046</v>
      </c>
      <c r="BM51" s="91">
        <f t="shared" si="87"/>
        <v>2469154.1586899995</v>
      </c>
      <c r="BN51" s="91">
        <f t="shared" si="57"/>
        <v>0</v>
      </c>
      <c r="BO51" s="91">
        <f t="shared" si="88"/>
        <v>411127.70855999738</v>
      </c>
      <c r="BP51" s="91">
        <f t="shared" si="89"/>
        <v>2058026.4501300021</v>
      </c>
      <c r="BQ51" s="91">
        <f t="shared" si="90"/>
        <v>2469154.1586899995</v>
      </c>
      <c r="BR51" s="91">
        <f t="shared" si="61"/>
        <v>47.64</v>
      </c>
      <c r="BS51" s="91">
        <f t="shared" si="91"/>
        <v>51829.432382241801</v>
      </c>
      <c r="BT51" s="91">
        <f t="shared" si="92"/>
        <v>-15407.126069999998</v>
      </c>
      <c r="BU51" s="91">
        <f t="shared" si="93"/>
        <v>2484561.2847599997</v>
      </c>
      <c r="BV51" s="91">
        <f t="shared" si="94"/>
        <v>2469154.15869</v>
      </c>
      <c r="BW51" s="91">
        <f t="shared" si="95"/>
        <v>-323.40734823677576</v>
      </c>
      <c r="BX51" s="91">
        <f t="shared" si="95"/>
        <v>52152.839730478583</v>
      </c>
      <c r="BY51" s="91">
        <f t="shared" si="95"/>
        <v>51829.432382241816</v>
      </c>
      <c r="BZ51" s="323"/>
      <c r="CA51" s="323"/>
      <c r="CB51" s="323"/>
      <c r="CC51" s="323"/>
      <c r="CD51" s="323"/>
      <c r="CE51" s="323"/>
      <c r="CF51" s="323"/>
      <c r="CG51" s="323"/>
      <c r="CH51" s="323"/>
      <c r="CI51" s="323"/>
      <c r="CJ51" s="323"/>
      <c r="CK51" s="323"/>
      <c r="CL51" s="323"/>
      <c r="CM51" s="323"/>
      <c r="CN51" s="323"/>
      <c r="CO51" s="323"/>
      <c r="CP51" s="323"/>
      <c r="CQ51" s="323"/>
      <c r="CR51" s="323"/>
      <c r="CS51" s="323"/>
      <c r="CT51" s="323"/>
      <c r="CU51" s="323"/>
      <c r="CV51" s="323"/>
      <c r="CW51" s="323"/>
      <c r="CX51" s="323"/>
      <c r="CY51" s="323"/>
      <c r="CZ51" s="323"/>
      <c r="DA51" s="323"/>
      <c r="DB51" s="323"/>
      <c r="DC51" s="323"/>
      <c r="DD51" s="323"/>
      <c r="DE51" s="323"/>
      <c r="DF51" s="323"/>
      <c r="DG51" s="323"/>
      <c r="DH51" s="323"/>
      <c r="DI51" s="323"/>
      <c r="DJ51" s="323"/>
      <c r="DK51" s="323"/>
      <c r="DL51" s="323"/>
      <c r="DM51" s="323"/>
      <c r="DN51" s="323"/>
      <c r="DO51" s="323"/>
      <c r="DP51" s="323"/>
      <c r="DQ51" s="323"/>
      <c r="DR51" s="323"/>
      <c r="DS51" s="323"/>
      <c r="DT51" s="323"/>
      <c r="DU51" s="323"/>
      <c r="DV51" s="323"/>
      <c r="DW51" s="323"/>
      <c r="DX51" s="323"/>
      <c r="DY51" s="323"/>
      <c r="DZ51" s="323"/>
      <c r="EA51" s="323"/>
      <c r="EB51" s="323"/>
      <c r="EC51" s="323"/>
      <c r="ED51" s="323"/>
      <c r="EE51" s="323"/>
      <c r="EF51" s="323"/>
      <c r="EG51" s="323"/>
      <c r="EH51" s="323"/>
      <c r="EI51" s="323"/>
      <c r="EJ51" s="323"/>
      <c r="EK51" s="323"/>
      <c r="EL51" s="323"/>
      <c r="EM51" s="323"/>
      <c r="EN51" s="323"/>
      <c r="EO51" s="323"/>
      <c r="EP51" s="323"/>
      <c r="EQ51" s="323"/>
      <c r="ER51" s="323"/>
      <c r="ES51" s="323"/>
      <c r="ET51" s="323"/>
      <c r="EU51" s="323"/>
      <c r="EV51" s="323"/>
      <c r="EW51" s="323"/>
      <c r="EX51" s="323"/>
      <c r="EY51" s="323"/>
      <c r="EZ51" s="323"/>
      <c r="FA51" s="323"/>
      <c r="FB51" s="323"/>
      <c r="FC51" s="323"/>
      <c r="FD51" s="323"/>
      <c r="FE51" s="323"/>
      <c r="FF51" s="323"/>
      <c r="FG51" s="323"/>
      <c r="FH51" s="323"/>
      <c r="FI51" s="323"/>
      <c r="FJ51" s="323"/>
      <c r="FK51" s="323"/>
      <c r="FL51" s="323"/>
      <c r="FM51" s="323"/>
      <c r="FN51" s="323"/>
      <c r="FO51" s="323"/>
      <c r="FP51" s="323"/>
      <c r="FQ51" s="323"/>
      <c r="FR51" s="323"/>
      <c r="FS51" s="323"/>
      <c r="FT51" s="323"/>
      <c r="FU51" s="323"/>
      <c r="FV51" s="323"/>
      <c r="FW51" s="323"/>
      <c r="FX51" s="323"/>
      <c r="FY51" s="323"/>
      <c r="FZ51" s="323"/>
      <c r="GA51" s="323"/>
      <c r="GB51" s="323"/>
      <c r="GC51" s="323"/>
      <c r="GD51" s="323"/>
      <c r="GE51" s="323"/>
      <c r="GF51" s="323"/>
      <c r="GG51" s="323"/>
      <c r="GH51" s="323"/>
      <c r="GI51" s="323"/>
      <c r="GJ51" s="323"/>
      <c r="GK51" s="323"/>
      <c r="GL51" s="323"/>
      <c r="GM51" s="323"/>
      <c r="GN51" s="323"/>
      <c r="GO51" s="323"/>
      <c r="GP51" s="323"/>
      <c r="GQ51" s="323"/>
      <c r="GR51" s="323"/>
      <c r="GS51" s="323"/>
      <c r="GT51" s="323"/>
      <c r="GU51" s="323"/>
      <c r="GV51" s="323"/>
      <c r="GW51" s="323"/>
      <c r="GX51" s="323"/>
      <c r="GY51" s="323"/>
      <c r="GZ51" s="323"/>
      <c r="HA51" s="323"/>
      <c r="HB51" s="323"/>
      <c r="HC51" s="323"/>
      <c r="HD51" s="323"/>
      <c r="HE51" s="323"/>
      <c r="HF51" s="323"/>
      <c r="HG51" s="323"/>
      <c r="HH51" s="323"/>
      <c r="HI51" s="323"/>
      <c r="HJ51" s="323"/>
      <c r="HK51" s="323"/>
      <c r="HL51" s="323"/>
      <c r="HM51" s="323"/>
      <c r="HN51" s="323"/>
      <c r="HO51" s="323"/>
      <c r="HP51" s="323"/>
      <c r="HQ51" s="323"/>
      <c r="HR51" s="323"/>
      <c r="HS51" s="323"/>
      <c r="HT51" s="323"/>
      <c r="HU51" s="323"/>
      <c r="HV51" s="323"/>
      <c r="HW51" s="323"/>
      <c r="HX51" s="323"/>
      <c r="HY51" s="323"/>
      <c r="HZ51" s="323"/>
      <c r="IA51" s="323"/>
      <c r="IB51" s="323"/>
      <c r="IC51" s="323"/>
      <c r="ID51" s="323"/>
      <c r="IE51" s="323"/>
      <c r="IF51" s="323"/>
      <c r="IG51" s="323"/>
      <c r="IH51" s="323"/>
      <c r="II51" s="323"/>
      <c r="IJ51" s="323"/>
      <c r="IK51" s="323"/>
      <c r="IL51" s="323"/>
      <c r="IM51" s="323"/>
      <c r="IN51" s="323"/>
      <c r="IO51" s="323"/>
      <c r="IP51" s="323"/>
      <c r="IQ51" s="323"/>
      <c r="IR51" s="323"/>
      <c r="IS51" s="323"/>
      <c r="IT51" s="323"/>
      <c r="IU51" s="323"/>
      <c r="IV51" s="323"/>
    </row>
    <row r="52" spans="1:256" ht="42.75">
      <c r="A52" s="178" t="s">
        <v>138</v>
      </c>
      <c r="B52" s="151" t="s">
        <v>207</v>
      </c>
      <c r="C52" s="151" t="s">
        <v>115</v>
      </c>
      <c r="D52" s="151" t="s">
        <v>115</v>
      </c>
      <c r="E52" s="151" t="s">
        <v>117</v>
      </c>
      <c r="F52" s="151" t="s">
        <v>118</v>
      </c>
      <c r="G52" s="152" t="str">
        <f t="shared" si="0"/>
        <v>No of Racks</v>
      </c>
      <c r="H52" s="151">
        <v>24</v>
      </c>
      <c r="I52" s="151">
        <v>24</v>
      </c>
      <c r="J52" s="180">
        <f t="shared" si="67"/>
        <v>0</v>
      </c>
      <c r="K52" s="151">
        <v>24</v>
      </c>
      <c r="L52" s="151"/>
      <c r="M52" s="181">
        <f>5760000/12</f>
        <v>480000</v>
      </c>
      <c r="N52" s="83">
        <f t="shared" si="69"/>
        <v>5760000</v>
      </c>
      <c r="O52" s="183" t="s">
        <v>115</v>
      </c>
      <c r="P52" s="151" t="s">
        <v>125</v>
      </c>
      <c r="Q52" s="151">
        <v>192</v>
      </c>
      <c r="R52" s="254">
        <v>53.6</v>
      </c>
      <c r="S52" s="185">
        <f t="shared" si="36"/>
        <v>138.4</v>
      </c>
      <c r="T52" s="151"/>
      <c r="U52" s="186">
        <f t="shared" si="70"/>
        <v>138.4</v>
      </c>
      <c r="V52" s="186">
        <f t="shared" si="96"/>
        <v>192</v>
      </c>
      <c r="W52" s="202">
        <f>R52</f>
        <v>53.6</v>
      </c>
      <c r="X52" s="186"/>
      <c r="Y52" s="83"/>
      <c r="Z52" s="189" t="s">
        <v>130</v>
      </c>
      <c r="AA52" s="151">
        <v>1.7</v>
      </c>
      <c r="AB52" s="179" t="s">
        <v>132</v>
      </c>
      <c r="AC52" s="190">
        <v>8.1999999999999993</v>
      </c>
      <c r="AD52" s="147">
        <v>38599.824317932129</v>
      </c>
      <c r="AE52" s="120"/>
      <c r="AF52" s="152" t="s">
        <v>208</v>
      </c>
      <c r="AG52" s="151">
        <v>15</v>
      </c>
      <c r="AH52" s="151">
        <v>15</v>
      </c>
      <c r="AI52" s="151">
        <v>0</v>
      </c>
      <c r="AJ52" s="151">
        <v>0</v>
      </c>
      <c r="AK52" s="151"/>
      <c r="AL52" s="245">
        <f>2000000/15</f>
        <v>133333.33333333334</v>
      </c>
      <c r="AM52" s="83">
        <f t="shared" si="72"/>
        <v>11520000</v>
      </c>
      <c r="AN52" s="83">
        <f t="shared" si="73"/>
        <v>0</v>
      </c>
      <c r="AO52" s="83">
        <f t="shared" si="74"/>
        <v>538081.55099197384</v>
      </c>
      <c r="AP52" s="83">
        <f t="shared" si="75"/>
        <v>0</v>
      </c>
      <c r="AQ52" s="84">
        <f>120000+25000</f>
        <v>145000</v>
      </c>
      <c r="AR52" s="103">
        <f t="shared" si="76"/>
        <v>12203081.550991975</v>
      </c>
      <c r="AS52" s="85">
        <f t="shared" si="77"/>
        <v>146436978.6119037</v>
      </c>
      <c r="AT52" s="85" t="s">
        <v>119</v>
      </c>
      <c r="AU52" s="69"/>
      <c r="AV52" s="191">
        <v>43484</v>
      </c>
      <c r="AW52" s="69">
        <v>5</v>
      </c>
      <c r="AX52" s="191">
        <v>43822</v>
      </c>
      <c r="AY52" s="69"/>
      <c r="AZ52" s="323"/>
      <c r="BA52" s="84">
        <f t="shared" si="78"/>
        <v>508461.73129133228</v>
      </c>
      <c r="BB52" s="84">
        <f t="shared" si="79"/>
        <v>63557.716411416535</v>
      </c>
      <c r="BC52" s="84" t="e">
        <f t="shared" si="80"/>
        <v>#VALUE!</v>
      </c>
      <c r="BD52" s="84" t="e">
        <f t="shared" si="80"/>
        <v>#VALUE!</v>
      </c>
      <c r="BE52" s="84">
        <f t="shared" si="81"/>
        <v>61274.565649999982</v>
      </c>
      <c r="BF52" s="84"/>
      <c r="BG52" s="93">
        <f t="shared" si="82"/>
        <v>12058081.550991975</v>
      </c>
      <c r="BH52" s="93">
        <f t="shared" si="83"/>
        <v>11520000</v>
      </c>
      <c r="BI52" s="93">
        <f t="shared" si="84"/>
        <v>538081.55099197384</v>
      </c>
      <c r="BJ52" s="91" t="e">
        <f t="shared" si="85"/>
        <v>#VALUE!</v>
      </c>
      <c r="BK52" s="91" t="e">
        <f t="shared" si="86"/>
        <v>#VALUE!</v>
      </c>
      <c r="BL52" s="91">
        <f t="shared" si="55"/>
        <v>1420589.2512000017</v>
      </c>
      <c r="BM52" s="91" t="e">
        <f t="shared" si="87"/>
        <v>#VALUE!</v>
      </c>
      <c r="BN52" s="91">
        <f t="shared" si="57"/>
        <v>0</v>
      </c>
      <c r="BO52" s="91">
        <f t="shared" si="88"/>
        <v>11520000</v>
      </c>
      <c r="BP52" s="91" t="e">
        <f t="shared" si="89"/>
        <v>#VALUE!</v>
      </c>
      <c r="BQ52" s="91" t="e">
        <f t="shared" si="90"/>
        <v>#VALUE!</v>
      </c>
      <c r="BR52" s="91">
        <f t="shared" si="61"/>
        <v>192</v>
      </c>
      <c r="BS52" s="91" t="e">
        <f t="shared" si="91"/>
        <v>#VALUE!</v>
      </c>
      <c r="BT52" s="91" t="e">
        <f t="shared" si="92"/>
        <v>#VALUE!</v>
      </c>
      <c r="BU52" s="91">
        <f t="shared" si="93"/>
        <v>11520000</v>
      </c>
      <c r="BV52" s="91" t="e">
        <f t="shared" si="94"/>
        <v>#VALUE!</v>
      </c>
      <c r="BW52" s="91" t="e">
        <f t="shared" si="95"/>
        <v>#VALUE!</v>
      </c>
      <c r="BX52" s="91">
        <f t="shared" si="95"/>
        <v>60000</v>
      </c>
      <c r="BY52" s="91" t="e">
        <f t="shared" si="95"/>
        <v>#VALUE!</v>
      </c>
      <c r="BZ52" s="323"/>
      <c r="CA52" s="323"/>
      <c r="CB52" s="323"/>
      <c r="CC52" s="323"/>
      <c r="CD52" s="323"/>
      <c r="CE52" s="323"/>
      <c r="CF52" s="323"/>
      <c r="CG52" s="323"/>
      <c r="CH52" s="323"/>
      <c r="CI52" s="323"/>
      <c r="CJ52" s="323"/>
      <c r="CK52" s="323"/>
      <c r="CL52" s="323"/>
      <c r="CM52" s="323"/>
      <c r="CN52" s="323"/>
      <c r="CO52" s="323"/>
      <c r="CP52" s="323"/>
      <c r="CQ52" s="323"/>
      <c r="CR52" s="323"/>
      <c r="CS52" s="323"/>
      <c r="CT52" s="323"/>
      <c r="CU52" s="323"/>
      <c r="CV52" s="323"/>
      <c r="CW52" s="323"/>
      <c r="CX52" s="323"/>
      <c r="CY52" s="323"/>
      <c r="CZ52" s="323"/>
      <c r="DA52" s="323"/>
      <c r="DB52" s="323"/>
      <c r="DC52" s="323"/>
      <c r="DD52" s="323"/>
      <c r="DE52" s="323"/>
      <c r="DF52" s="323"/>
      <c r="DG52" s="323"/>
      <c r="DH52" s="323"/>
      <c r="DI52" s="323"/>
      <c r="DJ52" s="323"/>
      <c r="DK52" s="323"/>
      <c r="DL52" s="323"/>
      <c r="DM52" s="323"/>
      <c r="DN52" s="323"/>
      <c r="DO52" s="323"/>
      <c r="DP52" s="323"/>
      <c r="DQ52" s="323"/>
      <c r="DR52" s="323"/>
      <c r="DS52" s="323"/>
      <c r="DT52" s="323"/>
      <c r="DU52" s="323"/>
      <c r="DV52" s="323"/>
      <c r="DW52" s="323"/>
      <c r="DX52" s="323"/>
      <c r="DY52" s="323"/>
      <c r="DZ52" s="323"/>
      <c r="EA52" s="323"/>
      <c r="EB52" s="323"/>
      <c r="EC52" s="323"/>
      <c r="ED52" s="323"/>
      <c r="EE52" s="323"/>
      <c r="EF52" s="323"/>
      <c r="EG52" s="323"/>
      <c r="EH52" s="323"/>
      <c r="EI52" s="323"/>
      <c r="EJ52" s="323"/>
      <c r="EK52" s="323"/>
      <c r="EL52" s="323"/>
      <c r="EM52" s="323"/>
      <c r="EN52" s="323"/>
      <c r="EO52" s="323"/>
      <c r="EP52" s="323"/>
      <c r="EQ52" s="323"/>
      <c r="ER52" s="323"/>
      <c r="ES52" s="323"/>
      <c r="ET52" s="323"/>
      <c r="EU52" s="323"/>
      <c r="EV52" s="323"/>
      <c r="EW52" s="323"/>
      <c r="EX52" s="323"/>
      <c r="EY52" s="323"/>
      <c r="EZ52" s="323"/>
      <c r="FA52" s="323"/>
      <c r="FB52" s="323"/>
      <c r="FC52" s="323"/>
      <c r="FD52" s="323"/>
      <c r="FE52" s="323"/>
      <c r="FF52" s="323"/>
      <c r="FG52" s="323"/>
      <c r="FH52" s="323"/>
      <c r="FI52" s="323"/>
      <c r="FJ52" s="323"/>
      <c r="FK52" s="323"/>
      <c r="FL52" s="323"/>
      <c r="FM52" s="323"/>
      <c r="FN52" s="323"/>
      <c r="FO52" s="323"/>
      <c r="FP52" s="323"/>
      <c r="FQ52" s="323"/>
      <c r="FR52" s="323"/>
      <c r="FS52" s="323"/>
      <c r="FT52" s="323"/>
      <c r="FU52" s="323"/>
      <c r="FV52" s="323"/>
      <c r="FW52" s="323"/>
      <c r="FX52" s="323"/>
      <c r="FY52" s="323"/>
      <c r="FZ52" s="323"/>
      <c r="GA52" s="323"/>
      <c r="GB52" s="323"/>
      <c r="GC52" s="323"/>
      <c r="GD52" s="323"/>
      <c r="GE52" s="323"/>
      <c r="GF52" s="323"/>
      <c r="GG52" s="323"/>
      <c r="GH52" s="323"/>
      <c r="GI52" s="323"/>
      <c r="GJ52" s="323"/>
      <c r="GK52" s="323"/>
      <c r="GL52" s="323"/>
      <c r="GM52" s="323"/>
      <c r="GN52" s="323"/>
      <c r="GO52" s="323"/>
      <c r="GP52" s="323"/>
      <c r="GQ52" s="323"/>
      <c r="GR52" s="323"/>
      <c r="GS52" s="323"/>
      <c r="GT52" s="323"/>
      <c r="GU52" s="323"/>
      <c r="GV52" s="323"/>
      <c r="GW52" s="323"/>
      <c r="GX52" s="323"/>
      <c r="GY52" s="323"/>
      <c r="GZ52" s="323"/>
      <c r="HA52" s="323"/>
      <c r="HB52" s="323"/>
      <c r="HC52" s="323"/>
      <c r="HD52" s="323"/>
      <c r="HE52" s="323"/>
      <c r="HF52" s="323"/>
      <c r="HG52" s="323"/>
      <c r="HH52" s="323"/>
      <c r="HI52" s="323"/>
      <c r="HJ52" s="323"/>
      <c r="HK52" s="323"/>
      <c r="HL52" s="323"/>
      <c r="HM52" s="323"/>
      <c r="HN52" s="323"/>
      <c r="HO52" s="323"/>
      <c r="HP52" s="323"/>
      <c r="HQ52" s="323"/>
      <c r="HR52" s="323"/>
      <c r="HS52" s="323"/>
      <c r="HT52" s="323"/>
      <c r="HU52" s="323"/>
      <c r="HV52" s="323"/>
      <c r="HW52" s="323"/>
      <c r="HX52" s="323"/>
      <c r="HY52" s="323"/>
      <c r="HZ52" s="323"/>
      <c r="IA52" s="323"/>
      <c r="IB52" s="323"/>
      <c r="IC52" s="323"/>
      <c r="ID52" s="323"/>
      <c r="IE52" s="323"/>
      <c r="IF52" s="323"/>
      <c r="IG52" s="323"/>
      <c r="IH52" s="323"/>
      <c r="II52" s="323"/>
      <c r="IJ52" s="323"/>
      <c r="IK52" s="323"/>
      <c r="IL52" s="323"/>
      <c r="IM52" s="323"/>
      <c r="IN52" s="323"/>
      <c r="IO52" s="323"/>
      <c r="IP52" s="323"/>
      <c r="IQ52" s="323"/>
      <c r="IR52" s="323"/>
      <c r="IS52" s="323"/>
      <c r="IT52" s="323"/>
      <c r="IU52" s="323"/>
      <c r="IV52" s="323"/>
    </row>
    <row r="53" spans="1:256" ht="42.75">
      <c r="A53" s="178" t="s">
        <v>138</v>
      </c>
      <c r="B53" s="151" t="s">
        <v>209</v>
      </c>
      <c r="C53" s="151" t="s">
        <v>115</v>
      </c>
      <c r="D53" s="179" t="s">
        <v>116</v>
      </c>
      <c r="E53" s="151" t="s">
        <v>117</v>
      </c>
      <c r="F53" s="151" t="s">
        <v>131</v>
      </c>
      <c r="G53" s="152" t="str">
        <f t="shared" si="0"/>
        <v>No of Racks</v>
      </c>
      <c r="H53" s="151">
        <v>6</v>
      </c>
      <c r="I53" s="151">
        <v>6</v>
      </c>
      <c r="J53" s="180">
        <f t="shared" si="67"/>
        <v>0</v>
      </c>
      <c r="K53" s="151">
        <v>6</v>
      </c>
      <c r="L53" s="151"/>
      <c r="M53" s="181">
        <f>2300000/12</f>
        <v>191666.66666666666</v>
      </c>
      <c r="N53" s="182">
        <f t="shared" si="69"/>
        <v>2300000</v>
      </c>
      <c r="O53" s="183" t="str">
        <f>C53</f>
        <v>Subscribed</v>
      </c>
      <c r="P53" s="151" t="s">
        <v>125</v>
      </c>
      <c r="Q53" s="151">
        <v>18</v>
      </c>
      <c r="R53" s="255">
        <v>9.09</v>
      </c>
      <c r="S53" s="185">
        <f t="shared" si="36"/>
        <v>8.91</v>
      </c>
      <c r="T53" s="186"/>
      <c r="U53" s="186">
        <f t="shared" si="70"/>
        <v>8.91</v>
      </c>
      <c r="V53" s="186">
        <f t="shared" si="96"/>
        <v>18</v>
      </c>
      <c r="W53" s="188">
        <v>6.22</v>
      </c>
      <c r="X53" s="186"/>
      <c r="Y53" s="83">
        <f>90000/12</f>
        <v>7500</v>
      </c>
      <c r="Z53" s="189" t="str">
        <f>D53</f>
        <v>Bundled</v>
      </c>
      <c r="AA53" s="186"/>
      <c r="AB53" s="186"/>
      <c r="AC53" s="190"/>
      <c r="AD53" s="227">
        <v>0</v>
      </c>
      <c r="AE53" s="120"/>
      <c r="AF53" s="152"/>
      <c r="AG53" s="186"/>
      <c r="AH53" s="186"/>
      <c r="AI53" s="186"/>
      <c r="AJ53" s="186"/>
      <c r="AK53" s="186"/>
      <c r="AL53" s="181"/>
      <c r="AM53" s="83">
        <f t="shared" si="72"/>
        <v>1150000</v>
      </c>
      <c r="AN53" s="83">
        <f t="shared" si="73"/>
        <v>0</v>
      </c>
      <c r="AO53" s="83">
        <f t="shared" si="74"/>
        <v>0</v>
      </c>
      <c r="AP53" s="83">
        <f t="shared" si="75"/>
        <v>0</v>
      </c>
      <c r="AQ53" s="109">
        <f>(250000+100000+250000)/12</f>
        <v>50000</v>
      </c>
      <c r="AR53" s="85">
        <f t="shared" si="76"/>
        <v>1200000</v>
      </c>
      <c r="AS53" s="86">
        <f t="shared" si="77"/>
        <v>14400000</v>
      </c>
      <c r="AT53" s="85" t="s">
        <v>119</v>
      </c>
      <c r="AU53" s="221" t="s">
        <v>210</v>
      </c>
      <c r="AV53" s="191">
        <v>43149</v>
      </c>
      <c r="AW53" s="69">
        <v>1</v>
      </c>
      <c r="AX53" s="191">
        <v>43484</v>
      </c>
      <c r="AY53" s="69"/>
      <c r="AZ53" s="69"/>
      <c r="BA53" s="84">
        <f t="shared" si="78"/>
        <v>200000</v>
      </c>
      <c r="BB53" s="84">
        <f t="shared" si="79"/>
        <v>66666.666666666672</v>
      </c>
      <c r="BC53" s="84">
        <f t="shared" si="80"/>
        <v>60880.969109999998</v>
      </c>
      <c r="BD53" s="84">
        <f t="shared" si="80"/>
        <v>56572.196564999991</v>
      </c>
      <c r="BE53" s="84">
        <f t="shared" si="81"/>
        <v>55184.297888888883</v>
      </c>
      <c r="BF53" s="84"/>
      <c r="BG53" s="93">
        <f t="shared" si="82"/>
        <v>1150000</v>
      </c>
      <c r="BH53" s="93">
        <f t="shared" si="83"/>
        <v>209904.17199999886</v>
      </c>
      <c r="BI53" s="93">
        <f t="shared" si="84"/>
        <v>940095.82800000114</v>
      </c>
      <c r="BJ53" s="91">
        <f t="shared" si="85"/>
        <v>54142.556020000055</v>
      </c>
      <c r="BK53" s="91">
        <f t="shared" si="86"/>
        <v>131700.46183000013</v>
      </c>
      <c r="BL53" s="91">
        <f t="shared" si="55"/>
        <v>156682.63800000018</v>
      </c>
      <c r="BM53" s="91">
        <f t="shared" si="87"/>
        <v>1095857.44398</v>
      </c>
      <c r="BN53" s="91">
        <f t="shared" si="57"/>
        <v>0</v>
      </c>
      <c r="BO53" s="91">
        <f t="shared" si="88"/>
        <v>209904.17199999886</v>
      </c>
      <c r="BP53" s="91">
        <f t="shared" si="89"/>
        <v>885953.27198000113</v>
      </c>
      <c r="BQ53" s="91">
        <f t="shared" si="90"/>
        <v>1095857.44398</v>
      </c>
      <c r="BR53" s="91">
        <f t="shared" si="61"/>
        <v>18</v>
      </c>
      <c r="BS53" s="91">
        <f t="shared" si="91"/>
        <v>60880.969109999998</v>
      </c>
      <c r="BT53" s="91">
        <f t="shared" si="92"/>
        <v>102540.08198000013</v>
      </c>
      <c r="BU53" s="91">
        <f t="shared" si="93"/>
        <v>993317.36199999985</v>
      </c>
      <c r="BV53" s="91">
        <f t="shared" si="94"/>
        <v>1095857.44398</v>
      </c>
      <c r="BW53" s="91">
        <f t="shared" si="95"/>
        <v>5696.6712211111189</v>
      </c>
      <c r="BX53" s="91">
        <f t="shared" si="95"/>
        <v>55184.297888888883</v>
      </c>
      <c r="BY53" s="91">
        <f t="shared" si="95"/>
        <v>60880.969109999998</v>
      </c>
      <c r="BZ53" s="323"/>
      <c r="CA53" s="323"/>
      <c r="CB53" s="323"/>
      <c r="CC53" s="323"/>
      <c r="CD53" s="323"/>
      <c r="CE53" s="323"/>
      <c r="CF53" s="323"/>
      <c r="CG53" s="323"/>
      <c r="CH53" s="323"/>
      <c r="CI53" s="323"/>
      <c r="CJ53" s="323"/>
      <c r="CK53" s="323"/>
      <c r="CL53" s="323"/>
      <c r="CM53" s="323"/>
      <c r="CN53" s="323"/>
      <c r="CO53" s="323"/>
      <c r="CP53" s="323"/>
      <c r="CQ53" s="323"/>
      <c r="CR53" s="323"/>
      <c r="CS53" s="323"/>
      <c r="CT53" s="323"/>
      <c r="CU53" s="323"/>
      <c r="CV53" s="323"/>
      <c r="CW53" s="323"/>
      <c r="CX53" s="323"/>
      <c r="CY53" s="323"/>
      <c r="CZ53" s="323"/>
      <c r="DA53" s="323"/>
      <c r="DB53" s="323"/>
      <c r="DC53" s="323"/>
      <c r="DD53" s="323"/>
      <c r="DE53" s="323"/>
      <c r="DF53" s="323"/>
      <c r="DG53" s="323"/>
      <c r="DH53" s="323"/>
      <c r="DI53" s="323"/>
      <c r="DJ53" s="323"/>
      <c r="DK53" s="323"/>
      <c r="DL53" s="323"/>
      <c r="DM53" s="323"/>
      <c r="DN53" s="323"/>
      <c r="DO53" s="323"/>
      <c r="DP53" s="323"/>
      <c r="DQ53" s="323"/>
      <c r="DR53" s="323"/>
      <c r="DS53" s="323"/>
      <c r="DT53" s="323"/>
      <c r="DU53" s="323"/>
      <c r="DV53" s="323"/>
      <c r="DW53" s="323"/>
      <c r="DX53" s="323"/>
      <c r="DY53" s="323"/>
      <c r="DZ53" s="323"/>
      <c r="EA53" s="323"/>
      <c r="EB53" s="323"/>
      <c r="EC53" s="323"/>
      <c r="ED53" s="323"/>
      <c r="EE53" s="323"/>
      <c r="EF53" s="323"/>
      <c r="EG53" s="323"/>
      <c r="EH53" s="323"/>
      <c r="EI53" s="323"/>
      <c r="EJ53" s="323"/>
      <c r="EK53" s="323"/>
      <c r="EL53" s="323"/>
      <c r="EM53" s="323"/>
      <c r="EN53" s="323"/>
      <c r="EO53" s="323"/>
      <c r="EP53" s="323"/>
      <c r="EQ53" s="323"/>
      <c r="ER53" s="323"/>
      <c r="ES53" s="323"/>
      <c r="ET53" s="323"/>
      <c r="EU53" s="323"/>
      <c r="EV53" s="323"/>
      <c r="EW53" s="323"/>
      <c r="EX53" s="323"/>
      <c r="EY53" s="323"/>
      <c r="EZ53" s="323"/>
      <c r="FA53" s="323"/>
      <c r="FB53" s="323"/>
      <c r="FC53" s="323"/>
      <c r="FD53" s="323"/>
      <c r="FE53" s="323"/>
      <c r="FF53" s="323"/>
      <c r="FG53" s="323"/>
      <c r="FH53" s="323"/>
      <c r="FI53" s="323"/>
      <c r="FJ53" s="323"/>
      <c r="FK53" s="323"/>
      <c r="FL53" s="323"/>
      <c r="FM53" s="323"/>
      <c r="FN53" s="323"/>
      <c r="FO53" s="323"/>
      <c r="FP53" s="323"/>
      <c r="FQ53" s="323"/>
      <c r="FR53" s="323"/>
      <c r="FS53" s="323"/>
      <c r="FT53" s="323"/>
      <c r="FU53" s="323"/>
      <c r="FV53" s="323"/>
      <c r="FW53" s="323"/>
      <c r="FX53" s="323"/>
      <c r="FY53" s="323"/>
      <c r="FZ53" s="323"/>
      <c r="GA53" s="323"/>
      <c r="GB53" s="323"/>
      <c r="GC53" s="323"/>
      <c r="GD53" s="323"/>
      <c r="GE53" s="323"/>
      <c r="GF53" s="323"/>
      <c r="GG53" s="323"/>
      <c r="GH53" s="323"/>
      <c r="GI53" s="323"/>
      <c r="GJ53" s="323"/>
      <c r="GK53" s="323"/>
      <c r="GL53" s="323"/>
      <c r="GM53" s="323"/>
      <c r="GN53" s="323"/>
      <c r="GO53" s="323"/>
      <c r="GP53" s="323"/>
      <c r="GQ53" s="323"/>
      <c r="GR53" s="323"/>
      <c r="GS53" s="323"/>
      <c r="GT53" s="323"/>
      <c r="GU53" s="323"/>
      <c r="GV53" s="323"/>
      <c r="GW53" s="323"/>
      <c r="GX53" s="323"/>
      <c r="GY53" s="323"/>
      <c r="GZ53" s="323"/>
      <c r="HA53" s="323"/>
      <c r="HB53" s="323"/>
      <c r="HC53" s="323"/>
      <c r="HD53" s="323"/>
      <c r="HE53" s="323"/>
      <c r="HF53" s="323"/>
      <c r="HG53" s="323"/>
      <c r="HH53" s="323"/>
      <c r="HI53" s="323"/>
      <c r="HJ53" s="323"/>
      <c r="HK53" s="323"/>
      <c r="HL53" s="323"/>
      <c r="HM53" s="323"/>
      <c r="HN53" s="323"/>
      <c r="HO53" s="323"/>
      <c r="HP53" s="323"/>
      <c r="HQ53" s="323"/>
      <c r="HR53" s="323"/>
      <c r="HS53" s="323"/>
      <c r="HT53" s="323"/>
      <c r="HU53" s="323"/>
      <c r="HV53" s="323"/>
      <c r="HW53" s="323"/>
      <c r="HX53" s="323"/>
      <c r="HY53" s="323"/>
      <c r="HZ53" s="323"/>
      <c r="IA53" s="323"/>
      <c r="IB53" s="323"/>
      <c r="IC53" s="323"/>
      <c r="ID53" s="323"/>
      <c r="IE53" s="323"/>
      <c r="IF53" s="323"/>
      <c r="IG53" s="323"/>
      <c r="IH53" s="323"/>
      <c r="II53" s="323"/>
      <c r="IJ53" s="323"/>
      <c r="IK53" s="323"/>
      <c r="IL53" s="323"/>
      <c r="IM53" s="323"/>
      <c r="IN53" s="323"/>
      <c r="IO53" s="323"/>
      <c r="IP53" s="323"/>
      <c r="IQ53" s="323"/>
      <c r="IR53" s="323"/>
      <c r="IS53" s="323"/>
      <c r="IT53" s="323"/>
      <c r="IU53" s="323"/>
      <c r="IV53" s="323"/>
    </row>
    <row r="54" spans="1:256" ht="15">
      <c r="A54" s="321" t="s">
        <v>4</v>
      </c>
      <c r="B54" s="256"/>
      <c r="C54" s="110"/>
      <c r="D54" s="110"/>
      <c r="E54" s="110"/>
      <c r="F54" s="110"/>
      <c r="G54" s="110"/>
      <c r="H54" s="256">
        <f>SUM(H2:H53)</f>
        <v>1560</v>
      </c>
      <c r="I54" s="256">
        <f>SUM(I2:I53)</f>
        <v>1427</v>
      </c>
      <c r="J54" s="320">
        <f t="shared" si="67"/>
        <v>133</v>
      </c>
      <c r="K54" s="256"/>
      <c r="L54" s="256"/>
      <c r="M54" s="256"/>
      <c r="N54" s="257"/>
      <c r="O54" s="256"/>
      <c r="P54" s="258"/>
      <c r="Q54" s="258"/>
      <c r="R54" s="259"/>
      <c r="S54" s="258"/>
      <c r="T54" s="258"/>
      <c r="U54" s="258">
        <f ca="1">SUM(U1:U53)</f>
        <v>711.26978629032249</v>
      </c>
      <c r="V54" s="258"/>
      <c r="W54" s="259"/>
      <c r="X54" s="258"/>
      <c r="Y54" s="260"/>
      <c r="Z54" s="258"/>
      <c r="AA54" s="258"/>
      <c r="AB54" s="258"/>
      <c r="AC54" s="193"/>
      <c r="AD54" s="199"/>
      <c r="AE54" s="261" t="str">
        <f>IF(AD54="No of Seats","No of Seats",(IF(AD54="Space","Sq Ft","")))</f>
        <v/>
      </c>
      <c r="AF54" s="262"/>
      <c r="AG54" s="262"/>
      <c r="AH54" s="262"/>
      <c r="AI54" s="258"/>
      <c r="AJ54" s="258"/>
      <c r="AK54" s="258"/>
      <c r="AL54" s="263"/>
      <c r="AM54" s="263"/>
      <c r="AN54" s="263"/>
      <c r="AO54" s="263"/>
      <c r="AP54" s="263">
        <f>SUM(AP1:AP49)</f>
        <v>341550</v>
      </c>
      <c r="AQ54" s="263">
        <f>SUM(AQ1:AQ49)</f>
        <v>1591312.2491666663</v>
      </c>
      <c r="AR54" s="110"/>
      <c r="AS54" s="110"/>
      <c r="AT54" s="110"/>
      <c r="AU54" s="110"/>
      <c r="AV54" s="110"/>
      <c r="AW54" s="110"/>
      <c r="AX54" s="323"/>
      <c r="AY54" s="111"/>
      <c r="AZ54" s="111"/>
      <c r="BA54" s="111"/>
      <c r="BB54" s="111"/>
      <c r="BC54" s="111"/>
      <c r="BD54" s="111"/>
      <c r="BE54" s="264"/>
      <c r="BF54" s="264"/>
      <c r="BG54" s="264"/>
      <c r="BH54" s="112"/>
      <c r="BI54" s="112"/>
      <c r="BJ54" s="112"/>
      <c r="BK54" s="112"/>
      <c r="BL54" s="112"/>
      <c r="BM54" s="112"/>
      <c r="BN54" s="112"/>
      <c r="BO54" s="112"/>
      <c r="BP54" s="112"/>
      <c r="BQ54" s="112"/>
      <c r="BR54" s="112"/>
      <c r="BS54" s="112"/>
      <c r="BT54" s="112"/>
      <c r="BU54" s="112"/>
      <c r="BV54" s="112"/>
      <c r="BW54" s="112"/>
      <c r="BX54" s="323"/>
      <c r="BY54" s="323"/>
      <c r="BZ54" s="323"/>
      <c r="CA54" s="323"/>
      <c r="CB54" s="323"/>
      <c r="CC54" s="323"/>
      <c r="CD54" s="323"/>
      <c r="CE54" s="323"/>
      <c r="CF54" s="323"/>
      <c r="CG54" s="323"/>
      <c r="CH54" s="323"/>
      <c r="CI54" s="323"/>
      <c r="CJ54" s="323"/>
      <c r="CK54" s="323"/>
      <c r="CL54" s="323"/>
      <c r="CM54" s="323"/>
      <c r="CN54" s="323"/>
      <c r="CO54" s="323"/>
      <c r="CP54" s="323"/>
      <c r="CQ54" s="323"/>
      <c r="CR54" s="323"/>
      <c r="CS54" s="323"/>
      <c r="CT54" s="323"/>
      <c r="CU54" s="323"/>
      <c r="CV54" s="323"/>
      <c r="CW54" s="323"/>
      <c r="CX54" s="323"/>
      <c r="CY54" s="323"/>
      <c r="CZ54" s="323"/>
      <c r="DA54" s="323"/>
      <c r="DB54" s="323"/>
      <c r="DC54" s="323"/>
      <c r="DD54" s="323"/>
      <c r="DE54" s="323"/>
      <c r="DF54" s="323"/>
      <c r="DG54" s="323"/>
      <c r="DH54" s="323"/>
      <c r="DI54" s="323"/>
      <c r="DJ54" s="323"/>
      <c r="DK54" s="323"/>
      <c r="DL54" s="323"/>
      <c r="DM54" s="323"/>
      <c r="DN54" s="323"/>
      <c r="DO54" s="323"/>
      <c r="DP54" s="323"/>
      <c r="DQ54" s="323"/>
      <c r="DR54" s="323"/>
      <c r="DS54" s="323"/>
      <c r="DT54" s="323"/>
      <c r="DU54" s="323"/>
      <c r="DV54" s="323"/>
      <c r="DW54" s="323"/>
      <c r="DX54" s="323"/>
      <c r="DY54" s="323"/>
      <c r="DZ54" s="323"/>
      <c r="EA54" s="323"/>
      <c r="EB54" s="323"/>
      <c r="EC54" s="323"/>
      <c r="ED54" s="323"/>
      <c r="EE54" s="323"/>
      <c r="EF54" s="323"/>
      <c r="EG54" s="323"/>
      <c r="EH54" s="323"/>
      <c r="EI54" s="323"/>
      <c r="EJ54" s="323"/>
      <c r="EK54" s="323"/>
      <c r="EL54" s="323"/>
      <c r="EM54" s="323"/>
      <c r="EN54" s="323"/>
      <c r="EO54" s="323"/>
      <c r="EP54" s="323"/>
      <c r="EQ54" s="323"/>
      <c r="ER54" s="323"/>
      <c r="ES54" s="323"/>
      <c r="ET54" s="323"/>
      <c r="EU54" s="323"/>
      <c r="EV54" s="323"/>
      <c r="EW54" s="323"/>
      <c r="EX54" s="323"/>
      <c r="EY54" s="323"/>
      <c r="EZ54" s="323"/>
      <c r="FA54" s="323"/>
      <c r="FB54" s="323"/>
      <c r="FC54" s="323"/>
      <c r="FD54" s="323"/>
      <c r="FE54" s="323"/>
      <c r="FF54" s="323"/>
      <c r="FG54" s="323"/>
      <c r="FH54" s="323"/>
      <c r="FI54" s="323"/>
      <c r="FJ54" s="323"/>
      <c r="FK54" s="323"/>
      <c r="FL54" s="323"/>
      <c r="FM54" s="323"/>
      <c r="FN54" s="323"/>
      <c r="FO54" s="323"/>
      <c r="FP54" s="323"/>
      <c r="FQ54" s="323"/>
      <c r="FR54" s="323"/>
      <c r="FS54" s="323"/>
      <c r="FT54" s="323"/>
      <c r="FU54" s="323"/>
      <c r="FV54" s="323"/>
      <c r="FW54" s="323"/>
      <c r="FX54" s="323"/>
      <c r="FY54" s="323"/>
      <c r="FZ54" s="323"/>
      <c r="GA54" s="323"/>
      <c r="GB54" s="323"/>
      <c r="GC54" s="323"/>
      <c r="GD54" s="323"/>
      <c r="GE54" s="323"/>
      <c r="GF54" s="323"/>
      <c r="GG54" s="323"/>
      <c r="GH54" s="323"/>
      <c r="GI54" s="323"/>
      <c r="GJ54" s="323"/>
      <c r="GK54" s="323"/>
      <c r="GL54" s="323"/>
      <c r="GM54" s="323"/>
      <c r="GN54" s="323"/>
      <c r="GO54" s="323"/>
      <c r="GP54" s="323"/>
      <c r="GQ54" s="323"/>
      <c r="GR54" s="323"/>
      <c r="GS54" s="323"/>
      <c r="GT54" s="323"/>
      <c r="GU54" s="323"/>
      <c r="GV54" s="323"/>
      <c r="GW54" s="323"/>
      <c r="GX54" s="323"/>
      <c r="GY54" s="323"/>
      <c r="GZ54" s="323"/>
      <c r="HA54" s="323"/>
      <c r="HB54" s="323"/>
      <c r="HC54" s="323"/>
      <c r="HD54" s="323"/>
      <c r="HE54" s="323"/>
      <c r="HF54" s="323"/>
      <c r="HG54" s="323"/>
      <c r="HH54" s="323"/>
      <c r="HI54" s="323"/>
      <c r="HJ54" s="323"/>
      <c r="HK54" s="323"/>
      <c r="HL54" s="323"/>
      <c r="HM54" s="323"/>
      <c r="HN54" s="323"/>
      <c r="HO54" s="323"/>
      <c r="HP54" s="323"/>
      <c r="HQ54" s="323"/>
      <c r="HR54" s="323"/>
      <c r="HS54" s="323"/>
      <c r="HT54" s="323"/>
      <c r="HU54" s="323"/>
      <c r="HV54" s="323"/>
      <c r="HW54" s="323"/>
      <c r="HX54" s="323"/>
      <c r="HY54" s="323"/>
      <c r="HZ54" s="323"/>
      <c r="IA54" s="323"/>
      <c r="IB54" s="323"/>
      <c r="IC54" s="323"/>
      <c r="ID54" s="323"/>
      <c r="IE54" s="323"/>
      <c r="IF54" s="323"/>
      <c r="IG54" s="323"/>
      <c r="IH54" s="323"/>
      <c r="II54" s="323"/>
      <c r="IJ54" s="323"/>
      <c r="IK54" s="323"/>
      <c r="IL54" s="323"/>
      <c r="IM54" s="323"/>
      <c r="IN54" s="323"/>
      <c r="IO54" s="323"/>
      <c r="IP54" s="323"/>
      <c r="IQ54" s="323"/>
      <c r="IR54" s="323"/>
      <c r="IS54" s="323"/>
      <c r="IT54" s="323"/>
      <c r="IU54" s="323"/>
      <c r="IV54" s="323"/>
    </row>
    <row r="55" spans="1:256" ht="15">
      <c r="A55" s="178" t="s">
        <v>211</v>
      </c>
      <c r="B55" s="243" t="s">
        <v>212</v>
      </c>
      <c r="C55" s="151" t="s">
        <v>124</v>
      </c>
      <c r="D55" s="265" t="s">
        <v>116</v>
      </c>
      <c r="E55" s="151" t="s">
        <v>117</v>
      </c>
      <c r="F55" s="151" t="s">
        <v>118</v>
      </c>
      <c r="G55" s="152" t="s">
        <v>213</v>
      </c>
      <c r="H55" s="152">
        <v>1</v>
      </c>
      <c r="I55" s="152">
        <v>1</v>
      </c>
      <c r="J55" s="180">
        <f t="shared" si="67"/>
        <v>0</v>
      </c>
      <c r="K55" s="152">
        <v>1</v>
      </c>
      <c r="L55" s="154"/>
      <c r="M55" s="266"/>
      <c r="N55" s="113">
        <v>0</v>
      </c>
      <c r="O55" s="267" t="s">
        <v>124</v>
      </c>
      <c r="P55" s="243" t="s">
        <v>125</v>
      </c>
      <c r="Q55" s="154">
        <v>3</v>
      </c>
      <c r="R55" s="247">
        <v>4.1399999999999997</v>
      </c>
      <c r="S55" s="185">
        <f t="shared" ref="S55:S62" si="97">Q55-R55</f>
        <v>-1.1399999999999997</v>
      </c>
      <c r="T55" s="268"/>
      <c r="U55" s="268">
        <v>0</v>
      </c>
      <c r="V55" s="268">
        <v>1.5</v>
      </c>
      <c r="W55" s="269">
        <f t="shared" ref="W55:W65" si="98">R55</f>
        <v>4.1399999999999997</v>
      </c>
      <c r="X55" s="268"/>
      <c r="Y55" s="113"/>
      <c r="Z55" s="270" t="s">
        <v>116</v>
      </c>
      <c r="AA55" s="268"/>
      <c r="AB55" s="268"/>
      <c r="AC55" s="271"/>
      <c r="AD55" s="272"/>
      <c r="AE55" s="273"/>
      <c r="AF55" s="154"/>
      <c r="AG55" s="268"/>
      <c r="AH55" s="268"/>
      <c r="AI55" s="268"/>
      <c r="AJ55" s="268"/>
      <c r="AK55" s="268"/>
      <c r="AL55" s="266"/>
      <c r="AM55" s="113">
        <v>0</v>
      </c>
      <c r="AN55" s="113">
        <v>0</v>
      </c>
      <c r="AO55" s="113">
        <v>0</v>
      </c>
      <c r="AP55" s="113">
        <v>0</v>
      </c>
      <c r="AQ55" s="114"/>
      <c r="AR55" s="115">
        <v>0</v>
      </c>
      <c r="AS55" s="115">
        <v>0</v>
      </c>
      <c r="AT55" s="115"/>
      <c r="AU55" s="116"/>
      <c r="AV55" s="274"/>
      <c r="AW55" s="116"/>
      <c r="AX55" s="274"/>
      <c r="AY55" s="116"/>
      <c r="AZ55" s="116"/>
      <c r="BA55" s="117"/>
      <c r="BB55" s="117"/>
      <c r="BC55" s="117"/>
      <c r="BD55" s="117"/>
      <c r="BE55" s="117"/>
      <c r="BF55" s="117"/>
      <c r="BG55" s="117"/>
      <c r="BH55" s="117"/>
      <c r="BI55" s="117"/>
      <c r="BJ55" s="118"/>
      <c r="BK55" s="118"/>
      <c r="BL55" s="118"/>
      <c r="BM55" s="118"/>
      <c r="BN55" s="118"/>
      <c r="BO55" s="118"/>
      <c r="BP55" s="118"/>
      <c r="BQ55" s="118"/>
      <c r="BR55" s="118"/>
      <c r="BS55" s="118"/>
      <c r="BT55" s="118"/>
      <c r="BU55" s="118"/>
      <c r="BV55" s="118"/>
      <c r="BW55" s="118"/>
      <c r="BX55" s="118"/>
      <c r="BY55" s="118"/>
      <c r="BZ55" s="119"/>
      <c r="CA55" s="119"/>
      <c r="CB55" s="119"/>
      <c r="CC55" s="119"/>
      <c r="CD55" s="119"/>
      <c r="CE55" s="119"/>
      <c r="CF55" s="119"/>
      <c r="CG55" s="119"/>
      <c r="CH55" s="119"/>
      <c r="CI55" s="119"/>
      <c r="CJ55" s="119"/>
      <c r="CK55" s="119"/>
      <c r="CL55" s="119"/>
      <c r="CM55" s="119"/>
      <c r="CN55" s="119"/>
      <c r="CO55" s="119"/>
      <c r="CP55" s="119"/>
      <c r="CQ55" s="119"/>
      <c r="CR55" s="119"/>
      <c r="CS55" s="119"/>
      <c r="CT55" s="119"/>
      <c r="CU55" s="119"/>
      <c r="CV55" s="119"/>
      <c r="CW55" s="119"/>
      <c r="CX55" s="119"/>
      <c r="CY55" s="119"/>
      <c r="CZ55" s="119"/>
      <c r="DA55" s="119"/>
      <c r="DB55" s="119"/>
      <c r="DC55" s="119"/>
      <c r="DD55" s="119"/>
      <c r="DE55" s="119"/>
      <c r="DF55" s="119"/>
      <c r="DG55" s="119"/>
      <c r="DH55" s="119"/>
      <c r="DI55" s="119"/>
      <c r="DJ55" s="119"/>
      <c r="DK55" s="119"/>
      <c r="DL55" s="119"/>
      <c r="DM55" s="119"/>
      <c r="DN55" s="119"/>
      <c r="DO55" s="119"/>
      <c r="DP55" s="119"/>
      <c r="DQ55" s="119"/>
      <c r="DR55" s="119"/>
      <c r="DS55" s="119"/>
      <c r="DT55" s="119"/>
      <c r="DU55" s="119"/>
      <c r="DV55" s="119"/>
      <c r="DW55" s="119"/>
      <c r="DX55" s="119"/>
      <c r="DY55" s="119"/>
      <c r="DZ55" s="119"/>
      <c r="EA55" s="119"/>
      <c r="EB55" s="119"/>
      <c r="EC55" s="119"/>
      <c r="ED55" s="119"/>
      <c r="EE55" s="119"/>
      <c r="EF55" s="119"/>
      <c r="EG55" s="119"/>
      <c r="EH55" s="119"/>
      <c r="EI55" s="119"/>
      <c r="EJ55" s="119"/>
      <c r="EK55" s="119"/>
      <c r="EL55" s="119"/>
      <c r="EM55" s="119"/>
      <c r="EN55" s="119"/>
      <c r="EO55" s="119"/>
      <c r="EP55" s="119"/>
      <c r="EQ55" s="119"/>
      <c r="ER55" s="119"/>
      <c r="ES55" s="119"/>
      <c r="ET55" s="119"/>
      <c r="EU55" s="119"/>
      <c r="EV55" s="119"/>
      <c r="EW55" s="119"/>
      <c r="EX55" s="119"/>
      <c r="EY55" s="119"/>
      <c r="EZ55" s="119"/>
      <c r="FA55" s="119"/>
      <c r="FB55" s="119"/>
      <c r="FC55" s="119"/>
      <c r="FD55" s="119"/>
      <c r="FE55" s="119"/>
      <c r="FF55" s="119"/>
      <c r="FG55" s="119"/>
      <c r="FH55" s="119"/>
      <c r="FI55" s="119"/>
      <c r="FJ55" s="119"/>
      <c r="FK55" s="119"/>
      <c r="FL55" s="119"/>
      <c r="FM55" s="119"/>
      <c r="FN55" s="119"/>
      <c r="FO55" s="119"/>
      <c r="FP55" s="119"/>
      <c r="FQ55" s="119"/>
      <c r="FR55" s="119"/>
      <c r="FS55" s="119"/>
      <c r="FT55" s="119"/>
      <c r="FU55" s="119"/>
      <c r="FV55" s="119"/>
      <c r="FW55" s="119"/>
      <c r="FX55" s="119"/>
      <c r="FY55" s="119"/>
      <c r="FZ55" s="119"/>
      <c r="GA55" s="119"/>
      <c r="GB55" s="119"/>
      <c r="GC55" s="119"/>
      <c r="GD55" s="119"/>
      <c r="GE55" s="119"/>
      <c r="GF55" s="119"/>
      <c r="GG55" s="119"/>
      <c r="GH55" s="119"/>
      <c r="GI55" s="119"/>
      <c r="GJ55" s="119"/>
      <c r="GK55" s="119"/>
      <c r="GL55" s="119"/>
      <c r="GM55" s="119"/>
      <c r="GN55" s="119"/>
      <c r="GO55" s="119"/>
      <c r="GP55" s="119"/>
      <c r="GQ55" s="119"/>
      <c r="GR55" s="119"/>
      <c r="GS55" s="119"/>
      <c r="GT55" s="119"/>
      <c r="GU55" s="119"/>
      <c r="GV55" s="119"/>
      <c r="GW55" s="119"/>
      <c r="GX55" s="119"/>
      <c r="GY55" s="119"/>
      <c r="GZ55" s="119"/>
      <c r="HA55" s="119"/>
      <c r="HB55" s="119"/>
      <c r="HC55" s="119"/>
      <c r="HD55" s="119"/>
      <c r="HE55" s="119"/>
      <c r="HF55" s="119"/>
      <c r="HG55" s="119"/>
      <c r="HH55" s="119"/>
      <c r="HI55" s="119"/>
      <c r="HJ55" s="119"/>
      <c r="HK55" s="119"/>
      <c r="HL55" s="119"/>
      <c r="HM55" s="119"/>
      <c r="HN55" s="119"/>
      <c r="HO55" s="119"/>
      <c r="HP55" s="119"/>
      <c r="HQ55" s="119"/>
      <c r="HR55" s="119"/>
      <c r="HS55" s="119"/>
      <c r="HT55" s="119"/>
      <c r="HU55" s="119"/>
      <c r="HV55" s="119"/>
      <c r="HW55" s="119"/>
      <c r="HX55" s="119"/>
      <c r="HY55" s="119"/>
      <c r="HZ55" s="119"/>
      <c r="IA55" s="119"/>
      <c r="IB55" s="119"/>
      <c r="IC55" s="119"/>
      <c r="ID55" s="119"/>
      <c r="IE55" s="119"/>
      <c r="IF55" s="119"/>
      <c r="IG55" s="119"/>
      <c r="IH55" s="119"/>
      <c r="II55" s="119"/>
      <c r="IJ55" s="119"/>
      <c r="IK55" s="119"/>
      <c r="IL55" s="119"/>
      <c r="IM55" s="119"/>
      <c r="IN55" s="119"/>
      <c r="IO55" s="119"/>
      <c r="IP55" s="119"/>
      <c r="IQ55" s="119"/>
      <c r="IR55" s="119"/>
      <c r="IS55" s="119"/>
      <c r="IT55" s="119"/>
      <c r="IU55" s="119"/>
      <c r="IV55" s="119"/>
    </row>
    <row r="56" spans="1:256" ht="15">
      <c r="A56" s="275" t="s">
        <v>122</v>
      </c>
      <c r="B56" s="276" t="s">
        <v>214</v>
      </c>
      <c r="C56" s="277" t="s">
        <v>124</v>
      </c>
      <c r="D56" s="265" t="s">
        <v>116</v>
      </c>
      <c r="E56" s="151" t="s">
        <v>117</v>
      </c>
      <c r="F56" s="151" t="s">
        <v>118</v>
      </c>
      <c r="G56" s="152" t="s">
        <v>213</v>
      </c>
      <c r="H56" s="152">
        <v>1</v>
      </c>
      <c r="I56" s="152">
        <v>1</v>
      </c>
      <c r="J56" s="180">
        <f t="shared" si="67"/>
        <v>0</v>
      </c>
      <c r="K56" s="155">
        <v>1</v>
      </c>
      <c r="L56" s="109"/>
      <c r="M56" s="91"/>
      <c r="N56" s="91"/>
      <c r="O56" s="278" t="s">
        <v>124</v>
      </c>
      <c r="P56" s="151" t="s">
        <v>125</v>
      </c>
      <c r="Q56" s="109">
        <v>1.5</v>
      </c>
      <c r="R56" s="279">
        <v>3.15</v>
      </c>
      <c r="S56" s="185">
        <f t="shared" si="97"/>
        <v>-1.65</v>
      </c>
      <c r="T56" s="69"/>
      <c r="U56" s="69"/>
      <c r="V56" s="69"/>
      <c r="W56" s="280">
        <f t="shared" si="98"/>
        <v>3.15</v>
      </c>
      <c r="X56" s="69"/>
      <c r="Y56" s="69"/>
      <c r="Z56" s="69"/>
      <c r="AA56" s="69"/>
      <c r="AB56" s="69"/>
      <c r="AC56" s="140"/>
      <c r="AD56" s="199"/>
      <c r="AE56" s="120"/>
      <c r="AF56" s="91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91"/>
      <c r="AS56" s="91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9"/>
      <c r="BN56" s="69"/>
      <c r="BO56" s="69"/>
      <c r="BP56" s="69"/>
      <c r="BQ56" s="69"/>
      <c r="BR56" s="69"/>
      <c r="BS56" s="69"/>
      <c r="BT56" s="69"/>
      <c r="BU56" s="69"/>
      <c r="BV56" s="69"/>
      <c r="BW56" s="69"/>
      <c r="BX56" s="69"/>
      <c r="BY56" s="69"/>
      <c r="BZ56" s="323"/>
      <c r="CA56" s="323"/>
      <c r="CB56" s="323"/>
      <c r="CC56" s="323"/>
      <c r="CD56" s="323"/>
      <c r="CE56" s="323"/>
      <c r="CF56" s="323"/>
      <c r="CG56" s="323"/>
      <c r="CH56" s="323"/>
      <c r="CI56" s="323"/>
      <c r="CJ56" s="323"/>
      <c r="CK56" s="323"/>
      <c r="CL56" s="323"/>
      <c r="CM56" s="323"/>
      <c r="CN56" s="323"/>
      <c r="CO56" s="323"/>
      <c r="CP56" s="323"/>
      <c r="CQ56" s="323"/>
      <c r="CR56" s="323"/>
      <c r="CS56" s="323"/>
      <c r="CT56" s="323"/>
      <c r="CU56" s="323"/>
      <c r="CV56" s="323"/>
      <c r="CW56" s="323"/>
      <c r="CX56" s="323"/>
      <c r="CY56" s="323"/>
      <c r="CZ56" s="323"/>
      <c r="DA56" s="323"/>
      <c r="DB56" s="323"/>
      <c r="DC56" s="323"/>
      <c r="DD56" s="323"/>
      <c r="DE56" s="323"/>
      <c r="DF56" s="323"/>
      <c r="DG56" s="323"/>
      <c r="DH56" s="323"/>
      <c r="DI56" s="323"/>
      <c r="DJ56" s="323"/>
      <c r="DK56" s="323"/>
      <c r="DL56" s="323"/>
      <c r="DM56" s="323"/>
      <c r="DN56" s="323"/>
      <c r="DO56" s="323"/>
      <c r="DP56" s="323"/>
      <c r="DQ56" s="323"/>
      <c r="DR56" s="323"/>
      <c r="DS56" s="323"/>
      <c r="DT56" s="323"/>
      <c r="DU56" s="323"/>
      <c r="DV56" s="323"/>
      <c r="DW56" s="323"/>
      <c r="DX56" s="323"/>
      <c r="DY56" s="323"/>
      <c r="DZ56" s="323"/>
      <c r="EA56" s="323"/>
      <c r="EB56" s="323"/>
      <c r="EC56" s="323"/>
      <c r="ED56" s="323"/>
      <c r="EE56" s="323"/>
      <c r="EF56" s="323"/>
      <c r="EG56" s="323"/>
      <c r="EH56" s="323"/>
      <c r="EI56" s="323"/>
      <c r="EJ56" s="323"/>
      <c r="EK56" s="323"/>
      <c r="EL56" s="323"/>
      <c r="EM56" s="323"/>
      <c r="EN56" s="323"/>
      <c r="EO56" s="323"/>
      <c r="EP56" s="323"/>
      <c r="EQ56" s="323"/>
      <c r="ER56" s="323"/>
      <c r="ES56" s="323"/>
      <c r="ET56" s="323"/>
      <c r="EU56" s="323"/>
      <c r="EV56" s="323"/>
      <c r="EW56" s="323"/>
      <c r="EX56" s="323"/>
      <c r="EY56" s="323"/>
      <c r="EZ56" s="323"/>
      <c r="FA56" s="323"/>
      <c r="FB56" s="323"/>
      <c r="FC56" s="323"/>
      <c r="FD56" s="323"/>
      <c r="FE56" s="323"/>
      <c r="FF56" s="323"/>
      <c r="FG56" s="323"/>
      <c r="FH56" s="323"/>
      <c r="FI56" s="323"/>
      <c r="FJ56" s="323"/>
      <c r="FK56" s="323"/>
      <c r="FL56" s="323"/>
      <c r="FM56" s="323"/>
      <c r="FN56" s="323"/>
      <c r="FO56" s="323"/>
      <c r="FP56" s="323"/>
      <c r="FQ56" s="323"/>
      <c r="FR56" s="323"/>
      <c r="FS56" s="323"/>
      <c r="FT56" s="323"/>
      <c r="FU56" s="323"/>
      <c r="FV56" s="323"/>
      <c r="FW56" s="323"/>
      <c r="FX56" s="323"/>
      <c r="FY56" s="323"/>
      <c r="FZ56" s="323"/>
      <c r="GA56" s="323"/>
      <c r="GB56" s="323"/>
      <c r="GC56" s="323"/>
      <c r="GD56" s="323"/>
      <c r="GE56" s="323"/>
      <c r="GF56" s="323"/>
      <c r="GG56" s="323"/>
      <c r="GH56" s="323"/>
      <c r="GI56" s="323"/>
      <c r="GJ56" s="323"/>
      <c r="GK56" s="323"/>
      <c r="GL56" s="323"/>
      <c r="GM56" s="323"/>
      <c r="GN56" s="323"/>
      <c r="GO56" s="323"/>
      <c r="GP56" s="323"/>
      <c r="GQ56" s="323"/>
      <c r="GR56" s="323"/>
      <c r="GS56" s="323"/>
      <c r="GT56" s="323"/>
      <c r="GU56" s="323"/>
      <c r="GV56" s="323"/>
      <c r="GW56" s="323"/>
      <c r="GX56" s="323"/>
      <c r="GY56" s="323"/>
      <c r="GZ56" s="323"/>
      <c r="HA56" s="323"/>
      <c r="HB56" s="323"/>
      <c r="HC56" s="323"/>
      <c r="HD56" s="323"/>
      <c r="HE56" s="323"/>
      <c r="HF56" s="323"/>
      <c r="HG56" s="323"/>
      <c r="HH56" s="323"/>
      <c r="HI56" s="323"/>
      <c r="HJ56" s="323"/>
      <c r="HK56" s="323"/>
      <c r="HL56" s="323"/>
      <c r="HM56" s="323"/>
      <c r="HN56" s="323"/>
      <c r="HO56" s="323"/>
      <c r="HP56" s="323"/>
      <c r="HQ56" s="323"/>
      <c r="HR56" s="323"/>
      <c r="HS56" s="323"/>
      <c r="HT56" s="323"/>
      <c r="HU56" s="323"/>
      <c r="HV56" s="323"/>
      <c r="HW56" s="323"/>
      <c r="HX56" s="323"/>
      <c r="HY56" s="323"/>
      <c r="HZ56" s="323"/>
      <c r="IA56" s="323"/>
      <c r="IB56" s="323"/>
      <c r="IC56" s="323"/>
      <c r="ID56" s="323"/>
      <c r="IE56" s="323"/>
      <c r="IF56" s="323"/>
      <c r="IG56" s="323"/>
      <c r="IH56" s="323"/>
      <c r="II56" s="323"/>
      <c r="IJ56" s="323"/>
      <c r="IK56" s="323"/>
      <c r="IL56" s="323"/>
      <c r="IM56" s="323"/>
      <c r="IN56" s="323"/>
      <c r="IO56" s="323"/>
      <c r="IP56" s="323"/>
      <c r="IQ56" s="323"/>
      <c r="IR56" s="323"/>
      <c r="IS56" s="323"/>
      <c r="IT56" s="323"/>
      <c r="IU56" s="323"/>
      <c r="IV56" s="323"/>
    </row>
    <row r="57" spans="1:256" ht="15">
      <c r="A57" s="275" t="s">
        <v>211</v>
      </c>
      <c r="B57" s="276" t="s">
        <v>215</v>
      </c>
      <c r="C57" s="151" t="s">
        <v>115</v>
      </c>
      <c r="D57" s="265" t="s">
        <v>116</v>
      </c>
      <c r="E57" s="151" t="s">
        <v>117</v>
      </c>
      <c r="F57" s="151" t="s">
        <v>118</v>
      </c>
      <c r="G57" s="152" t="s">
        <v>213</v>
      </c>
      <c r="H57" s="152">
        <v>1</v>
      </c>
      <c r="I57" s="152">
        <v>1</v>
      </c>
      <c r="J57" s="180">
        <f t="shared" si="67"/>
        <v>0</v>
      </c>
      <c r="K57" s="155">
        <v>1</v>
      </c>
      <c r="L57" s="109"/>
      <c r="M57" s="91"/>
      <c r="N57" s="91"/>
      <c r="O57" s="183" t="str">
        <f>C57</f>
        <v>Subscribed</v>
      </c>
      <c r="P57" s="109" t="s">
        <v>108</v>
      </c>
      <c r="Q57" s="281">
        <v>3</v>
      </c>
      <c r="R57" s="282">
        <v>1.35</v>
      </c>
      <c r="S57" s="185">
        <f t="shared" si="97"/>
        <v>1.65</v>
      </c>
      <c r="T57" s="69"/>
      <c r="U57" s="69"/>
      <c r="V57" s="69"/>
      <c r="W57" s="280">
        <f t="shared" si="98"/>
        <v>1.35</v>
      </c>
      <c r="X57" s="69"/>
      <c r="Y57" s="69"/>
      <c r="Z57" s="69"/>
      <c r="AA57" s="69"/>
      <c r="AB57" s="69"/>
      <c r="AC57" s="140"/>
      <c r="AD57">
        <v>2242.2199999999998</v>
      </c>
      <c r="AE57" s="120"/>
      <c r="AF57" s="91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91"/>
      <c r="AS57" s="91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  <c r="BP57" s="69"/>
      <c r="BQ57" s="69"/>
      <c r="BR57" s="69"/>
      <c r="BS57" s="69"/>
      <c r="BT57" s="69"/>
      <c r="BU57" s="69"/>
      <c r="BV57" s="69"/>
      <c r="BW57" s="69"/>
      <c r="BX57" s="69"/>
      <c r="BY57" s="69"/>
      <c r="BZ57" s="323"/>
      <c r="CA57" s="323"/>
      <c r="CB57" s="323"/>
      <c r="CC57" s="323"/>
      <c r="CD57" s="323"/>
      <c r="CE57" s="323"/>
      <c r="CF57" s="323"/>
      <c r="CG57" s="323"/>
      <c r="CH57" s="323"/>
      <c r="CI57" s="323"/>
      <c r="CJ57" s="323"/>
      <c r="CK57" s="323"/>
      <c r="CL57" s="323"/>
      <c r="CM57" s="323"/>
      <c r="CN57" s="323"/>
      <c r="CO57" s="323"/>
      <c r="CP57" s="323"/>
      <c r="CQ57" s="323"/>
      <c r="CR57" s="323"/>
      <c r="CS57" s="323"/>
      <c r="CT57" s="323"/>
      <c r="CU57" s="323"/>
      <c r="CV57" s="323"/>
      <c r="CW57" s="323"/>
      <c r="CX57" s="323"/>
      <c r="CY57" s="323"/>
      <c r="CZ57" s="323"/>
      <c r="DA57" s="323"/>
      <c r="DB57" s="323"/>
      <c r="DC57" s="323"/>
      <c r="DD57" s="323"/>
      <c r="DE57" s="323"/>
      <c r="DF57" s="323"/>
      <c r="DG57" s="323"/>
      <c r="DH57" s="323"/>
      <c r="DI57" s="323"/>
      <c r="DJ57" s="323"/>
      <c r="DK57" s="323"/>
      <c r="DL57" s="323"/>
      <c r="DM57" s="323"/>
      <c r="DN57" s="323"/>
      <c r="DO57" s="323"/>
      <c r="DP57" s="323"/>
      <c r="DQ57" s="323"/>
      <c r="DR57" s="323"/>
      <c r="DS57" s="323"/>
      <c r="DT57" s="323"/>
      <c r="DU57" s="323"/>
      <c r="DV57" s="323"/>
      <c r="DW57" s="323"/>
      <c r="DX57" s="323"/>
      <c r="DY57" s="323"/>
      <c r="DZ57" s="323"/>
      <c r="EA57" s="323"/>
      <c r="EB57" s="323"/>
      <c r="EC57" s="323"/>
      <c r="ED57" s="323"/>
      <c r="EE57" s="323"/>
      <c r="EF57" s="323"/>
      <c r="EG57" s="323"/>
      <c r="EH57" s="323"/>
      <c r="EI57" s="323"/>
      <c r="EJ57" s="323"/>
      <c r="EK57" s="323"/>
      <c r="EL57" s="323"/>
      <c r="EM57" s="323"/>
      <c r="EN57" s="323"/>
      <c r="EO57" s="323"/>
      <c r="EP57" s="323"/>
      <c r="EQ57" s="323"/>
      <c r="ER57" s="323"/>
      <c r="ES57" s="323"/>
      <c r="ET57" s="323"/>
      <c r="EU57" s="323"/>
      <c r="EV57" s="323"/>
      <c r="EW57" s="323"/>
      <c r="EX57" s="323"/>
      <c r="EY57" s="323"/>
      <c r="EZ57" s="323"/>
      <c r="FA57" s="323"/>
      <c r="FB57" s="323"/>
      <c r="FC57" s="323"/>
      <c r="FD57" s="323"/>
      <c r="FE57" s="323"/>
      <c r="FF57" s="323"/>
      <c r="FG57" s="323"/>
      <c r="FH57" s="323"/>
      <c r="FI57" s="323"/>
      <c r="FJ57" s="323"/>
      <c r="FK57" s="323"/>
      <c r="FL57" s="323"/>
      <c r="FM57" s="323"/>
      <c r="FN57" s="323"/>
      <c r="FO57" s="323"/>
      <c r="FP57" s="323"/>
      <c r="FQ57" s="323"/>
      <c r="FR57" s="323"/>
      <c r="FS57" s="323"/>
      <c r="FT57" s="323"/>
      <c r="FU57" s="323"/>
      <c r="FV57" s="323"/>
      <c r="FW57" s="323"/>
      <c r="FX57" s="323"/>
      <c r="FY57" s="323"/>
      <c r="FZ57" s="323"/>
      <c r="GA57" s="323"/>
      <c r="GB57" s="323"/>
      <c r="GC57" s="323"/>
      <c r="GD57" s="323"/>
      <c r="GE57" s="323"/>
      <c r="GF57" s="323"/>
      <c r="GG57" s="323"/>
      <c r="GH57" s="323"/>
      <c r="GI57" s="323"/>
      <c r="GJ57" s="323"/>
      <c r="GK57" s="323"/>
      <c r="GL57" s="323"/>
      <c r="GM57" s="323"/>
      <c r="GN57" s="323"/>
      <c r="GO57" s="323"/>
      <c r="GP57" s="323"/>
      <c r="GQ57" s="323"/>
      <c r="GR57" s="323"/>
      <c r="GS57" s="323"/>
      <c r="GT57" s="323"/>
      <c r="GU57" s="323"/>
      <c r="GV57" s="323"/>
      <c r="GW57" s="323"/>
      <c r="GX57" s="323"/>
      <c r="GY57" s="323"/>
      <c r="GZ57" s="323"/>
      <c r="HA57" s="323"/>
      <c r="HB57" s="323"/>
      <c r="HC57" s="323"/>
      <c r="HD57" s="323"/>
      <c r="HE57" s="323"/>
      <c r="HF57" s="323"/>
      <c r="HG57" s="323"/>
      <c r="HH57" s="323"/>
      <c r="HI57" s="323"/>
      <c r="HJ57" s="323"/>
      <c r="HK57" s="323"/>
      <c r="HL57" s="323"/>
      <c r="HM57" s="323"/>
      <c r="HN57" s="323"/>
      <c r="HO57" s="323"/>
      <c r="HP57" s="323"/>
      <c r="HQ57" s="323"/>
      <c r="HR57" s="323"/>
      <c r="HS57" s="323"/>
      <c r="HT57" s="323"/>
      <c r="HU57" s="323"/>
      <c r="HV57" s="323"/>
      <c r="HW57" s="323"/>
      <c r="HX57" s="323"/>
      <c r="HY57" s="323"/>
      <c r="HZ57" s="323"/>
      <c r="IA57" s="323"/>
      <c r="IB57" s="323"/>
      <c r="IC57" s="323"/>
      <c r="ID57" s="323"/>
      <c r="IE57" s="323"/>
      <c r="IF57" s="323"/>
      <c r="IG57" s="323"/>
      <c r="IH57" s="323"/>
      <c r="II57" s="323"/>
      <c r="IJ57" s="323"/>
      <c r="IK57" s="323"/>
      <c r="IL57" s="323"/>
      <c r="IM57" s="323"/>
      <c r="IN57" s="323"/>
      <c r="IO57" s="323"/>
      <c r="IP57" s="323"/>
      <c r="IQ57" s="323"/>
      <c r="IR57" s="323"/>
      <c r="IS57" s="323"/>
      <c r="IT57" s="323"/>
      <c r="IU57" s="323"/>
      <c r="IV57" s="323"/>
    </row>
    <row r="58" spans="1:256" ht="15">
      <c r="A58" s="283" t="s">
        <v>211</v>
      </c>
      <c r="B58" s="284" t="s">
        <v>216</v>
      </c>
      <c r="C58" s="285" t="s">
        <v>124</v>
      </c>
      <c r="D58" s="286" t="s">
        <v>116</v>
      </c>
      <c r="E58" s="243" t="s">
        <v>117</v>
      </c>
      <c r="F58" s="243" t="s">
        <v>118</v>
      </c>
      <c r="G58" s="154" t="s">
        <v>213</v>
      </c>
      <c r="H58" s="154">
        <v>1</v>
      </c>
      <c r="I58" s="154">
        <v>1</v>
      </c>
      <c r="J58" s="180">
        <f t="shared" si="67"/>
        <v>0</v>
      </c>
      <c r="K58" s="287">
        <v>1</v>
      </c>
      <c r="L58" s="105"/>
      <c r="M58" s="108"/>
      <c r="N58" s="108"/>
      <c r="O58" s="267" t="s">
        <v>124</v>
      </c>
      <c r="P58" s="105" t="s">
        <v>125</v>
      </c>
      <c r="Q58" s="105">
        <v>3</v>
      </c>
      <c r="R58" s="288">
        <v>1.8744444443999999</v>
      </c>
      <c r="S58" s="248">
        <f t="shared" si="97"/>
        <v>1.1255555556000001</v>
      </c>
      <c r="T58" s="106"/>
      <c r="U58" s="106"/>
      <c r="V58" s="106"/>
      <c r="W58" s="289">
        <f t="shared" si="98"/>
        <v>1.8744444443999999</v>
      </c>
      <c r="X58" s="106"/>
      <c r="Y58" s="106"/>
      <c r="Z58" s="106"/>
      <c r="AA58" s="106"/>
      <c r="AB58" s="106"/>
      <c r="AC58" s="140"/>
      <c r="AD58" s="199"/>
      <c r="AE58" s="137"/>
      <c r="AF58" s="108"/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8"/>
      <c r="AS58" s="108"/>
      <c r="AT58" s="106"/>
      <c r="AU58" s="106"/>
      <c r="AV58" s="106"/>
      <c r="AW58" s="106"/>
      <c r="AX58" s="106"/>
      <c r="AY58" s="106"/>
      <c r="AZ58" s="106"/>
      <c r="BA58" s="106"/>
      <c r="BB58" s="106"/>
      <c r="BC58" s="106"/>
      <c r="BD58" s="106"/>
      <c r="BE58" s="106"/>
      <c r="BF58" s="106"/>
      <c r="BG58" s="106"/>
      <c r="BH58" s="106"/>
      <c r="BI58" s="106"/>
      <c r="BJ58" s="106"/>
      <c r="BK58" s="106"/>
      <c r="BL58" s="106"/>
      <c r="BM58" s="106"/>
      <c r="BN58" s="106"/>
      <c r="BO58" s="106"/>
      <c r="BP58" s="106"/>
      <c r="BQ58" s="106"/>
      <c r="BR58" s="106"/>
      <c r="BS58" s="106"/>
      <c r="BT58" s="106"/>
      <c r="BU58" s="106"/>
      <c r="BV58" s="106"/>
      <c r="BW58" s="106"/>
      <c r="BX58" s="106"/>
      <c r="BY58" s="106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N58" s="323"/>
      <c r="CO58" s="323"/>
      <c r="CP58" s="323"/>
      <c r="CQ58" s="323"/>
      <c r="CR58" s="323"/>
      <c r="CS58" s="323"/>
      <c r="CT58" s="323"/>
      <c r="CU58" s="323"/>
      <c r="CV58" s="323"/>
      <c r="CW58" s="323"/>
      <c r="CX58" s="323"/>
      <c r="CY58" s="323"/>
      <c r="CZ58" s="323"/>
      <c r="DA58" s="323"/>
      <c r="DB58" s="323"/>
      <c r="DC58" s="323"/>
      <c r="DD58" s="323"/>
      <c r="DE58" s="323"/>
      <c r="DF58" s="323"/>
      <c r="DG58" s="323"/>
      <c r="DH58" s="323"/>
      <c r="DI58" s="323"/>
      <c r="DJ58" s="323"/>
      <c r="DK58" s="323"/>
      <c r="DL58" s="323"/>
      <c r="DM58" s="323"/>
      <c r="DN58" s="323"/>
      <c r="DO58" s="323"/>
      <c r="DP58" s="323"/>
      <c r="DQ58" s="323"/>
      <c r="DR58" s="323"/>
      <c r="DS58" s="323"/>
      <c r="DT58" s="323"/>
      <c r="DU58" s="323"/>
      <c r="DV58" s="323"/>
      <c r="DW58" s="323"/>
      <c r="DX58" s="323"/>
      <c r="DY58" s="323"/>
      <c r="DZ58" s="323"/>
      <c r="EA58" s="323"/>
      <c r="EB58" s="323"/>
      <c r="EC58" s="323"/>
      <c r="ED58" s="323"/>
      <c r="EE58" s="323"/>
      <c r="EF58" s="323"/>
      <c r="EG58" s="323"/>
      <c r="EH58" s="323"/>
      <c r="EI58" s="323"/>
      <c r="EJ58" s="323"/>
      <c r="EK58" s="323"/>
      <c r="EL58" s="323"/>
      <c r="EM58" s="323"/>
      <c r="EN58" s="323"/>
      <c r="EO58" s="323"/>
      <c r="EP58" s="323"/>
      <c r="EQ58" s="323"/>
      <c r="ER58" s="323"/>
      <c r="ES58" s="323"/>
      <c r="ET58" s="323"/>
      <c r="EU58" s="323"/>
      <c r="EV58" s="323"/>
      <c r="EW58" s="323"/>
      <c r="EX58" s="323"/>
      <c r="EY58" s="323"/>
      <c r="EZ58" s="323"/>
      <c r="FA58" s="323"/>
      <c r="FB58" s="323"/>
      <c r="FC58" s="323"/>
      <c r="FD58" s="323"/>
      <c r="FE58" s="323"/>
      <c r="FF58" s="323"/>
      <c r="FG58" s="323"/>
      <c r="FH58" s="323"/>
      <c r="FI58" s="323"/>
      <c r="FJ58" s="323"/>
      <c r="FK58" s="323"/>
      <c r="FL58" s="323"/>
      <c r="FM58" s="323"/>
      <c r="FN58" s="323"/>
      <c r="FO58" s="323"/>
      <c r="FP58" s="323"/>
      <c r="FQ58" s="323"/>
      <c r="FR58" s="323"/>
      <c r="FS58" s="323"/>
      <c r="FT58" s="323"/>
      <c r="FU58" s="323"/>
      <c r="FV58" s="323"/>
      <c r="FW58" s="323"/>
      <c r="FX58" s="323"/>
      <c r="FY58" s="323"/>
      <c r="FZ58" s="323"/>
      <c r="GA58" s="323"/>
      <c r="GB58" s="323"/>
      <c r="GC58" s="323"/>
      <c r="GD58" s="323"/>
      <c r="GE58" s="323"/>
      <c r="GF58" s="323"/>
      <c r="GG58" s="323"/>
      <c r="GH58" s="323"/>
      <c r="GI58" s="323"/>
      <c r="GJ58" s="323"/>
      <c r="GK58" s="323"/>
      <c r="GL58" s="323"/>
      <c r="GM58" s="323"/>
      <c r="GN58" s="323"/>
      <c r="GO58" s="323"/>
      <c r="GP58" s="323"/>
      <c r="GQ58" s="323"/>
      <c r="GR58" s="323"/>
      <c r="GS58" s="323"/>
      <c r="GT58" s="323"/>
      <c r="GU58" s="323"/>
      <c r="GV58" s="323"/>
      <c r="GW58" s="323"/>
      <c r="GX58" s="323"/>
      <c r="GY58" s="323"/>
      <c r="GZ58" s="323"/>
      <c r="HA58" s="323"/>
      <c r="HB58" s="323"/>
      <c r="HC58" s="323"/>
      <c r="HD58" s="323"/>
      <c r="HE58" s="323"/>
      <c r="HF58" s="323"/>
      <c r="HG58" s="323"/>
      <c r="HH58" s="323"/>
      <c r="HI58" s="323"/>
      <c r="HJ58" s="323"/>
      <c r="HK58" s="323"/>
      <c r="HL58" s="323"/>
      <c r="HM58" s="323"/>
      <c r="HN58" s="323"/>
      <c r="HO58" s="323"/>
      <c r="HP58" s="323"/>
      <c r="HQ58" s="323"/>
      <c r="HR58" s="323"/>
      <c r="HS58" s="323"/>
      <c r="HT58" s="323"/>
      <c r="HU58" s="323"/>
      <c r="HV58" s="323"/>
      <c r="HW58" s="323"/>
      <c r="HX58" s="323"/>
      <c r="HY58" s="323"/>
      <c r="HZ58" s="323"/>
      <c r="IA58" s="323"/>
      <c r="IB58" s="323"/>
      <c r="IC58" s="323"/>
      <c r="ID58" s="323"/>
      <c r="IE58" s="323"/>
      <c r="IF58" s="323"/>
      <c r="IG58" s="323"/>
      <c r="IH58" s="323"/>
      <c r="II58" s="323"/>
      <c r="IJ58" s="323"/>
      <c r="IK58" s="323"/>
      <c r="IL58" s="323"/>
      <c r="IM58" s="323"/>
      <c r="IN58" s="323"/>
      <c r="IO58" s="323"/>
      <c r="IP58" s="323"/>
      <c r="IQ58" s="323"/>
      <c r="IR58" s="323"/>
      <c r="IS58" s="323"/>
      <c r="IT58" s="323"/>
      <c r="IU58" s="323"/>
      <c r="IV58" s="323"/>
    </row>
    <row r="59" spans="1:256" ht="15">
      <c r="A59" s="178" t="s">
        <v>211</v>
      </c>
      <c r="B59" s="290" t="s">
        <v>217</v>
      </c>
      <c r="C59" s="151" t="s">
        <v>124</v>
      </c>
      <c r="D59" s="265" t="s">
        <v>116</v>
      </c>
      <c r="E59" s="151" t="s">
        <v>117</v>
      </c>
      <c r="F59" s="151" t="s">
        <v>118</v>
      </c>
      <c r="G59" s="152" t="s">
        <v>213</v>
      </c>
      <c r="H59" s="152">
        <v>3</v>
      </c>
      <c r="I59" s="152">
        <v>3</v>
      </c>
      <c r="J59" s="180">
        <f t="shared" si="67"/>
        <v>0</v>
      </c>
      <c r="K59" s="152">
        <v>3</v>
      </c>
      <c r="L59" s="109"/>
      <c r="M59" s="91"/>
      <c r="N59" s="91"/>
      <c r="O59" s="183" t="str">
        <f>C59</f>
        <v>Rated</v>
      </c>
      <c r="P59" s="109" t="s">
        <v>125</v>
      </c>
      <c r="Q59" s="109">
        <v>11</v>
      </c>
      <c r="R59" s="247">
        <v>10.38</v>
      </c>
      <c r="S59" s="185">
        <f t="shared" si="97"/>
        <v>0.61999999999999922</v>
      </c>
      <c r="T59" s="69"/>
      <c r="U59" s="69"/>
      <c r="V59" s="69"/>
      <c r="W59" s="280">
        <f t="shared" si="98"/>
        <v>10.38</v>
      </c>
      <c r="X59" s="69"/>
      <c r="Y59" s="69"/>
      <c r="Z59" s="69"/>
      <c r="AA59" s="69"/>
      <c r="AB59" s="69"/>
      <c r="AC59" s="140"/>
      <c r="AD59" s="199"/>
      <c r="AE59" s="120"/>
      <c r="AF59" s="91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91"/>
      <c r="AS59" s="91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  <c r="BP59" s="69"/>
      <c r="BQ59" s="69"/>
      <c r="BR59" s="69"/>
      <c r="BS59" s="69"/>
      <c r="BT59" s="69"/>
      <c r="BU59" s="69"/>
      <c r="BV59" s="69"/>
      <c r="BW59" s="69"/>
      <c r="BX59" s="69"/>
      <c r="BY59" s="69"/>
      <c r="BZ59" s="323"/>
      <c r="CA59" s="323"/>
      <c r="CB59" s="323"/>
      <c r="CC59" s="323"/>
      <c r="CD59" s="323"/>
      <c r="CE59" s="323"/>
      <c r="CF59" s="323"/>
      <c r="CG59" s="323"/>
      <c r="CH59" s="323"/>
      <c r="CI59" s="323"/>
      <c r="CJ59" s="323"/>
      <c r="CK59" s="323"/>
      <c r="CL59" s="323"/>
      <c r="CM59" s="323"/>
      <c r="CN59" s="323"/>
      <c r="CO59" s="323"/>
      <c r="CP59" s="323"/>
      <c r="CQ59" s="323"/>
      <c r="CR59" s="323"/>
      <c r="CS59" s="323"/>
      <c r="CT59" s="323"/>
      <c r="CU59" s="323"/>
      <c r="CV59" s="323"/>
      <c r="CW59" s="323"/>
      <c r="CX59" s="323"/>
      <c r="CY59" s="323"/>
      <c r="CZ59" s="323"/>
      <c r="DA59" s="323"/>
      <c r="DB59" s="323"/>
      <c r="DC59" s="323"/>
      <c r="DD59" s="323"/>
      <c r="DE59" s="323"/>
      <c r="DF59" s="323"/>
      <c r="DG59" s="323"/>
      <c r="DH59" s="323"/>
      <c r="DI59" s="323"/>
      <c r="DJ59" s="323"/>
      <c r="DK59" s="323"/>
      <c r="DL59" s="323"/>
      <c r="DM59" s="323"/>
      <c r="DN59" s="323"/>
      <c r="DO59" s="323"/>
      <c r="DP59" s="323"/>
      <c r="DQ59" s="323"/>
      <c r="DR59" s="323"/>
      <c r="DS59" s="323"/>
      <c r="DT59" s="323"/>
      <c r="DU59" s="323"/>
      <c r="DV59" s="323"/>
      <c r="DW59" s="323"/>
      <c r="DX59" s="323"/>
      <c r="DY59" s="323"/>
      <c r="DZ59" s="323"/>
      <c r="EA59" s="323"/>
      <c r="EB59" s="323"/>
      <c r="EC59" s="323"/>
      <c r="ED59" s="323"/>
      <c r="EE59" s="323"/>
      <c r="EF59" s="323"/>
      <c r="EG59" s="323"/>
      <c r="EH59" s="323"/>
      <c r="EI59" s="323"/>
      <c r="EJ59" s="323"/>
      <c r="EK59" s="323"/>
      <c r="EL59" s="323"/>
      <c r="EM59" s="323"/>
      <c r="EN59" s="323"/>
      <c r="EO59" s="323"/>
      <c r="EP59" s="323"/>
      <c r="EQ59" s="323"/>
      <c r="ER59" s="323"/>
      <c r="ES59" s="323"/>
      <c r="ET59" s="323"/>
      <c r="EU59" s="323"/>
      <c r="EV59" s="323"/>
      <c r="EW59" s="323"/>
      <c r="EX59" s="323"/>
      <c r="EY59" s="323"/>
      <c r="EZ59" s="323"/>
      <c r="FA59" s="323"/>
      <c r="FB59" s="323"/>
      <c r="FC59" s="323"/>
      <c r="FD59" s="323"/>
      <c r="FE59" s="323"/>
      <c r="FF59" s="323"/>
      <c r="FG59" s="323"/>
      <c r="FH59" s="323"/>
      <c r="FI59" s="323"/>
      <c r="FJ59" s="323"/>
      <c r="FK59" s="323"/>
      <c r="FL59" s="323"/>
      <c r="FM59" s="323"/>
      <c r="FN59" s="323"/>
      <c r="FO59" s="323"/>
      <c r="FP59" s="323"/>
      <c r="FQ59" s="323"/>
      <c r="FR59" s="323"/>
      <c r="FS59" s="323"/>
      <c r="FT59" s="323"/>
      <c r="FU59" s="323"/>
      <c r="FV59" s="323"/>
      <c r="FW59" s="323"/>
      <c r="FX59" s="323"/>
      <c r="FY59" s="323"/>
      <c r="FZ59" s="323"/>
      <c r="GA59" s="323"/>
      <c r="GB59" s="323"/>
      <c r="GC59" s="323"/>
      <c r="GD59" s="323"/>
      <c r="GE59" s="323"/>
      <c r="GF59" s="323"/>
      <c r="GG59" s="323"/>
      <c r="GH59" s="323"/>
      <c r="GI59" s="323"/>
      <c r="GJ59" s="323"/>
      <c r="GK59" s="323"/>
      <c r="GL59" s="323"/>
      <c r="GM59" s="323"/>
      <c r="GN59" s="323"/>
      <c r="GO59" s="323"/>
      <c r="GP59" s="323"/>
      <c r="GQ59" s="323"/>
      <c r="GR59" s="323"/>
      <c r="GS59" s="323"/>
      <c r="GT59" s="323"/>
      <c r="GU59" s="323"/>
      <c r="GV59" s="323"/>
      <c r="GW59" s="323"/>
      <c r="GX59" s="323"/>
      <c r="GY59" s="323"/>
      <c r="GZ59" s="323"/>
      <c r="HA59" s="323"/>
      <c r="HB59" s="323"/>
      <c r="HC59" s="323"/>
      <c r="HD59" s="323"/>
      <c r="HE59" s="323"/>
      <c r="HF59" s="323"/>
      <c r="HG59" s="323"/>
      <c r="HH59" s="323"/>
      <c r="HI59" s="323"/>
      <c r="HJ59" s="323"/>
      <c r="HK59" s="323"/>
      <c r="HL59" s="323"/>
      <c r="HM59" s="323"/>
      <c r="HN59" s="323"/>
      <c r="HO59" s="323"/>
      <c r="HP59" s="323"/>
      <c r="HQ59" s="323"/>
      <c r="HR59" s="323"/>
      <c r="HS59" s="323"/>
      <c r="HT59" s="323"/>
      <c r="HU59" s="323"/>
      <c r="HV59" s="323"/>
      <c r="HW59" s="323"/>
      <c r="HX59" s="323"/>
      <c r="HY59" s="323"/>
      <c r="HZ59" s="323"/>
      <c r="IA59" s="323"/>
      <c r="IB59" s="323"/>
      <c r="IC59" s="323"/>
      <c r="ID59" s="323"/>
      <c r="IE59" s="323"/>
      <c r="IF59" s="323"/>
      <c r="IG59" s="323"/>
      <c r="IH59" s="323"/>
      <c r="II59" s="323"/>
      <c r="IJ59" s="323"/>
      <c r="IK59" s="323"/>
      <c r="IL59" s="323"/>
      <c r="IM59" s="323"/>
      <c r="IN59" s="323"/>
      <c r="IO59" s="323"/>
      <c r="IP59" s="323"/>
      <c r="IQ59" s="323"/>
      <c r="IR59" s="323"/>
      <c r="IS59" s="323"/>
      <c r="IT59" s="323"/>
      <c r="IU59" s="323"/>
      <c r="IV59" s="323"/>
    </row>
    <row r="60" spans="1:256" ht="15">
      <c r="A60" s="291" t="s">
        <v>122</v>
      </c>
      <c r="B60" s="292" t="s">
        <v>218</v>
      </c>
      <c r="C60" s="151" t="s">
        <v>124</v>
      </c>
      <c r="D60" s="293" t="s">
        <v>116</v>
      </c>
      <c r="E60" s="294" t="s">
        <v>164</v>
      </c>
      <c r="F60" s="151" t="s">
        <v>118</v>
      </c>
      <c r="G60" s="152" t="str">
        <f>IF(E60="Rack","No of Racks",(IF(E60="Space","Sq Ft","U Space")))</f>
        <v>U Space</v>
      </c>
      <c r="H60" s="295">
        <v>21</v>
      </c>
      <c r="I60" s="295">
        <v>21</v>
      </c>
      <c r="J60" s="180">
        <f t="shared" si="67"/>
        <v>0</v>
      </c>
      <c r="K60" s="295"/>
      <c r="L60" s="121"/>
      <c r="M60" s="122"/>
      <c r="N60" s="122"/>
      <c r="O60" s="296" t="s">
        <v>124</v>
      </c>
      <c r="P60" s="121" t="s">
        <v>125</v>
      </c>
      <c r="Q60" s="121">
        <v>1</v>
      </c>
      <c r="R60" s="233">
        <v>0.26</v>
      </c>
      <c r="S60" s="297">
        <f t="shared" si="97"/>
        <v>0.74</v>
      </c>
      <c r="T60" s="123"/>
      <c r="U60" s="123"/>
      <c r="V60" s="123"/>
      <c r="W60" s="280">
        <f t="shared" si="98"/>
        <v>0.26</v>
      </c>
      <c r="X60" s="123"/>
      <c r="Y60" s="123"/>
      <c r="Z60" s="123"/>
      <c r="AA60" s="123"/>
      <c r="AB60" s="123"/>
      <c r="AC60" s="141"/>
      <c r="AD60" s="298"/>
      <c r="AE60" s="138"/>
      <c r="AF60" s="122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2"/>
      <c r="AS60" s="122"/>
      <c r="AT60" s="123"/>
      <c r="AU60" s="123"/>
      <c r="AV60" s="123"/>
      <c r="AW60" s="123"/>
      <c r="AX60" s="123"/>
      <c r="AY60" s="123"/>
      <c r="AZ60" s="123"/>
      <c r="BA60" s="123"/>
      <c r="BB60" s="123"/>
      <c r="BC60" s="123"/>
      <c r="BD60" s="123"/>
      <c r="BE60" s="123"/>
      <c r="BF60" s="123"/>
      <c r="BG60" s="123"/>
      <c r="BH60" s="123"/>
      <c r="BI60" s="123"/>
      <c r="BJ60" s="123"/>
      <c r="BK60" s="123"/>
      <c r="BL60" s="123"/>
      <c r="BM60" s="123"/>
      <c r="BN60" s="123"/>
      <c r="BO60" s="123"/>
      <c r="BP60" s="123"/>
      <c r="BQ60" s="123"/>
      <c r="BR60" s="123"/>
      <c r="BS60" s="123"/>
      <c r="BT60" s="123"/>
      <c r="BU60" s="123"/>
      <c r="BV60" s="123"/>
      <c r="BW60" s="123"/>
      <c r="BX60" s="123"/>
      <c r="BY60" s="123"/>
      <c r="BZ60" s="323"/>
      <c r="CA60" s="323"/>
      <c r="CB60" s="323"/>
      <c r="CC60" s="323"/>
      <c r="CD60" s="323"/>
      <c r="CE60" s="323"/>
      <c r="CF60" s="323"/>
      <c r="CG60" s="323"/>
      <c r="CH60" s="323"/>
      <c r="CI60" s="323"/>
      <c r="CJ60" s="323"/>
      <c r="CK60" s="323"/>
      <c r="CL60" s="323"/>
      <c r="CM60" s="323"/>
      <c r="CN60" s="323"/>
      <c r="CO60" s="323"/>
      <c r="CP60" s="323"/>
      <c r="CQ60" s="323"/>
      <c r="CR60" s="323"/>
      <c r="CS60" s="323"/>
      <c r="CT60" s="323"/>
      <c r="CU60" s="323"/>
      <c r="CV60" s="323"/>
      <c r="CW60" s="323"/>
      <c r="CX60" s="323"/>
      <c r="CY60" s="323"/>
      <c r="CZ60" s="323"/>
      <c r="DA60" s="323"/>
      <c r="DB60" s="323"/>
      <c r="DC60" s="323"/>
      <c r="DD60" s="323"/>
      <c r="DE60" s="323"/>
      <c r="DF60" s="323"/>
      <c r="DG60" s="323"/>
      <c r="DH60" s="323"/>
      <c r="DI60" s="323"/>
      <c r="DJ60" s="323"/>
      <c r="DK60" s="323"/>
      <c r="DL60" s="323"/>
      <c r="DM60" s="323"/>
      <c r="DN60" s="323"/>
      <c r="DO60" s="323"/>
      <c r="DP60" s="323"/>
      <c r="DQ60" s="323"/>
      <c r="DR60" s="323"/>
      <c r="DS60" s="323"/>
      <c r="DT60" s="323"/>
      <c r="DU60" s="323"/>
      <c r="DV60" s="323"/>
      <c r="DW60" s="323"/>
      <c r="DX60" s="323"/>
      <c r="DY60" s="323"/>
      <c r="DZ60" s="323"/>
      <c r="EA60" s="323"/>
      <c r="EB60" s="323"/>
      <c r="EC60" s="323"/>
      <c r="ED60" s="323"/>
      <c r="EE60" s="323"/>
      <c r="EF60" s="323"/>
      <c r="EG60" s="323"/>
      <c r="EH60" s="323"/>
      <c r="EI60" s="323"/>
      <c r="EJ60" s="323"/>
      <c r="EK60" s="323"/>
      <c r="EL60" s="323"/>
      <c r="EM60" s="323"/>
      <c r="EN60" s="323"/>
      <c r="EO60" s="323"/>
      <c r="EP60" s="323"/>
      <c r="EQ60" s="323"/>
      <c r="ER60" s="323"/>
      <c r="ES60" s="323"/>
      <c r="ET60" s="323"/>
      <c r="EU60" s="323"/>
      <c r="EV60" s="323"/>
      <c r="EW60" s="323"/>
      <c r="EX60" s="323"/>
      <c r="EY60" s="323"/>
      <c r="EZ60" s="323"/>
      <c r="FA60" s="323"/>
      <c r="FB60" s="323"/>
      <c r="FC60" s="323"/>
      <c r="FD60" s="323"/>
      <c r="FE60" s="323"/>
      <c r="FF60" s="323"/>
      <c r="FG60" s="323"/>
      <c r="FH60" s="323"/>
      <c r="FI60" s="323"/>
      <c r="FJ60" s="323"/>
      <c r="FK60" s="323"/>
      <c r="FL60" s="323"/>
      <c r="FM60" s="323"/>
      <c r="FN60" s="323"/>
      <c r="FO60" s="323"/>
      <c r="FP60" s="323"/>
      <c r="FQ60" s="323"/>
      <c r="FR60" s="323"/>
      <c r="FS60" s="323"/>
      <c r="FT60" s="323"/>
      <c r="FU60" s="323"/>
      <c r="FV60" s="323"/>
      <c r="FW60" s="323"/>
      <c r="FX60" s="323"/>
      <c r="FY60" s="323"/>
      <c r="FZ60" s="323"/>
      <c r="GA60" s="323"/>
      <c r="GB60" s="323"/>
      <c r="GC60" s="323"/>
      <c r="GD60" s="323"/>
      <c r="GE60" s="323"/>
      <c r="GF60" s="323"/>
      <c r="GG60" s="323"/>
      <c r="GH60" s="323"/>
      <c r="GI60" s="323"/>
      <c r="GJ60" s="323"/>
      <c r="GK60" s="323"/>
      <c r="GL60" s="323"/>
      <c r="GM60" s="323"/>
      <c r="GN60" s="323"/>
      <c r="GO60" s="323"/>
      <c r="GP60" s="323"/>
      <c r="GQ60" s="323"/>
      <c r="GR60" s="323"/>
      <c r="GS60" s="323"/>
      <c r="GT60" s="323"/>
      <c r="GU60" s="323"/>
      <c r="GV60" s="323"/>
      <c r="GW60" s="323"/>
      <c r="GX60" s="323"/>
      <c r="GY60" s="323"/>
      <c r="GZ60" s="323"/>
      <c r="HA60" s="323"/>
      <c r="HB60" s="323"/>
      <c r="HC60" s="323"/>
      <c r="HD60" s="323"/>
      <c r="HE60" s="323"/>
      <c r="HF60" s="323"/>
      <c r="HG60" s="323"/>
      <c r="HH60" s="323"/>
      <c r="HI60" s="323"/>
      <c r="HJ60" s="323"/>
      <c r="HK60" s="323"/>
      <c r="HL60" s="323"/>
      <c r="HM60" s="323"/>
      <c r="HN60" s="323"/>
      <c r="HO60" s="323"/>
      <c r="HP60" s="323"/>
      <c r="HQ60" s="323"/>
      <c r="HR60" s="323"/>
      <c r="HS60" s="323"/>
      <c r="HT60" s="323"/>
      <c r="HU60" s="323"/>
      <c r="HV60" s="323"/>
      <c r="HW60" s="323"/>
      <c r="HX60" s="323"/>
      <c r="HY60" s="323"/>
      <c r="HZ60" s="323"/>
      <c r="IA60" s="323"/>
      <c r="IB60" s="323"/>
      <c r="IC60" s="323"/>
      <c r="ID60" s="323"/>
      <c r="IE60" s="323"/>
      <c r="IF60" s="323"/>
      <c r="IG60" s="323"/>
      <c r="IH60" s="323"/>
      <c r="II60" s="323"/>
      <c r="IJ60" s="323"/>
      <c r="IK60" s="323"/>
      <c r="IL60" s="323"/>
      <c r="IM60" s="323"/>
      <c r="IN60" s="323"/>
      <c r="IO60" s="323"/>
      <c r="IP60" s="323"/>
      <c r="IQ60" s="323"/>
      <c r="IR60" s="323"/>
      <c r="IS60" s="323"/>
      <c r="IT60" s="323"/>
      <c r="IU60" s="323"/>
      <c r="IV60" s="323"/>
    </row>
    <row r="61" spans="1:256" ht="15">
      <c r="A61" s="178" t="s">
        <v>122</v>
      </c>
      <c r="B61" s="125" t="s">
        <v>219</v>
      </c>
      <c r="C61" s="151" t="s">
        <v>124</v>
      </c>
      <c r="D61" s="293" t="s">
        <v>116</v>
      </c>
      <c r="E61" s="125" t="s">
        <v>164</v>
      </c>
      <c r="F61" s="151" t="s">
        <v>118</v>
      </c>
      <c r="G61" s="152" t="str">
        <f>IF(E61="Rack","No of Racks",(IF(E61="Space","Sq Ft","U Space")))</f>
        <v>U Space</v>
      </c>
      <c r="H61" s="125">
        <v>2</v>
      </c>
      <c r="I61" s="125">
        <v>2</v>
      </c>
      <c r="J61" s="180">
        <f t="shared" si="67"/>
        <v>0</v>
      </c>
      <c r="K61" s="124"/>
      <c r="L61" s="124"/>
      <c r="M61" s="124"/>
      <c r="N61" s="124"/>
      <c r="O61" s="124" t="s">
        <v>124</v>
      </c>
      <c r="P61" s="124" t="s">
        <v>125</v>
      </c>
      <c r="Q61" s="124">
        <v>0.75</v>
      </c>
      <c r="R61" s="247">
        <v>0.133333333333333</v>
      </c>
      <c r="S61" s="299">
        <f t="shared" si="97"/>
        <v>0.61666666666666703</v>
      </c>
      <c r="T61" s="125"/>
      <c r="U61" s="125"/>
      <c r="V61" s="125"/>
      <c r="W61" s="300">
        <f t="shared" si="98"/>
        <v>0.133333333333333</v>
      </c>
      <c r="X61" s="125"/>
      <c r="Y61" s="125"/>
      <c r="Z61" s="125"/>
      <c r="AA61" s="125"/>
      <c r="AB61" s="125"/>
      <c r="AC61" s="141"/>
      <c r="AD61" s="298"/>
      <c r="AE61" s="139"/>
      <c r="AF61" s="126"/>
      <c r="AG61" s="125"/>
      <c r="AH61" s="125"/>
      <c r="AI61" s="125"/>
      <c r="AJ61" s="125"/>
      <c r="AK61" s="125"/>
      <c r="AL61" s="125"/>
      <c r="AM61" s="127"/>
      <c r="AN61" s="125"/>
      <c r="AO61" s="125"/>
      <c r="AP61" s="125"/>
      <c r="AQ61" s="125"/>
      <c r="AR61" s="125"/>
      <c r="AS61" s="125"/>
      <c r="AT61" s="125"/>
      <c r="AU61" s="125"/>
      <c r="AV61" s="125"/>
      <c r="AW61" s="125"/>
      <c r="AX61" s="125"/>
      <c r="AY61" s="125"/>
      <c r="AZ61" s="125"/>
      <c r="BA61" s="125"/>
      <c r="BB61" s="125"/>
      <c r="BC61" s="125"/>
      <c r="BD61" s="125"/>
      <c r="BE61" s="125"/>
      <c r="BF61" s="125"/>
      <c r="BG61" s="125"/>
      <c r="BH61" s="125"/>
      <c r="BI61" s="125"/>
      <c r="BJ61" s="125"/>
      <c r="BK61" s="125"/>
      <c r="BL61" s="125"/>
      <c r="BM61" s="125"/>
      <c r="BN61" s="125"/>
      <c r="BO61" s="125"/>
      <c r="BP61" s="125"/>
      <c r="BQ61" s="125"/>
      <c r="BR61" s="125"/>
      <c r="BS61" s="125"/>
      <c r="BT61" s="125"/>
      <c r="BU61" s="125"/>
      <c r="BV61" s="125"/>
      <c r="BW61" s="125"/>
      <c r="BX61" s="125"/>
      <c r="BY61" s="125"/>
      <c r="BZ61" s="323"/>
      <c r="CA61" s="323"/>
      <c r="CB61" s="323"/>
      <c r="CC61" s="323"/>
      <c r="CD61" s="323"/>
      <c r="CE61" s="323"/>
      <c r="CF61" s="323"/>
      <c r="CG61" s="323"/>
      <c r="CH61" s="323"/>
      <c r="CI61" s="323"/>
      <c r="CJ61" s="323"/>
      <c r="CK61" s="323"/>
      <c r="CL61" s="323"/>
      <c r="CM61" s="323"/>
      <c r="CN61" s="323"/>
      <c r="CO61" s="323"/>
      <c r="CP61" s="323"/>
      <c r="CQ61" s="323"/>
      <c r="CR61" s="323"/>
      <c r="CS61" s="323"/>
      <c r="CT61" s="323"/>
      <c r="CU61" s="323"/>
      <c r="CV61" s="323"/>
      <c r="CW61" s="323"/>
      <c r="CX61" s="323"/>
      <c r="CY61" s="323"/>
      <c r="CZ61" s="323"/>
      <c r="DA61" s="323"/>
      <c r="DB61" s="323"/>
      <c r="DC61" s="323"/>
      <c r="DD61" s="323"/>
      <c r="DE61" s="323"/>
      <c r="DF61" s="323"/>
      <c r="DG61" s="323"/>
      <c r="DH61" s="323"/>
      <c r="DI61" s="323"/>
      <c r="DJ61" s="323"/>
      <c r="DK61" s="323"/>
      <c r="DL61" s="323"/>
      <c r="DM61" s="323"/>
      <c r="DN61" s="323"/>
      <c r="DO61" s="323"/>
      <c r="DP61" s="323"/>
      <c r="DQ61" s="323"/>
      <c r="DR61" s="323"/>
      <c r="DS61" s="323"/>
      <c r="DT61" s="323"/>
      <c r="DU61" s="323"/>
      <c r="DV61" s="323"/>
      <c r="DW61" s="323"/>
      <c r="DX61" s="323"/>
      <c r="DY61" s="323"/>
      <c r="DZ61" s="323"/>
      <c r="EA61" s="323"/>
      <c r="EB61" s="323"/>
      <c r="EC61" s="323"/>
      <c r="ED61" s="323"/>
      <c r="EE61" s="323"/>
      <c r="EF61" s="323"/>
      <c r="EG61" s="323"/>
      <c r="EH61" s="323"/>
      <c r="EI61" s="323"/>
      <c r="EJ61" s="323"/>
      <c r="EK61" s="323"/>
      <c r="EL61" s="323"/>
      <c r="EM61" s="323"/>
      <c r="EN61" s="323"/>
      <c r="EO61" s="323"/>
      <c r="EP61" s="323"/>
      <c r="EQ61" s="323"/>
      <c r="ER61" s="323"/>
      <c r="ES61" s="323"/>
      <c r="ET61" s="323"/>
      <c r="EU61" s="323"/>
      <c r="EV61" s="323"/>
      <c r="EW61" s="323"/>
      <c r="EX61" s="323"/>
      <c r="EY61" s="323"/>
      <c r="EZ61" s="323"/>
      <c r="FA61" s="323"/>
      <c r="FB61" s="323"/>
      <c r="FC61" s="323"/>
      <c r="FD61" s="323"/>
      <c r="FE61" s="323"/>
      <c r="FF61" s="323"/>
      <c r="FG61" s="323"/>
      <c r="FH61" s="323"/>
      <c r="FI61" s="323"/>
      <c r="FJ61" s="323"/>
      <c r="FK61" s="323"/>
      <c r="FL61" s="323"/>
      <c r="FM61" s="323"/>
      <c r="FN61" s="323"/>
      <c r="FO61" s="323"/>
      <c r="FP61" s="323"/>
      <c r="FQ61" s="323"/>
      <c r="FR61" s="323"/>
      <c r="FS61" s="323"/>
      <c r="FT61" s="323"/>
      <c r="FU61" s="323"/>
      <c r="FV61" s="323"/>
      <c r="FW61" s="323"/>
      <c r="FX61" s="323"/>
      <c r="FY61" s="323"/>
      <c r="FZ61" s="323"/>
      <c r="GA61" s="323"/>
      <c r="GB61" s="323"/>
      <c r="GC61" s="323"/>
      <c r="GD61" s="323"/>
      <c r="GE61" s="323"/>
      <c r="GF61" s="323"/>
      <c r="GG61" s="323"/>
      <c r="GH61" s="323"/>
      <c r="GI61" s="323"/>
      <c r="GJ61" s="323"/>
      <c r="GK61" s="323"/>
      <c r="GL61" s="323"/>
      <c r="GM61" s="323"/>
      <c r="GN61" s="323"/>
      <c r="GO61" s="323"/>
      <c r="GP61" s="323"/>
      <c r="GQ61" s="323"/>
      <c r="GR61" s="323"/>
      <c r="GS61" s="323"/>
      <c r="GT61" s="323"/>
      <c r="GU61" s="323"/>
      <c r="GV61" s="323"/>
      <c r="GW61" s="323"/>
      <c r="GX61" s="323"/>
      <c r="GY61" s="323"/>
      <c r="GZ61" s="323"/>
      <c r="HA61" s="323"/>
      <c r="HB61" s="323"/>
      <c r="HC61" s="323"/>
      <c r="HD61" s="323"/>
      <c r="HE61" s="323"/>
      <c r="HF61" s="323"/>
      <c r="HG61" s="323"/>
      <c r="HH61" s="323"/>
      <c r="HI61" s="323"/>
      <c r="HJ61" s="323"/>
      <c r="HK61" s="323"/>
      <c r="HL61" s="323"/>
      <c r="HM61" s="323"/>
      <c r="HN61" s="323"/>
      <c r="HO61" s="323"/>
      <c r="HP61" s="323"/>
      <c r="HQ61" s="323"/>
      <c r="HR61" s="323"/>
      <c r="HS61" s="323"/>
      <c r="HT61" s="323"/>
      <c r="HU61" s="323"/>
      <c r="HV61" s="323"/>
      <c r="HW61" s="323"/>
      <c r="HX61" s="323"/>
      <c r="HY61" s="323"/>
      <c r="HZ61" s="323"/>
      <c r="IA61" s="323"/>
      <c r="IB61" s="323"/>
      <c r="IC61" s="323"/>
      <c r="ID61" s="323"/>
      <c r="IE61" s="323"/>
      <c r="IF61" s="323"/>
      <c r="IG61" s="323"/>
      <c r="IH61" s="323"/>
      <c r="II61" s="323"/>
      <c r="IJ61" s="323"/>
      <c r="IK61" s="323"/>
      <c r="IL61" s="323"/>
      <c r="IM61" s="323"/>
      <c r="IN61" s="323"/>
      <c r="IO61" s="323"/>
      <c r="IP61" s="323"/>
      <c r="IQ61" s="323"/>
      <c r="IR61" s="323"/>
      <c r="IS61" s="323"/>
      <c r="IT61" s="323"/>
      <c r="IU61" s="323"/>
      <c r="IV61" s="323"/>
    </row>
    <row r="62" spans="1:256" ht="15">
      <c r="A62" s="178" t="s">
        <v>138</v>
      </c>
      <c r="B62" s="69" t="s">
        <v>220</v>
      </c>
      <c r="C62" s="69" t="s">
        <v>124</v>
      </c>
      <c r="D62" s="293" t="s">
        <v>116</v>
      </c>
      <c r="E62" s="69" t="s">
        <v>117</v>
      </c>
      <c r="F62" s="151" t="s">
        <v>118</v>
      </c>
      <c r="G62" s="152" t="s">
        <v>213</v>
      </c>
      <c r="H62" s="69">
        <v>1</v>
      </c>
      <c r="I62" s="69">
        <v>1</v>
      </c>
      <c r="J62" s="180">
        <f t="shared" si="67"/>
        <v>0</v>
      </c>
      <c r="K62" s="109"/>
      <c r="L62" s="109"/>
      <c r="M62" s="109"/>
      <c r="N62" s="109"/>
      <c r="O62" s="124" t="s">
        <v>124</v>
      </c>
      <c r="P62" s="124" t="s">
        <v>125</v>
      </c>
      <c r="Q62" s="109">
        <v>4</v>
      </c>
      <c r="R62" s="279">
        <v>3.25</v>
      </c>
      <c r="S62" s="131">
        <f t="shared" si="97"/>
        <v>0.75</v>
      </c>
      <c r="T62" s="69"/>
      <c r="U62" s="69"/>
      <c r="V62" s="69"/>
      <c r="W62" s="280">
        <f t="shared" si="98"/>
        <v>3.25</v>
      </c>
      <c r="X62" s="69"/>
      <c r="Y62" s="69"/>
      <c r="Z62" s="69"/>
      <c r="AA62" s="69"/>
      <c r="AB62" s="69"/>
      <c r="AC62" s="140"/>
      <c r="AD62" s="199"/>
      <c r="AE62" s="120"/>
      <c r="AF62" s="91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69"/>
      <c r="BN62" s="69"/>
      <c r="BO62" s="69"/>
      <c r="BP62" s="69"/>
      <c r="BQ62" s="69"/>
      <c r="BR62" s="69"/>
      <c r="BS62" s="69"/>
      <c r="BT62" s="69"/>
      <c r="BU62" s="69"/>
      <c r="BV62" s="69"/>
      <c r="BW62" s="69"/>
      <c r="BX62" s="69"/>
      <c r="BY62" s="69"/>
      <c r="BZ62" s="323"/>
      <c r="CA62" s="323"/>
      <c r="CB62" s="323"/>
      <c r="CC62" s="323"/>
      <c r="CD62" s="323"/>
      <c r="CE62" s="323"/>
      <c r="CF62" s="323"/>
      <c r="CG62" s="323"/>
      <c r="CH62" s="323"/>
      <c r="CI62" s="323"/>
      <c r="CJ62" s="323"/>
      <c r="CK62" s="323"/>
      <c r="CL62" s="323"/>
      <c r="CM62" s="323"/>
      <c r="CN62" s="323"/>
      <c r="CO62" s="323"/>
      <c r="CP62" s="323"/>
      <c r="CQ62" s="323"/>
      <c r="CR62" s="323"/>
      <c r="CS62" s="323"/>
      <c r="CT62" s="323"/>
      <c r="CU62" s="323"/>
      <c r="CV62" s="323"/>
      <c r="CW62" s="323"/>
      <c r="CX62" s="323"/>
      <c r="CY62" s="323"/>
      <c r="CZ62" s="323"/>
      <c r="DA62" s="323"/>
      <c r="DB62" s="323"/>
      <c r="DC62" s="323"/>
      <c r="DD62" s="323"/>
      <c r="DE62" s="323"/>
      <c r="DF62" s="323"/>
      <c r="DG62" s="323"/>
      <c r="DH62" s="323"/>
      <c r="DI62" s="323"/>
      <c r="DJ62" s="323"/>
      <c r="DK62" s="323"/>
      <c r="DL62" s="323"/>
      <c r="DM62" s="323"/>
      <c r="DN62" s="323"/>
      <c r="DO62" s="323"/>
      <c r="DP62" s="323"/>
      <c r="DQ62" s="323"/>
      <c r="DR62" s="323"/>
      <c r="DS62" s="323"/>
      <c r="DT62" s="323"/>
      <c r="DU62" s="323"/>
      <c r="DV62" s="323"/>
      <c r="DW62" s="323"/>
      <c r="DX62" s="323"/>
      <c r="DY62" s="323"/>
      <c r="DZ62" s="323"/>
      <c r="EA62" s="323"/>
      <c r="EB62" s="323"/>
      <c r="EC62" s="323"/>
      <c r="ED62" s="323"/>
      <c r="EE62" s="323"/>
      <c r="EF62" s="323"/>
      <c r="EG62" s="323"/>
      <c r="EH62" s="323"/>
      <c r="EI62" s="323"/>
      <c r="EJ62" s="323"/>
      <c r="EK62" s="323"/>
      <c r="EL62" s="323"/>
      <c r="EM62" s="323"/>
      <c r="EN62" s="323"/>
      <c r="EO62" s="323"/>
      <c r="EP62" s="323"/>
      <c r="EQ62" s="323"/>
      <c r="ER62" s="323"/>
      <c r="ES62" s="323"/>
      <c r="ET62" s="323"/>
      <c r="EU62" s="323"/>
      <c r="EV62" s="323"/>
      <c r="EW62" s="323"/>
      <c r="EX62" s="323"/>
      <c r="EY62" s="323"/>
      <c r="EZ62" s="323"/>
      <c r="FA62" s="323"/>
      <c r="FB62" s="323"/>
      <c r="FC62" s="323"/>
      <c r="FD62" s="323"/>
      <c r="FE62" s="323"/>
      <c r="FF62" s="323"/>
      <c r="FG62" s="323"/>
      <c r="FH62" s="323"/>
      <c r="FI62" s="323"/>
      <c r="FJ62" s="323"/>
      <c r="FK62" s="323"/>
      <c r="FL62" s="323"/>
      <c r="FM62" s="323"/>
      <c r="FN62" s="323"/>
      <c r="FO62" s="323"/>
      <c r="FP62" s="323"/>
      <c r="FQ62" s="323"/>
      <c r="FR62" s="323"/>
      <c r="FS62" s="323"/>
      <c r="FT62" s="323"/>
      <c r="FU62" s="323"/>
      <c r="FV62" s="323"/>
      <c r="FW62" s="323"/>
      <c r="FX62" s="323"/>
      <c r="FY62" s="323"/>
      <c r="FZ62" s="323"/>
      <c r="GA62" s="323"/>
      <c r="GB62" s="323"/>
      <c r="GC62" s="323"/>
      <c r="GD62" s="323"/>
      <c r="GE62" s="323"/>
      <c r="GF62" s="323"/>
      <c r="GG62" s="323"/>
      <c r="GH62" s="323"/>
      <c r="GI62" s="323"/>
      <c r="GJ62" s="323"/>
      <c r="GK62" s="323"/>
      <c r="GL62" s="323"/>
      <c r="GM62" s="323"/>
      <c r="GN62" s="323"/>
      <c r="GO62" s="323"/>
      <c r="GP62" s="323"/>
      <c r="GQ62" s="323"/>
      <c r="GR62" s="323"/>
      <c r="GS62" s="323"/>
      <c r="GT62" s="323"/>
      <c r="GU62" s="323"/>
      <c r="GV62" s="323"/>
      <c r="GW62" s="323"/>
      <c r="GX62" s="323"/>
      <c r="GY62" s="323"/>
      <c r="GZ62" s="323"/>
      <c r="HA62" s="323"/>
      <c r="HB62" s="323"/>
      <c r="HC62" s="323"/>
      <c r="HD62" s="323"/>
      <c r="HE62" s="323"/>
      <c r="HF62" s="323"/>
      <c r="HG62" s="323"/>
      <c r="HH62" s="323"/>
      <c r="HI62" s="323"/>
      <c r="HJ62" s="323"/>
      <c r="HK62" s="323"/>
      <c r="HL62" s="323"/>
      <c r="HM62" s="323"/>
      <c r="HN62" s="323"/>
      <c r="HO62" s="323"/>
      <c r="HP62" s="323"/>
      <c r="HQ62" s="323"/>
      <c r="HR62" s="323"/>
      <c r="HS62" s="323"/>
      <c r="HT62" s="323"/>
      <c r="HU62" s="323"/>
      <c r="HV62" s="323"/>
      <c r="HW62" s="323"/>
      <c r="HX62" s="323"/>
      <c r="HY62" s="323"/>
      <c r="HZ62" s="323"/>
      <c r="IA62" s="323"/>
      <c r="IB62" s="323"/>
      <c r="IC62" s="323"/>
      <c r="ID62" s="323"/>
      <c r="IE62" s="323"/>
      <c r="IF62" s="323"/>
      <c r="IG62" s="323"/>
      <c r="IH62" s="323"/>
      <c r="II62" s="323"/>
      <c r="IJ62" s="323"/>
      <c r="IK62" s="323"/>
      <c r="IL62" s="323"/>
      <c r="IM62" s="323"/>
      <c r="IN62" s="323"/>
      <c r="IO62" s="323"/>
      <c r="IP62" s="323"/>
      <c r="IQ62" s="323"/>
      <c r="IR62" s="323"/>
      <c r="IS62" s="323"/>
      <c r="IT62" s="323"/>
      <c r="IU62" s="323"/>
      <c r="IV62" s="323"/>
    </row>
    <row r="63" spans="1:256" ht="15">
      <c r="A63" s="178" t="s">
        <v>122</v>
      </c>
      <c r="B63" s="69" t="s">
        <v>221</v>
      </c>
      <c r="C63" s="69" t="s">
        <v>124</v>
      </c>
      <c r="D63" s="293" t="s">
        <v>116</v>
      </c>
      <c r="E63" s="125" t="s">
        <v>164</v>
      </c>
      <c r="F63" s="151" t="s">
        <v>118</v>
      </c>
      <c r="G63" s="152" t="str">
        <f>IF(E63="Rack","No of Racks",(IF(E63="Space","Sq Ft","U Space")))</f>
        <v>U Space</v>
      </c>
      <c r="H63" s="69"/>
      <c r="I63" s="69"/>
      <c r="J63" s="180"/>
      <c r="K63" s="109"/>
      <c r="L63" s="109"/>
      <c r="M63" s="109"/>
      <c r="N63" s="109"/>
      <c r="O63" s="124" t="s">
        <v>124</v>
      </c>
      <c r="P63" s="124" t="s">
        <v>125</v>
      </c>
      <c r="Q63" s="109"/>
      <c r="R63" s="301">
        <v>0.34888888889000003</v>
      </c>
      <c r="S63" s="131"/>
      <c r="T63" s="69"/>
      <c r="U63" s="69"/>
      <c r="V63" s="69"/>
      <c r="W63" s="300">
        <f t="shared" si="98"/>
        <v>0.34888888889000003</v>
      </c>
      <c r="X63" s="69"/>
      <c r="Y63" s="69"/>
      <c r="Z63" s="69"/>
      <c r="AA63" s="69"/>
      <c r="AB63" s="69"/>
      <c r="AC63" s="140"/>
      <c r="AD63" s="199"/>
      <c r="AE63" s="120"/>
      <c r="AF63" s="91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  <c r="BP63" s="69"/>
      <c r="BQ63" s="69"/>
      <c r="BR63" s="69"/>
      <c r="BS63" s="69"/>
      <c r="BT63" s="69"/>
      <c r="BU63" s="69"/>
      <c r="BV63" s="69"/>
      <c r="BW63" s="69"/>
      <c r="BX63" s="69"/>
      <c r="BY63" s="69"/>
      <c r="BZ63" s="323"/>
      <c r="CA63" s="323"/>
      <c r="CB63" s="323"/>
      <c r="CC63" s="323"/>
      <c r="CD63" s="323"/>
      <c r="CE63" s="323"/>
      <c r="CF63" s="323"/>
      <c r="CG63" s="323"/>
      <c r="CH63" s="323"/>
      <c r="CI63" s="323"/>
      <c r="CJ63" s="323"/>
      <c r="CK63" s="323"/>
      <c r="CL63" s="323"/>
      <c r="CM63" s="323"/>
      <c r="CN63" s="323"/>
      <c r="CO63" s="323"/>
      <c r="CP63" s="323"/>
      <c r="CQ63" s="323"/>
      <c r="CR63" s="323"/>
      <c r="CS63" s="323"/>
      <c r="CT63" s="323"/>
      <c r="CU63" s="323"/>
      <c r="CV63" s="323"/>
      <c r="CW63" s="323"/>
      <c r="CX63" s="323"/>
      <c r="CY63" s="323"/>
      <c r="CZ63" s="323"/>
      <c r="DA63" s="323"/>
      <c r="DB63" s="323"/>
      <c r="DC63" s="323"/>
      <c r="DD63" s="323"/>
      <c r="DE63" s="323"/>
      <c r="DF63" s="323"/>
      <c r="DG63" s="323"/>
      <c r="DH63" s="323"/>
      <c r="DI63" s="323"/>
      <c r="DJ63" s="323"/>
      <c r="DK63" s="323"/>
      <c r="DL63" s="323"/>
      <c r="DM63" s="323"/>
      <c r="DN63" s="323"/>
      <c r="DO63" s="323"/>
      <c r="DP63" s="323"/>
      <c r="DQ63" s="323"/>
      <c r="DR63" s="323"/>
      <c r="DS63" s="323"/>
      <c r="DT63" s="323"/>
      <c r="DU63" s="323"/>
      <c r="DV63" s="323"/>
      <c r="DW63" s="323"/>
      <c r="DX63" s="323"/>
      <c r="DY63" s="323"/>
      <c r="DZ63" s="323"/>
      <c r="EA63" s="323"/>
      <c r="EB63" s="323"/>
      <c r="EC63" s="323"/>
      <c r="ED63" s="323"/>
      <c r="EE63" s="323"/>
      <c r="EF63" s="323"/>
      <c r="EG63" s="323"/>
      <c r="EH63" s="323"/>
      <c r="EI63" s="323"/>
      <c r="EJ63" s="323"/>
      <c r="EK63" s="323"/>
      <c r="EL63" s="323"/>
      <c r="EM63" s="323"/>
      <c r="EN63" s="323"/>
      <c r="EO63" s="323"/>
      <c r="EP63" s="323"/>
      <c r="EQ63" s="323"/>
      <c r="ER63" s="323"/>
      <c r="ES63" s="323"/>
      <c r="ET63" s="323"/>
      <c r="EU63" s="323"/>
      <c r="EV63" s="323"/>
      <c r="EW63" s="323"/>
      <c r="EX63" s="323"/>
      <c r="EY63" s="323"/>
      <c r="EZ63" s="323"/>
      <c r="FA63" s="323"/>
      <c r="FB63" s="323"/>
      <c r="FC63" s="323"/>
      <c r="FD63" s="323"/>
      <c r="FE63" s="323"/>
      <c r="FF63" s="323"/>
      <c r="FG63" s="323"/>
      <c r="FH63" s="323"/>
      <c r="FI63" s="323"/>
      <c r="FJ63" s="323"/>
      <c r="FK63" s="323"/>
      <c r="FL63" s="323"/>
      <c r="FM63" s="323"/>
      <c r="FN63" s="323"/>
      <c r="FO63" s="323"/>
      <c r="FP63" s="323"/>
      <c r="FQ63" s="323"/>
      <c r="FR63" s="323"/>
      <c r="FS63" s="323"/>
      <c r="FT63" s="323"/>
      <c r="FU63" s="323"/>
      <c r="FV63" s="323"/>
      <c r="FW63" s="323"/>
      <c r="FX63" s="323"/>
      <c r="FY63" s="323"/>
      <c r="FZ63" s="323"/>
      <c r="GA63" s="323"/>
      <c r="GB63" s="323"/>
      <c r="GC63" s="323"/>
      <c r="GD63" s="323"/>
      <c r="GE63" s="323"/>
      <c r="GF63" s="323"/>
      <c r="GG63" s="323"/>
      <c r="GH63" s="323"/>
      <c r="GI63" s="323"/>
      <c r="GJ63" s="323"/>
      <c r="GK63" s="323"/>
      <c r="GL63" s="323"/>
      <c r="GM63" s="323"/>
      <c r="GN63" s="323"/>
      <c r="GO63" s="323"/>
      <c r="GP63" s="323"/>
      <c r="GQ63" s="323"/>
      <c r="GR63" s="323"/>
      <c r="GS63" s="323"/>
      <c r="GT63" s="323"/>
      <c r="GU63" s="323"/>
      <c r="GV63" s="323"/>
      <c r="GW63" s="323"/>
      <c r="GX63" s="323"/>
      <c r="GY63" s="323"/>
      <c r="GZ63" s="323"/>
      <c r="HA63" s="323"/>
      <c r="HB63" s="323"/>
      <c r="HC63" s="323"/>
      <c r="HD63" s="323"/>
      <c r="HE63" s="323"/>
      <c r="HF63" s="323"/>
      <c r="HG63" s="323"/>
      <c r="HH63" s="323"/>
      <c r="HI63" s="323"/>
      <c r="HJ63" s="323"/>
      <c r="HK63" s="323"/>
      <c r="HL63" s="323"/>
      <c r="HM63" s="323"/>
      <c r="HN63" s="323"/>
      <c r="HO63" s="323"/>
      <c r="HP63" s="323"/>
      <c r="HQ63" s="323"/>
      <c r="HR63" s="323"/>
      <c r="HS63" s="323"/>
      <c r="HT63" s="323"/>
      <c r="HU63" s="323"/>
      <c r="HV63" s="323"/>
      <c r="HW63" s="323"/>
      <c r="HX63" s="323"/>
      <c r="HY63" s="323"/>
      <c r="HZ63" s="323"/>
      <c r="IA63" s="323"/>
      <c r="IB63" s="323"/>
      <c r="IC63" s="323"/>
      <c r="ID63" s="323"/>
      <c r="IE63" s="323"/>
      <c r="IF63" s="323"/>
      <c r="IG63" s="323"/>
      <c r="IH63" s="323"/>
      <c r="II63" s="323"/>
      <c r="IJ63" s="323"/>
      <c r="IK63" s="323"/>
      <c r="IL63" s="323"/>
      <c r="IM63" s="323"/>
      <c r="IN63" s="323"/>
      <c r="IO63" s="323"/>
      <c r="IP63" s="323"/>
      <c r="IQ63" s="323"/>
      <c r="IR63" s="323"/>
      <c r="IS63" s="323"/>
      <c r="IT63" s="323"/>
      <c r="IU63" s="323"/>
      <c r="IV63" s="323"/>
    </row>
    <row r="64" spans="1:256" ht="15">
      <c r="A64" s="178" t="s">
        <v>113</v>
      </c>
      <c r="B64" s="106" t="s">
        <v>222</v>
      </c>
      <c r="C64" s="106" t="s">
        <v>124</v>
      </c>
      <c r="D64" s="302" t="s">
        <v>116</v>
      </c>
      <c r="E64" s="106" t="s">
        <v>117</v>
      </c>
      <c r="F64" s="243" t="s">
        <v>118</v>
      </c>
      <c r="G64" s="106"/>
      <c r="H64" s="106">
        <v>4</v>
      </c>
      <c r="I64" s="106">
        <v>4</v>
      </c>
      <c r="J64" s="303">
        <f>H64-I64</f>
        <v>0</v>
      </c>
      <c r="K64" s="105"/>
      <c r="L64" s="105"/>
      <c r="M64" s="105"/>
      <c r="N64" s="105"/>
      <c r="O64" s="304" t="s">
        <v>124</v>
      </c>
      <c r="P64" s="304" t="s">
        <v>125</v>
      </c>
      <c r="Q64" s="105"/>
      <c r="R64" s="192">
        <v>4.43</v>
      </c>
      <c r="S64" s="128"/>
      <c r="T64" s="106"/>
      <c r="U64" s="106"/>
      <c r="V64" s="106"/>
      <c r="W64" s="305">
        <f t="shared" si="98"/>
        <v>4.43</v>
      </c>
      <c r="X64" s="106"/>
      <c r="Y64" s="106"/>
      <c r="Z64" s="106"/>
      <c r="AA64" s="106"/>
      <c r="AB64" s="106"/>
      <c r="AC64" s="140"/>
      <c r="AD64" s="199"/>
      <c r="AE64" s="137"/>
      <c r="AF64" s="108"/>
      <c r="AG64" s="106"/>
      <c r="AH64" s="106"/>
      <c r="AI64" s="106"/>
      <c r="AJ64" s="106"/>
      <c r="AK64" s="106"/>
      <c r="AL64" s="106"/>
      <c r="AM64" s="106"/>
      <c r="AN64" s="106"/>
      <c r="AO64" s="106"/>
      <c r="AP64" s="106"/>
      <c r="AQ64" s="106"/>
      <c r="AR64" s="106"/>
      <c r="AS64" s="106"/>
      <c r="AT64" s="106"/>
      <c r="AU64" s="106"/>
      <c r="AV64" s="106"/>
      <c r="AW64" s="106"/>
      <c r="AX64" s="106"/>
      <c r="AY64" s="106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  <c r="BP64" s="69"/>
      <c r="BQ64" s="69"/>
      <c r="BR64" s="69"/>
      <c r="BS64" s="69"/>
      <c r="BT64" s="69"/>
      <c r="BU64" s="69"/>
      <c r="BV64" s="69"/>
      <c r="BW64" s="69"/>
      <c r="BX64" s="69"/>
      <c r="BY64" s="69"/>
      <c r="BZ64" s="323"/>
      <c r="CA64" s="323"/>
      <c r="CB64" s="323"/>
      <c r="CC64" s="323"/>
      <c r="CD64" s="323"/>
      <c r="CE64" s="323"/>
      <c r="CF64" s="323"/>
      <c r="CG64" s="323"/>
      <c r="CH64" s="323"/>
      <c r="CI64" s="323"/>
      <c r="CJ64" s="323"/>
      <c r="CK64" s="323"/>
      <c r="CL64" s="323"/>
      <c r="CM64" s="323"/>
      <c r="CN64" s="323"/>
      <c r="CO64" s="323"/>
      <c r="CP64" s="323"/>
      <c r="CQ64" s="323"/>
      <c r="CR64" s="323"/>
      <c r="CS64" s="323"/>
      <c r="CT64" s="323"/>
      <c r="CU64" s="323"/>
      <c r="CV64" s="323"/>
      <c r="CW64" s="323"/>
      <c r="CX64" s="323"/>
      <c r="CY64" s="323"/>
      <c r="CZ64" s="323"/>
      <c r="DA64" s="323"/>
      <c r="DB64" s="323"/>
      <c r="DC64" s="323"/>
      <c r="DD64" s="323"/>
      <c r="DE64" s="323"/>
      <c r="DF64" s="323"/>
      <c r="DG64" s="323"/>
      <c r="DH64" s="323"/>
      <c r="DI64" s="323"/>
      <c r="DJ64" s="323"/>
      <c r="DK64" s="323"/>
      <c r="DL64" s="323"/>
      <c r="DM64" s="323"/>
      <c r="DN64" s="323"/>
      <c r="DO64" s="323"/>
      <c r="DP64" s="323"/>
      <c r="DQ64" s="323"/>
      <c r="DR64" s="323"/>
      <c r="DS64" s="323"/>
      <c r="DT64" s="323"/>
      <c r="DU64" s="323"/>
      <c r="DV64" s="323"/>
      <c r="DW64" s="323"/>
      <c r="DX64" s="323"/>
      <c r="DY64" s="323"/>
      <c r="DZ64" s="323"/>
      <c r="EA64" s="323"/>
      <c r="EB64" s="323"/>
      <c r="EC64" s="323"/>
      <c r="ED64" s="323"/>
      <c r="EE64" s="323"/>
      <c r="EF64" s="323"/>
      <c r="EG64" s="323"/>
      <c r="EH64" s="323"/>
      <c r="EI64" s="323"/>
      <c r="EJ64" s="323"/>
      <c r="EK64" s="323"/>
      <c r="EL64" s="323"/>
      <c r="EM64" s="323"/>
      <c r="EN64" s="323"/>
      <c r="EO64" s="323"/>
      <c r="EP64" s="323"/>
      <c r="EQ64" s="323"/>
      <c r="ER64" s="323"/>
      <c r="ES64" s="323"/>
      <c r="ET64" s="323"/>
      <c r="EU64" s="323"/>
      <c r="EV64" s="323"/>
      <c r="EW64" s="323"/>
      <c r="EX64" s="323"/>
      <c r="EY64" s="323"/>
      <c r="EZ64" s="323"/>
      <c r="FA64" s="323"/>
      <c r="FB64" s="323"/>
      <c r="FC64" s="323"/>
      <c r="FD64" s="323"/>
      <c r="FE64" s="323"/>
      <c r="FF64" s="323"/>
      <c r="FG64" s="323"/>
      <c r="FH64" s="323"/>
      <c r="FI64" s="323"/>
      <c r="FJ64" s="323"/>
      <c r="FK64" s="323"/>
      <c r="FL64" s="323"/>
      <c r="FM64" s="323"/>
      <c r="FN64" s="323"/>
      <c r="FO64" s="323"/>
      <c r="FP64" s="323"/>
      <c r="FQ64" s="323"/>
      <c r="FR64" s="323"/>
      <c r="FS64" s="323"/>
      <c r="FT64" s="323"/>
      <c r="FU64" s="323"/>
      <c r="FV64" s="323"/>
      <c r="FW64" s="323"/>
      <c r="FX64" s="323"/>
      <c r="FY64" s="323"/>
      <c r="FZ64" s="323"/>
      <c r="GA64" s="323"/>
      <c r="GB64" s="323"/>
      <c r="GC64" s="323"/>
      <c r="GD64" s="323"/>
      <c r="GE64" s="323"/>
      <c r="GF64" s="323"/>
      <c r="GG64" s="323"/>
      <c r="GH64" s="323"/>
      <c r="GI64" s="323"/>
      <c r="GJ64" s="323"/>
      <c r="GK64" s="323"/>
      <c r="GL64" s="323"/>
      <c r="GM64" s="323"/>
      <c r="GN64" s="323"/>
      <c r="GO64" s="323"/>
      <c r="GP64" s="323"/>
      <c r="GQ64" s="323"/>
      <c r="GR64" s="323"/>
      <c r="GS64" s="323"/>
      <c r="GT64" s="323"/>
      <c r="GU64" s="323"/>
      <c r="GV64" s="323"/>
      <c r="GW64" s="323"/>
      <c r="GX64" s="323"/>
      <c r="GY64" s="323"/>
      <c r="GZ64" s="323"/>
      <c r="HA64" s="323"/>
      <c r="HB64" s="323"/>
      <c r="HC64" s="323"/>
      <c r="HD64" s="323"/>
      <c r="HE64" s="323"/>
      <c r="HF64" s="323"/>
      <c r="HG64" s="323"/>
      <c r="HH64" s="323"/>
      <c r="HI64" s="323"/>
      <c r="HJ64" s="323"/>
      <c r="HK64" s="323"/>
      <c r="HL64" s="323"/>
      <c r="HM64" s="323"/>
      <c r="HN64" s="323"/>
      <c r="HO64" s="323"/>
      <c r="HP64" s="323"/>
      <c r="HQ64" s="323"/>
      <c r="HR64" s="323"/>
      <c r="HS64" s="323"/>
      <c r="HT64" s="323"/>
      <c r="HU64" s="323"/>
      <c r="HV64" s="323"/>
      <c r="HW64" s="323"/>
      <c r="HX64" s="323"/>
      <c r="HY64" s="323"/>
      <c r="HZ64" s="323"/>
      <c r="IA64" s="323"/>
      <c r="IB64" s="323"/>
      <c r="IC64" s="323"/>
      <c r="ID64" s="323"/>
      <c r="IE64" s="323"/>
      <c r="IF64" s="323"/>
      <c r="IG64" s="323"/>
      <c r="IH64" s="323"/>
      <c r="II64" s="323"/>
      <c r="IJ64" s="323"/>
      <c r="IK64" s="323"/>
      <c r="IL64" s="323"/>
      <c r="IM64" s="323"/>
      <c r="IN64" s="323"/>
      <c r="IO64" s="323"/>
      <c r="IP64" s="323"/>
      <c r="IQ64" s="323"/>
      <c r="IR64" s="323"/>
      <c r="IS64" s="323"/>
      <c r="IT64" s="323"/>
      <c r="IU64" s="323"/>
      <c r="IV64" s="323"/>
    </row>
    <row r="65" spans="1:256" ht="14.25">
      <c r="A65" s="178" t="s">
        <v>122</v>
      </c>
      <c r="B65" s="106" t="s">
        <v>223</v>
      </c>
      <c r="C65" s="106"/>
      <c r="D65" s="106"/>
      <c r="E65" s="306" t="s">
        <v>164</v>
      </c>
      <c r="F65" s="307" t="s">
        <v>118</v>
      </c>
      <c r="G65" s="308" t="str">
        <f>IF(E65="Rack","No of Racks",(IF(E65="Space","Sq Ft","U Space")))</f>
        <v>U Space</v>
      </c>
      <c r="H65" s="309">
        <v>3</v>
      </c>
      <c r="I65" s="309">
        <v>2</v>
      </c>
      <c r="J65" s="310">
        <f t="shared" ref="J65" si="99">H65-I65</f>
        <v>1</v>
      </c>
      <c r="K65" s="311"/>
      <c r="L65" s="311"/>
      <c r="M65" s="311"/>
      <c r="N65" s="311"/>
      <c r="O65" s="304" t="s">
        <v>124</v>
      </c>
      <c r="P65" s="312" t="s">
        <v>125</v>
      </c>
      <c r="Q65" s="311"/>
      <c r="R65" s="313">
        <v>0.14699999999999999</v>
      </c>
      <c r="S65" s="310"/>
      <c r="T65" s="309"/>
      <c r="U65" s="309"/>
      <c r="V65" s="309"/>
      <c r="W65" s="314">
        <f t="shared" si="98"/>
        <v>0.14699999999999999</v>
      </c>
      <c r="X65" s="106"/>
      <c r="Y65" s="106"/>
      <c r="Z65" s="106"/>
      <c r="AA65" s="106"/>
      <c r="AB65" s="106"/>
      <c r="AC65" s="106"/>
      <c r="AD65" s="108"/>
      <c r="AE65" s="108"/>
      <c r="AF65" s="108"/>
      <c r="AG65" s="106"/>
      <c r="AH65" s="106"/>
      <c r="AI65" s="106"/>
      <c r="AJ65" s="106"/>
      <c r="AK65" s="106"/>
      <c r="AL65" s="106"/>
      <c r="AM65" s="106"/>
      <c r="AN65" s="106"/>
      <c r="AO65" s="106"/>
      <c r="AP65" s="106"/>
      <c r="AQ65" s="106"/>
      <c r="AR65" s="106"/>
      <c r="AS65" s="106"/>
      <c r="AT65" s="106"/>
      <c r="AU65" s="106"/>
      <c r="AV65" s="106"/>
      <c r="AW65" s="106"/>
      <c r="AX65" s="106"/>
      <c r="AY65" s="106"/>
      <c r="AZ65" s="323"/>
      <c r="BA65" s="323"/>
      <c r="BB65" s="323"/>
      <c r="BC65" s="323"/>
      <c r="BD65" s="323"/>
      <c r="BE65" s="323"/>
      <c r="BF65" s="323"/>
      <c r="BG65" s="323"/>
      <c r="BH65" s="323"/>
      <c r="BI65" s="323"/>
      <c r="BJ65" s="323"/>
      <c r="BK65" s="323"/>
      <c r="BL65" s="323"/>
      <c r="BM65" s="323"/>
      <c r="BN65" s="323"/>
      <c r="BO65" s="323"/>
      <c r="BP65" s="323"/>
      <c r="BQ65" s="323"/>
      <c r="BR65" s="323"/>
      <c r="BS65" s="323"/>
      <c r="BT65" s="323"/>
      <c r="BU65" s="323"/>
      <c r="BV65" s="323"/>
      <c r="BW65" s="323"/>
      <c r="BX65" s="323"/>
      <c r="BY65" s="323"/>
      <c r="BZ65" s="323"/>
      <c r="CA65" s="323"/>
      <c r="CB65" s="323"/>
      <c r="CC65" s="323"/>
      <c r="CD65" s="323"/>
      <c r="CE65" s="323"/>
      <c r="CF65" s="323"/>
      <c r="CG65" s="323"/>
      <c r="CH65" s="323"/>
      <c r="CI65" s="323"/>
      <c r="CJ65" s="323"/>
      <c r="CK65" s="323"/>
      <c r="CL65" s="323"/>
      <c r="CM65" s="323"/>
      <c r="CN65" s="323"/>
      <c r="CO65" s="323"/>
      <c r="CP65" s="323"/>
      <c r="CQ65" s="323"/>
      <c r="CR65" s="323"/>
      <c r="CS65" s="323"/>
      <c r="CT65" s="323"/>
      <c r="CU65" s="323"/>
      <c r="CV65" s="323"/>
      <c r="CW65" s="323"/>
      <c r="CX65" s="323"/>
      <c r="CY65" s="323"/>
      <c r="CZ65" s="323"/>
      <c r="DA65" s="323"/>
      <c r="DB65" s="323"/>
      <c r="DC65" s="323"/>
      <c r="DD65" s="323"/>
      <c r="DE65" s="323"/>
      <c r="DF65" s="323"/>
      <c r="DG65" s="323"/>
      <c r="DH65" s="323"/>
      <c r="DI65" s="323"/>
      <c r="DJ65" s="323"/>
      <c r="DK65" s="323"/>
      <c r="DL65" s="323"/>
      <c r="DM65" s="323"/>
      <c r="DN65" s="323"/>
      <c r="DO65" s="323"/>
      <c r="DP65" s="323"/>
      <c r="DQ65" s="323"/>
      <c r="DR65" s="323"/>
      <c r="DS65" s="323"/>
      <c r="DT65" s="323"/>
      <c r="DU65" s="323"/>
      <c r="DV65" s="323"/>
      <c r="DW65" s="323"/>
      <c r="DX65" s="323"/>
      <c r="DY65" s="323"/>
      <c r="DZ65" s="323"/>
      <c r="EA65" s="323"/>
      <c r="EB65" s="323"/>
      <c r="EC65" s="323"/>
      <c r="ED65" s="323"/>
      <c r="EE65" s="323"/>
      <c r="EF65" s="323"/>
      <c r="EG65" s="323"/>
      <c r="EH65" s="323"/>
      <c r="EI65" s="323"/>
      <c r="EJ65" s="323"/>
      <c r="EK65" s="323"/>
      <c r="EL65" s="323"/>
      <c r="EM65" s="323"/>
      <c r="EN65" s="323"/>
      <c r="EO65" s="323"/>
      <c r="EP65" s="323"/>
      <c r="EQ65" s="323"/>
      <c r="ER65" s="323"/>
      <c r="ES65" s="323"/>
      <c r="ET65" s="323"/>
      <c r="EU65" s="323"/>
      <c r="EV65" s="323"/>
      <c r="EW65" s="323"/>
      <c r="EX65" s="323"/>
      <c r="EY65" s="323"/>
      <c r="EZ65" s="323"/>
      <c r="FA65" s="323"/>
      <c r="FB65" s="323"/>
      <c r="FC65" s="323"/>
      <c r="FD65" s="323"/>
      <c r="FE65" s="323"/>
      <c r="FF65" s="323"/>
      <c r="FG65" s="323"/>
      <c r="FH65" s="323"/>
      <c r="FI65" s="323"/>
      <c r="FJ65" s="323"/>
      <c r="FK65" s="323"/>
      <c r="FL65" s="323"/>
      <c r="FM65" s="323"/>
      <c r="FN65" s="323"/>
      <c r="FO65" s="323"/>
      <c r="FP65" s="323"/>
      <c r="FQ65" s="323"/>
      <c r="FR65" s="323"/>
      <c r="FS65" s="323"/>
      <c r="FT65" s="323"/>
      <c r="FU65" s="323"/>
      <c r="FV65" s="323"/>
      <c r="FW65" s="323"/>
      <c r="FX65" s="323"/>
      <c r="FY65" s="323"/>
      <c r="FZ65" s="323"/>
      <c r="GA65" s="323"/>
      <c r="GB65" s="323"/>
      <c r="GC65" s="323"/>
      <c r="GD65" s="323"/>
      <c r="GE65" s="323"/>
      <c r="GF65" s="323"/>
      <c r="GG65" s="323"/>
      <c r="GH65" s="323"/>
      <c r="GI65" s="323"/>
      <c r="GJ65" s="323"/>
      <c r="GK65" s="323"/>
      <c r="GL65" s="323"/>
      <c r="GM65" s="323"/>
      <c r="GN65" s="323"/>
      <c r="GO65" s="323"/>
      <c r="GP65" s="323"/>
      <c r="GQ65" s="323"/>
      <c r="GR65" s="323"/>
      <c r="GS65" s="323"/>
      <c r="GT65" s="323"/>
      <c r="GU65" s="323"/>
      <c r="GV65" s="323"/>
      <c r="GW65" s="323"/>
      <c r="GX65" s="323"/>
      <c r="GY65" s="323"/>
      <c r="GZ65" s="323"/>
      <c r="HA65" s="323"/>
      <c r="HB65" s="323"/>
      <c r="HC65" s="323"/>
      <c r="HD65" s="323"/>
      <c r="HE65" s="323"/>
      <c r="HF65" s="323"/>
      <c r="HG65" s="323"/>
      <c r="HH65" s="323"/>
      <c r="HI65" s="323"/>
      <c r="HJ65" s="323"/>
      <c r="HK65" s="323"/>
      <c r="HL65" s="323"/>
      <c r="HM65" s="323"/>
      <c r="HN65" s="323"/>
      <c r="HO65" s="323"/>
      <c r="HP65" s="323"/>
      <c r="HQ65" s="323"/>
      <c r="HR65" s="323"/>
      <c r="HS65" s="323"/>
      <c r="HT65" s="323"/>
      <c r="HU65" s="323"/>
      <c r="HV65" s="323"/>
      <c r="HW65" s="323"/>
      <c r="HX65" s="323"/>
      <c r="HY65" s="323"/>
      <c r="HZ65" s="323"/>
      <c r="IA65" s="323"/>
      <c r="IB65" s="323"/>
      <c r="IC65" s="323"/>
      <c r="ID65" s="323"/>
      <c r="IE65" s="323"/>
      <c r="IF65" s="323"/>
      <c r="IG65" s="323"/>
      <c r="IH65" s="323"/>
      <c r="II65" s="323"/>
      <c r="IJ65" s="323"/>
      <c r="IK65" s="323"/>
      <c r="IL65" s="323"/>
      <c r="IM65" s="323"/>
      <c r="IN65" s="323"/>
      <c r="IO65" s="323"/>
      <c r="IP65" s="323"/>
      <c r="IQ65" s="323"/>
      <c r="IR65" s="323"/>
      <c r="IS65" s="323"/>
      <c r="IT65" s="323"/>
      <c r="IU65" s="323"/>
      <c r="IV65" s="323"/>
    </row>
    <row r="66" spans="1:256" ht="13.5">
      <c r="A66" s="178" t="s">
        <v>205</v>
      </c>
      <c r="B66" s="69" t="s">
        <v>224</v>
      </c>
      <c r="C66" s="69"/>
      <c r="D66" s="129"/>
      <c r="E66" s="69" t="s">
        <v>117</v>
      </c>
      <c r="F66" s="130"/>
      <c r="G66" s="69"/>
      <c r="H66" s="69">
        <v>4</v>
      </c>
      <c r="I66" s="69">
        <v>4</v>
      </c>
      <c r="J66" s="131">
        <f>H66-I66</f>
        <v>0</v>
      </c>
      <c r="K66" s="109"/>
      <c r="L66" s="109"/>
      <c r="M66" s="109"/>
      <c r="N66" s="109"/>
      <c r="O66" s="109"/>
      <c r="P66" s="109"/>
      <c r="Q66" s="109"/>
      <c r="R66" s="315">
        <v>6.53</v>
      </c>
      <c r="S66" s="131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91"/>
      <c r="AE66" s="91"/>
      <c r="AF66" s="91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323"/>
      <c r="BA66" s="323"/>
      <c r="BB66" s="323"/>
      <c r="BC66" s="323"/>
      <c r="BD66" s="323"/>
      <c r="BE66" s="323"/>
      <c r="BF66" s="323"/>
      <c r="BG66" s="323"/>
      <c r="BH66" s="323"/>
      <c r="BI66" s="323"/>
      <c r="BJ66" s="323"/>
      <c r="BK66" s="323"/>
      <c r="BL66" s="323"/>
      <c r="BM66" s="323"/>
      <c r="BN66" s="323"/>
      <c r="BO66" s="323"/>
      <c r="BP66" s="323"/>
      <c r="BQ66" s="323"/>
      <c r="BR66" s="323"/>
      <c r="BS66" s="323"/>
      <c r="BT66" s="323"/>
      <c r="BU66" s="323"/>
      <c r="BV66" s="323"/>
      <c r="BW66" s="323"/>
      <c r="BX66" s="323"/>
      <c r="BY66" s="323"/>
      <c r="BZ66" s="323"/>
      <c r="CA66" s="323"/>
      <c r="CB66" s="323"/>
      <c r="CC66" s="323"/>
      <c r="CD66" s="323"/>
      <c r="CE66" s="323"/>
      <c r="CF66" s="323"/>
      <c r="CG66" s="323"/>
      <c r="CH66" s="323"/>
      <c r="CI66" s="323"/>
      <c r="CJ66" s="323"/>
      <c r="CK66" s="323"/>
      <c r="CL66" s="323"/>
      <c r="CM66" s="323"/>
      <c r="CN66" s="323"/>
      <c r="CO66" s="323"/>
      <c r="CP66" s="323"/>
      <c r="CQ66" s="323"/>
      <c r="CR66" s="323"/>
      <c r="CS66" s="323"/>
      <c r="CT66" s="323"/>
      <c r="CU66" s="323"/>
      <c r="CV66" s="323"/>
      <c r="CW66" s="323"/>
      <c r="CX66" s="323"/>
      <c r="CY66" s="323"/>
      <c r="CZ66" s="323"/>
      <c r="DA66" s="323"/>
      <c r="DB66" s="323"/>
      <c r="DC66" s="323"/>
      <c r="DD66" s="323"/>
      <c r="DE66" s="323"/>
      <c r="DF66" s="323"/>
      <c r="DG66" s="323"/>
      <c r="DH66" s="323"/>
      <c r="DI66" s="323"/>
      <c r="DJ66" s="323"/>
      <c r="DK66" s="323"/>
      <c r="DL66" s="323"/>
      <c r="DM66" s="323"/>
      <c r="DN66" s="323"/>
      <c r="DO66" s="323"/>
      <c r="DP66" s="323"/>
      <c r="DQ66" s="323"/>
      <c r="DR66" s="323"/>
      <c r="DS66" s="323"/>
      <c r="DT66" s="323"/>
      <c r="DU66" s="323"/>
      <c r="DV66" s="323"/>
      <c r="DW66" s="323"/>
      <c r="DX66" s="323"/>
      <c r="DY66" s="323"/>
      <c r="DZ66" s="323"/>
      <c r="EA66" s="323"/>
      <c r="EB66" s="323"/>
      <c r="EC66" s="323"/>
      <c r="ED66" s="323"/>
      <c r="EE66" s="323"/>
      <c r="EF66" s="323"/>
      <c r="EG66" s="323"/>
      <c r="EH66" s="323"/>
      <c r="EI66" s="323"/>
      <c r="EJ66" s="323"/>
      <c r="EK66" s="323"/>
      <c r="EL66" s="323"/>
      <c r="EM66" s="323"/>
      <c r="EN66" s="323"/>
      <c r="EO66" s="323"/>
      <c r="EP66" s="323"/>
      <c r="EQ66" s="323"/>
      <c r="ER66" s="323"/>
      <c r="ES66" s="323"/>
      <c r="ET66" s="323"/>
      <c r="EU66" s="323"/>
      <c r="EV66" s="323"/>
      <c r="EW66" s="323"/>
      <c r="EX66" s="323"/>
      <c r="EY66" s="323"/>
      <c r="EZ66" s="323"/>
      <c r="FA66" s="323"/>
      <c r="FB66" s="323"/>
      <c r="FC66" s="323"/>
      <c r="FD66" s="323"/>
      <c r="FE66" s="323"/>
      <c r="FF66" s="323"/>
      <c r="FG66" s="323"/>
      <c r="FH66" s="323"/>
      <c r="FI66" s="323"/>
      <c r="FJ66" s="323"/>
      <c r="FK66" s="323"/>
      <c r="FL66" s="323"/>
      <c r="FM66" s="323"/>
      <c r="FN66" s="323"/>
      <c r="FO66" s="323"/>
      <c r="FP66" s="323"/>
      <c r="FQ66" s="323"/>
      <c r="FR66" s="323"/>
      <c r="FS66" s="323"/>
      <c r="FT66" s="323"/>
      <c r="FU66" s="323"/>
      <c r="FV66" s="323"/>
      <c r="FW66" s="323"/>
      <c r="FX66" s="323"/>
      <c r="FY66" s="323"/>
      <c r="FZ66" s="323"/>
      <c r="GA66" s="323"/>
      <c r="GB66" s="323"/>
      <c r="GC66" s="323"/>
      <c r="GD66" s="323"/>
      <c r="GE66" s="323"/>
      <c r="GF66" s="323"/>
      <c r="GG66" s="323"/>
      <c r="GH66" s="323"/>
      <c r="GI66" s="323"/>
      <c r="GJ66" s="323"/>
      <c r="GK66" s="323"/>
      <c r="GL66" s="323"/>
      <c r="GM66" s="323"/>
      <c r="GN66" s="323"/>
      <c r="GO66" s="323"/>
      <c r="GP66" s="323"/>
      <c r="GQ66" s="323"/>
      <c r="GR66" s="323"/>
      <c r="GS66" s="323"/>
      <c r="GT66" s="323"/>
      <c r="GU66" s="323"/>
      <c r="GV66" s="323"/>
      <c r="GW66" s="323"/>
      <c r="GX66" s="323"/>
      <c r="GY66" s="323"/>
      <c r="GZ66" s="323"/>
      <c r="HA66" s="323"/>
      <c r="HB66" s="323"/>
      <c r="HC66" s="323"/>
      <c r="HD66" s="323"/>
      <c r="HE66" s="323"/>
      <c r="HF66" s="323"/>
      <c r="HG66" s="323"/>
      <c r="HH66" s="323"/>
      <c r="HI66" s="323"/>
      <c r="HJ66" s="323"/>
      <c r="HK66" s="323"/>
      <c r="HL66" s="323"/>
      <c r="HM66" s="323"/>
      <c r="HN66" s="323"/>
      <c r="HO66" s="323"/>
      <c r="HP66" s="323"/>
      <c r="HQ66" s="323"/>
      <c r="HR66" s="323"/>
      <c r="HS66" s="323"/>
      <c r="HT66" s="323"/>
      <c r="HU66" s="323"/>
      <c r="HV66" s="323"/>
      <c r="HW66" s="323"/>
      <c r="HX66" s="323"/>
      <c r="HY66" s="323"/>
      <c r="HZ66" s="323"/>
      <c r="IA66" s="323"/>
      <c r="IB66" s="323"/>
      <c r="IC66" s="323"/>
      <c r="ID66" s="323"/>
      <c r="IE66" s="323"/>
      <c r="IF66" s="323"/>
      <c r="IG66" s="323"/>
      <c r="IH66" s="323"/>
      <c r="II66" s="323"/>
      <c r="IJ66" s="323"/>
      <c r="IK66" s="323"/>
      <c r="IL66" s="323"/>
      <c r="IM66" s="323"/>
      <c r="IN66" s="323"/>
      <c r="IO66" s="323"/>
      <c r="IP66" s="323"/>
      <c r="IQ66" s="323"/>
      <c r="IR66" s="323"/>
      <c r="IS66" s="323"/>
      <c r="IT66" s="323"/>
      <c r="IU66" s="323"/>
      <c r="IV66" s="323"/>
    </row>
    <row r="67" spans="1:256" ht="21.75">
      <c r="A67" s="316" t="s">
        <v>225</v>
      </c>
      <c r="B67" s="309" t="s">
        <v>226</v>
      </c>
      <c r="C67" s="309"/>
      <c r="D67" s="309"/>
      <c r="E67" s="309"/>
      <c r="F67" s="309"/>
      <c r="G67" s="309"/>
      <c r="H67" s="309"/>
      <c r="I67" s="309"/>
      <c r="J67" s="309"/>
      <c r="K67" s="309"/>
      <c r="L67" s="309"/>
      <c r="M67" s="309"/>
      <c r="N67" s="309"/>
      <c r="O67" s="309"/>
      <c r="P67" s="309"/>
      <c r="Q67" s="309"/>
      <c r="R67" s="313">
        <v>2.7776999999999998</v>
      </c>
      <c r="S67" s="309"/>
      <c r="T67" s="309"/>
      <c r="U67" s="309"/>
      <c r="V67" s="309"/>
      <c r="W67" s="309">
        <f>R67</f>
        <v>2.7776999999999998</v>
      </c>
      <c r="X67" s="309"/>
      <c r="Y67" s="309"/>
      <c r="Z67" s="309"/>
      <c r="AA67" s="309"/>
      <c r="AB67" s="309"/>
      <c r="AC67" s="309"/>
      <c r="AD67" s="309"/>
      <c r="AE67" s="309"/>
      <c r="AF67" s="309"/>
      <c r="AG67" s="309"/>
      <c r="AH67" s="309"/>
      <c r="AI67" s="309"/>
      <c r="AJ67" s="309"/>
      <c r="AK67" s="309"/>
      <c r="AL67" s="309"/>
      <c r="AM67" s="309"/>
      <c r="AN67" s="309"/>
      <c r="AO67" s="309"/>
      <c r="AP67" s="309"/>
      <c r="AQ67" s="309"/>
      <c r="AR67" s="309"/>
      <c r="AS67" s="309"/>
      <c r="AT67" s="309"/>
      <c r="AU67" s="309"/>
      <c r="AV67" s="309"/>
      <c r="AW67" s="309"/>
      <c r="AX67" s="309"/>
      <c r="AY67" s="309"/>
      <c r="AZ67" s="309"/>
      <c r="BA67" s="309"/>
      <c r="BB67" s="309"/>
      <c r="BC67" s="309"/>
      <c r="BD67" s="309"/>
      <c r="BE67" s="309"/>
      <c r="BF67" s="309"/>
      <c r="BG67" s="309"/>
      <c r="BH67" s="309"/>
      <c r="BI67" s="309"/>
      <c r="BJ67" s="309"/>
      <c r="BK67" s="309"/>
      <c r="BL67" s="309"/>
      <c r="BM67" s="309"/>
      <c r="BN67" s="309"/>
      <c r="BO67" s="309"/>
      <c r="BP67" s="309"/>
      <c r="BQ67" s="309"/>
      <c r="BR67" s="309"/>
      <c r="BS67" s="309"/>
      <c r="BT67" s="309"/>
      <c r="BU67" s="309"/>
      <c r="BV67" s="309"/>
      <c r="BW67" s="309"/>
      <c r="BX67" s="309"/>
      <c r="BY67" s="309"/>
      <c r="BZ67" s="323"/>
      <c r="CA67" s="323"/>
      <c r="CB67" s="323"/>
      <c r="CC67" s="323"/>
      <c r="CD67" s="323"/>
      <c r="CE67" s="323"/>
      <c r="CF67" s="323"/>
      <c r="CG67" s="323"/>
      <c r="CH67" s="323"/>
      <c r="CI67" s="323"/>
      <c r="CJ67" s="323"/>
      <c r="CK67" s="323"/>
      <c r="CL67" s="323"/>
      <c r="CM67" s="323"/>
      <c r="CN67" s="323"/>
      <c r="CO67" s="323"/>
      <c r="CP67" s="323"/>
      <c r="CQ67" s="323"/>
      <c r="CR67" s="323"/>
      <c r="CS67" s="323"/>
      <c r="CT67" s="323"/>
      <c r="CU67" s="323"/>
      <c r="CV67" s="323"/>
      <c r="CW67" s="323"/>
      <c r="CX67" s="323"/>
      <c r="CY67" s="323"/>
      <c r="CZ67" s="323"/>
      <c r="DA67" s="323"/>
      <c r="DB67" s="323"/>
      <c r="DC67" s="323"/>
      <c r="DD67" s="323"/>
      <c r="DE67" s="323"/>
      <c r="DF67" s="323"/>
      <c r="DG67" s="323"/>
      <c r="DH67" s="323"/>
      <c r="DI67" s="323"/>
      <c r="DJ67" s="323"/>
      <c r="DK67" s="323"/>
      <c r="DL67" s="323"/>
      <c r="DM67" s="323"/>
      <c r="DN67" s="323"/>
      <c r="DO67" s="323"/>
      <c r="DP67" s="323"/>
      <c r="DQ67" s="323"/>
      <c r="DR67" s="323"/>
      <c r="DS67" s="323"/>
      <c r="DT67" s="323"/>
      <c r="DU67" s="323"/>
      <c r="DV67" s="323"/>
      <c r="DW67" s="323"/>
      <c r="DX67" s="323"/>
      <c r="DY67" s="323"/>
      <c r="DZ67" s="323"/>
      <c r="EA67" s="323"/>
      <c r="EB67" s="323"/>
      <c r="EC67" s="323"/>
      <c r="ED67" s="323"/>
      <c r="EE67" s="323"/>
      <c r="EF67" s="323"/>
      <c r="EG67" s="323"/>
      <c r="EH67" s="323"/>
      <c r="EI67" s="323"/>
      <c r="EJ67" s="323"/>
      <c r="EK67" s="323"/>
      <c r="EL67" s="323"/>
      <c r="EM67" s="323"/>
      <c r="EN67" s="323"/>
      <c r="EO67" s="323"/>
      <c r="EP67" s="323"/>
      <c r="EQ67" s="323"/>
      <c r="ER67" s="323"/>
      <c r="ES67" s="323"/>
      <c r="ET67" s="323"/>
      <c r="EU67" s="323"/>
      <c r="EV67" s="323"/>
      <c r="EW67" s="323"/>
      <c r="EX67" s="323"/>
      <c r="EY67" s="323"/>
      <c r="EZ67" s="323"/>
      <c r="FA67" s="323"/>
      <c r="FB67" s="323"/>
      <c r="FC67" s="323"/>
      <c r="FD67" s="323"/>
      <c r="FE67" s="323"/>
      <c r="FF67" s="323"/>
      <c r="FG67" s="323"/>
      <c r="FH67" s="323"/>
      <c r="FI67" s="323"/>
      <c r="FJ67" s="323"/>
      <c r="FK67" s="323"/>
      <c r="FL67" s="323"/>
      <c r="FM67" s="323"/>
      <c r="FN67" s="323"/>
      <c r="FO67" s="323"/>
      <c r="FP67" s="323"/>
      <c r="FQ67" s="323"/>
      <c r="FR67" s="323"/>
      <c r="FS67" s="323"/>
      <c r="FT67" s="323"/>
      <c r="FU67" s="323"/>
      <c r="FV67" s="323"/>
      <c r="FW67" s="323"/>
      <c r="FX67" s="323"/>
      <c r="FY67" s="323"/>
      <c r="FZ67" s="323"/>
      <c r="GA67" s="323"/>
      <c r="GB67" s="323"/>
      <c r="GC67" s="323"/>
      <c r="GD67" s="323"/>
      <c r="GE67" s="323"/>
      <c r="GF67" s="323"/>
      <c r="GG67" s="323"/>
      <c r="GH67" s="323"/>
      <c r="GI67" s="323"/>
      <c r="GJ67" s="323"/>
      <c r="GK67" s="323"/>
      <c r="GL67" s="323"/>
      <c r="GM67" s="323"/>
      <c r="GN67" s="323"/>
      <c r="GO67" s="323"/>
      <c r="GP67" s="323"/>
      <c r="GQ67" s="323"/>
      <c r="GR67" s="323"/>
      <c r="GS67" s="323"/>
      <c r="GT67" s="323"/>
      <c r="GU67" s="323"/>
      <c r="GV67" s="323"/>
      <c r="GW67" s="323"/>
      <c r="GX67" s="323"/>
      <c r="GY67" s="323"/>
      <c r="GZ67" s="323"/>
      <c r="HA67" s="323"/>
      <c r="HB67" s="323"/>
      <c r="HC67" s="323"/>
      <c r="HD67" s="323"/>
      <c r="HE67" s="323"/>
      <c r="HF67" s="323"/>
      <c r="HG67" s="323"/>
      <c r="HH67" s="323"/>
      <c r="HI67" s="323"/>
      <c r="HJ67" s="323"/>
      <c r="HK67" s="323"/>
      <c r="HL67" s="323"/>
      <c r="HM67" s="323"/>
      <c r="HN67" s="323"/>
      <c r="HO67" s="323"/>
      <c r="HP67" s="323"/>
      <c r="HQ67" s="323"/>
      <c r="HR67" s="323"/>
      <c r="HS67" s="323"/>
      <c r="HT67" s="323"/>
      <c r="HU67" s="323"/>
      <c r="HV67" s="323"/>
      <c r="HW67" s="323"/>
      <c r="HX67" s="323"/>
      <c r="HY67" s="323"/>
      <c r="HZ67" s="323"/>
      <c r="IA67" s="323"/>
      <c r="IB67" s="323"/>
      <c r="IC67" s="323"/>
      <c r="ID67" s="323"/>
      <c r="IE67" s="323"/>
      <c r="IF67" s="323"/>
      <c r="IG67" s="323"/>
      <c r="IH67" s="323"/>
      <c r="II67" s="323"/>
      <c r="IJ67" s="323"/>
      <c r="IK67" s="323"/>
      <c r="IL67" s="323"/>
      <c r="IM67" s="323"/>
      <c r="IN67" s="323"/>
      <c r="IO67" s="323"/>
      <c r="IP67" s="323"/>
      <c r="IQ67" s="323"/>
      <c r="IR67" s="323"/>
      <c r="IS67" s="323"/>
      <c r="IT67" s="323"/>
      <c r="IU67" s="323"/>
      <c r="IV67" s="323"/>
    </row>
    <row r="68" spans="1:256" ht="14.25">
      <c r="A68" s="317" t="s">
        <v>211</v>
      </c>
      <c r="B68" s="309" t="s">
        <v>227</v>
      </c>
      <c r="C68" s="309"/>
      <c r="D68" s="309"/>
      <c r="E68" s="309"/>
      <c r="F68" s="309"/>
      <c r="G68" s="309"/>
      <c r="H68" s="309"/>
      <c r="I68" s="309"/>
      <c r="J68" s="309"/>
      <c r="K68" s="309"/>
      <c r="L68" s="309"/>
      <c r="M68" s="309"/>
      <c r="N68" s="309"/>
      <c r="O68" s="309"/>
      <c r="P68" s="309"/>
      <c r="Q68" s="309"/>
      <c r="R68" s="313">
        <v>3.8</v>
      </c>
      <c r="S68" s="309"/>
      <c r="T68" s="309"/>
      <c r="U68" s="309"/>
      <c r="V68" s="309"/>
      <c r="W68" s="309">
        <f>R68</f>
        <v>3.8</v>
      </c>
      <c r="X68" s="309"/>
      <c r="Y68" s="309"/>
      <c r="Z68" s="309"/>
      <c r="AA68" s="309"/>
      <c r="AB68" s="309"/>
      <c r="AC68" s="309"/>
      <c r="AD68" s="309"/>
      <c r="AE68" s="309"/>
      <c r="AF68" s="309"/>
      <c r="AG68" s="309"/>
      <c r="AH68" s="309"/>
      <c r="AI68" s="309"/>
      <c r="AJ68" s="309"/>
      <c r="AK68" s="309"/>
      <c r="AL68" s="309"/>
      <c r="AM68" s="309"/>
      <c r="AN68" s="309"/>
      <c r="AO68" s="309"/>
      <c r="AP68" s="309"/>
      <c r="AQ68" s="309"/>
      <c r="AR68" s="309"/>
      <c r="AS68" s="309"/>
      <c r="AT68" s="309"/>
      <c r="AU68" s="309"/>
      <c r="AV68" s="309"/>
      <c r="AW68" s="309"/>
      <c r="AX68" s="309"/>
      <c r="AY68" s="309"/>
      <c r="AZ68" s="309"/>
      <c r="BA68" s="309"/>
      <c r="BB68" s="309"/>
      <c r="BC68" s="309"/>
      <c r="BD68" s="309"/>
      <c r="BE68" s="309"/>
      <c r="BF68" s="309"/>
      <c r="BG68" s="309"/>
      <c r="BH68" s="309"/>
      <c r="BI68" s="309"/>
      <c r="BJ68" s="309"/>
      <c r="BK68" s="309"/>
      <c r="BL68" s="309"/>
      <c r="BM68" s="309"/>
      <c r="BN68" s="309"/>
      <c r="BO68" s="309"/>
      <c r="BP68" s="309"/>
      <c r="BQ68" s="309"/>
      <c r="BR68" s="309"/>
      <c r="BS68" s="309"/>
      <c r="BT68" s="309"/>
      <c r="BU68" s="309"/>
      <c r="BV68" s="309"/>
      <c r="BW68" s="309"/>
      <c r="BX68" s="309"/>
      <c r="BY68" s="309"/>
      <c r="BZ68" s="323"/>
      <c r="CA68" s="323"/>
      <c r="CB68" s="323"/>
      <c r="CC68" s="323"/>
      <c r="CD68" s="323"/>
      <c r="CE68" s="323"/>
      <c r="CF68" s="323"/>
      <c r="CG68" s="323"/>
      <c r="CH68" s="323"/>
      <c r="CI68" s="323"/>
      <c r="CJ68" s="323"/>
      <c r="CK68" s="323"/>
      <c r="CL68" s="323"/>
      <c r="CM68" s="323"/>
      <c r="CN68" s="323"/>
      <c r="CO68" s="323"/>
      <c r="CP68" s="323"/>
      <c r="CQ68" s="323"/>
      <c r="CR68" s="323"/>
      <c r="CS68" s="323"/>
      <c r="CT68" s="323"/>
      <c r="CU68" s="323"/>
      <c r="CV68" s="323"/>
      <c r="CW68" s="323"/>
      <c r="CX68" s="323"/>
      <c r="CY68" s="323"/>
      <c r="CZ68" s="323"/>
      <c r="DA68" s="323"/>
      <c r="DB68" s="323"/>
      <c r="DC68" s="323"/>
      <c r="DD68" s="323"/>
      <c r="DE68" s="323"/>
      <c r="DF68" s="323"/>
      <c r="DG68" s="323"/>
      <c r="DH68" s="323"/>
      <c r="DI68" s="323"/>
      <c r="DJ68" s="323"/>
      <c r="DK68" s="323"/>
      <c r="DL68" s="323"/>
      <c r="DM68" s="323"/>
      <c r="DN68" s="323"/>
      <c r="DO68" s="323"/>
      <c r="DP68" s="323"/>
      <c r="DQ68" s="323"/>
      <c r="DR68" s="323"/>
      <c r="DS68" s="323"/>
      <c r="DT68" s="323"/>
      <c r="DU68" s="323"/>
      <c r="DV68" s="323"/>
      <c r="DW68" s="323"/>
      <c r="DX68" s="323"/>
      <c r="DY68" s="323"/>
      <c r="DZ68" s="323"/>
      <c r="EA68" s="323"/>
      <c r="EB68" s="323"/>
      <c r="EC68" s="323"/>
      <c r="ED68" s="323"/>
      <c r="EE68" s="323"/>
      <c r="EF68" s="323"/>
      <c r="EG68" s="323"/>
      <c r="EH68" s="323"/>
      <c r="EI68" s="323"/>
      <c r="EJ68" s="323"/>
      <c r="EK68" s="323"/>
      <c r="EL68" s="323"/>
      <c r="EM68" s="323"/>
      <c r="EN68" s="323"/>
      <c r="EO68" s="323"/>
      <c r="EP68" s="323"/>
      <c r="EQ68" s="323"/>
      <c r="ER68" s="323"/>
      <c r="ES68" s="323"/>
      <c r="ET68" s="323"/>
      <c r="EU68" s="323"/>
      <c r="EV68" s="323"/>
      <c r="EW68" s="323"/>
      <c r="EX68" s="323"/>
      <c r="EY68" s="323"/>
      <c r="EZ68" s="323"/>
      <c r="FA68" s="323"/>
      <c r="FB68" s="323"/>
      <c r="FC68" s="323"/>
      <c r="FD68" s="323"/>
      <c r="FE68" s="323"/>
      <c r="FF68" s="323"/>
      <c r="FG68" s="323"/>
      <c r="FH68" s="323"/>
      <c r="FI68" s="323"/>
      <c r="FJ68" s="323"/>
      <c r="FK68" s="323"/>
      <c r="FL68" s="323"/>
      <c r="FM68" s="323"/>
      <c r="FN68" s="323"/>
      <c r="FO68" s="323"/>
      <c r="FP68" s="323"/>
      <c r="FQ68" s="323"/>
      <c r="FR68" s="323"/>
      <c r="FS68" s="323"/>
      <c r="FT68" s="323"/>
      <c r="FU68" s="323"/>
      <c r="FV68" s="323"/>
      <c r="FW68" s="323"/>
      <c r="FX68" s="323"/>
      <c r="FY68" s="323"/>
      <c r="FZ68" s="323"/>
      <c r="GA68" s="323"/>
      <c r="GB68" s="323"/>
      <c r="GC68" s="323"/>
      <c r="GD68" s="323"/>
      <c r="GE68" s="323"/>
      <c r="GF68" s="323"/>
      <c r="GG68" s="323"/>
      <c r="GH68" s="323"/>
      <c r="GI68" s="323"/>
      <c r="GJ68" s="323"/>
      <c r="GK68" s="323"/>
      <c r="GL68" s="323"/>
      <c r="GM68" s="323"/>
      <c r="GN68" s="323"/>
      <c r="GO68" s="323"/>
      <c r="GP68" s="323"/>
      <c r="GQ68" s="323"/>
      <c r="GR68" s="323"/>
      <c r="GS68" s="323"/>
      <c r="GT68" s="323"/>
      <c r="GU68" s="323"/>
      <c r="GV68" s="323"/>
      <c r="GW68" s="323"/>
      <c r="GX68" s="323"/>
      <c r="GY68" s="323"/>
      <c r="GZ68" s="323"/>
      <c r="HA68" s="323"/>
      <c r="HB68" s="323"/>
      <c r="HC68" s="323"/>
      <c r="HD68" s="323"/>
      <c r="HE68" s="323"/>
      <c r="HF68" s="323"/>
      <c r="HG68" s="323"/>
      <c r="HH68" s="323"/>
      <c r="HI68" s="323"/>
      <c r="HJ68" s="323"/>
      <c r="HK68" s="323"/>
      <c r="HL68" s="323"/>
      <c r="HM68" s="323"/>
      <c r="HN68" s="323"/>
      <c r="HO68" s="323"/>
      <c r="HP68" s="323"/>
      <c r="HQ68" s="323"/>
      <c r="HR68" s="323"/>
      <c r="HS68" s="323"/>
      <c r="HT68" s="323"/>
      <c r="HU68" s="323"/>
      <c r="HV68" s="323"/>
      <c r="HW68" s="323"/>
      <c r="HX68" s="323"/>
      <c r="HY68" s="323"/>
      <c r="HZ68" s="323"/>
      <c r="IA68" s="323"/>
      <c r="IB68" s="323"/>
      <c r="IC68" s="323"/>
      <c r="ID68" s="323"/>
      <c r="IE68" s="323"/>
      <c r="IF68" s="323"/>
      <c r="IG68" s="323"/>
      <c r="IH68" s="323"/>
      <c r="II68" s="323"/>
      <c r="IJ68" s="323"/>
      <c r="IK68" s="323"/>
      <c r="IL68" s="323"/>
      <c r="IM68" s="323"/>
      <c r="IN68" s="323"/>
      <c r="IO68" s="323"/>
      <c r="IP68" s="323"/>
      <c r="IQ68" s="323"/>
      <c r="IR68" s="323"/>
      <c r="IS68" s="323"/>
      <c r="IT68" s="323"/>
      <c r="IU68" s="323"/>
      <c r="IV68" s="323"/>
    </row>
    <row r="69" spans="1:256" ht="14.25">
      <c r="A69" s="317" t="s">
        <v>211</v>
      </c>
      <c r="B69" s="309" t="s">
        <v>228</v>
      </c>
      <c r="C69" s="309"/>
      <c r="D69" s="318"/>
      <c r="E69" s="309"/>
      <c r="F69" s="307"/>
      <c r="G69" s="308"/>
      <c r="H69" s="309"/>
      <c r="I69" s="309"/>
      <c r="J69" s="310"/>
      <c r="K69" s="311"/>
      <c r="L69" s="311"/>
      <c r="M69" s="311"/>
      <c r="N69" s="311"/>
      <c r="O69" s="311"/>
      <c r="P69" s="311"/>
      <c r="Q69" s="311"/>
      <c r="R69" s="313">
        <v>2.84</v>
      </c>
      <c r="S69" s="310"/>
      <c r="T69" s="309"/>
      <c r="U69" s="309"/>
      <c r="V69" s="309"/>
      <c r="W69" s="314">
        <f>R69</f>
        <v>2.84</v>
      </c>
      <c r="X69" s="309"/>
      <c r="Y69" s="309"/>
      <c r="Z69" s="309"/>
      <c r="AA69" s="309"/>
      <c r="AB69" s="309"/>
      <c r="AC69" s="309"/>
      <c r="AD69" s="319"/>
      <c r="AE69" s="319"/>
      <c r="AF69" s="319"/>
      <c r="AG69" s="309"/>
      <c r="AH69" s="309"/>
      <c r="AI69" s="309"/>
      <c r="AJ69" s="309"/>
      <c r="AK69" s="309"/>
      <c r="AL69" s="309"/>
      <c r="AM69" s="309"/>
      <c r="AN69" s="309"/>
      <c r="AO69" s="309"/>
      <c r="AP69" s="309"/>
      <c r="AQ69" s="309"/>
      <c r="AR69" s="309"/>
      <c r="AS69" s="309"/>
      <c r="AT69" s="309"/>
      <c r="AU69" s="309"/>
      <c r="AV69" s="309"/>
      <c r="AW69" s="309"/>
      <c r="AX69" s="309"/>
      <c r="AY69" s="309"/>
      <c r="AZ69" s="309"/>
      <c r="BA69" s="309"/>
      <c r="BB69" s="309"/>
      <c r="BC69" s="309"/>
      <c r="BD69" s="309"/>
      <c r="BE69" s="309"/>
      <c r="BF69" s="309"/>
      <c r="BG69" s="309"/>
      <c r="BH69" s="309"/>
      <c r="BI69" s="309"/>
      <c r="BJ69" s="309"/>
      <c r="BK69" s="309"/>
      <c r="BL69" s="309"/>
      <c r="BM69" s="309"/>
      <c r="BN69" s="309"/>
      <c r="BO69" s="309"/>
      <c r="BP69" s="309"/>
      <c r="BQ69" s="309"/>
      <c r="BR69" s="309"/>
      <c r="BS69" s="309"/>
      <c r="BT69" s="309"/>
      <c r="BU69" s="309"/>
      <c r="BV69" s="309"/>
      <c r="BW69" s="309"/>
      <c r="BX69" s="309"/>
      <c r="BY69" s="309"/>
      <c r="BZ69" s="323"/>
      <c r="CA69" s="323"/>
      <c r="CB69" s="323"/>
      <c r="CC69" s="323"/>
      <c r="CD69" s="323"/>
      <c r="CE69" s="323"/>
      <c r="CF69" s="323"/>
      <c r="CG69" s="323"/>
      <c r="CH69" s="323"/>
      <c r="CI69" s="323"/>
      <c r="CJ69" s="323"/>
      <c r="CK69" s="323"/>
      <c r="CL69" s="323"/>
      <c r="CM69" s="323"/>
      <c r="CN69" s="323"/>
      <c r="CO69" s="323"/>
      <c r="CP69" s="323"/>
      <c r="CQ69" s="323"/>
      <c r="CR69" s="323"/>
      <c r="CS69" s="323"/>
      <c r="CT69" s="323"/>
      <c r="CU69" s="323"/>
      <c r="CV69" s="323"/>
      <c r="CW69" s="323"/>
      <c r="CX69" s="323"/>
      <c r="CY69" s="323"/>
      <c r="CZ69" s="323"/>
      <c r="DA69" s="323"/>
      <c r="DB69" s="323"/>
      <c r="DC69" s="323"/>
      <c r="DD69" s="323"/>
      <c r="DE69" s="323"/>
      <c r="DF69" s="323"/>
      <c r="DG69" s="323"/>
      <c r="DH69" s="323"/>
      <c r="DI69" s="323"/>
      <c r="DJ69" s="323"/>
      <c r="DK69" s="323"/>
      <c r="DL69" s="323"/>
      <c r="DM69" s="323"/>
      <c r="DN69" s="323"/>
      <c r="DO69" s="323"/>
      <c r="DP69" s="323"/>
      <c r="DQ69" s="323"/>
      <c r="DR69" s="323"/>
      <c r="DS69" s="323"/>
      <c r="DT69" s="323"/>
      <c r="DU69" s="323"/>
      <c r="DV69" s="323"/>
      <c r="DW69" s="323"/>
      <c r="DX69" s="323"/>
      <c r="DY69" s="323"/>
      <c r="DZ69" s="323"/>
      <c r="EA69" s="323"/>
      <c r="EB69" s="323"/>
      <c r="EC69" s="323"/>
      <c r="ED69" s="323"/>
      <c r="EE69" s="323"/>
      <c r="EF69" s="323"/>
      <c r="EG69" s="323"/>
      <c r="EH69" s="323"/>
      <c r="EI69" s="323"/>
      <c r="EJ69" s="323"/>
      <c r="EK69" s="323"/>
      <c r="EL69" s="323"/>
      <c r="EM69" s="323"/>
      <c r="EN69" s="323"/>
      <c r="EO69" s="323"/>
      <c r="EP69" s="323"/>
      <c r="EQ69" s="323"/>
      <c r="ER69" s="323"/>
      <c r="ES69" s="323"/>
      <c r="ET69" s="323"/>
      <c r="EU69" s="323"/>
      <c r="EV69" s="323"/>
      <c r="EW69" s="323"/>
      <c r="EX69" s="323"/>
      <c r="EY69" s="323"/>
      <c r="EZ69" s="323"/>
      <c r="FA69" s="323"/>
      <c r="FB69" s="323"/>
      <c r="FC69" s="323"/>
      <c r="FD69" s="323"/>
      <c r="FE69" s="323"/>
      <c r="FF69" s="323"/>
      <c r="FG69" s="323"/>
      <c r="FH69" s="323"/>
      <c r="FI69" s="323"/>
      <c r="FJ69" s="323"/>
      <c r="FK69" s="323"/>
      <c r="FL69" s="323"/>
      <c r="FM69" s="323"/>
      <c r="FN69" s="323"/>
      <c r="FO69" s="323"/>
      <c r="FP69" s="323"/>
      <c r="FQ69" s="323"/>
      <c r="FR69" s="323"/>
      <c r="FS69" s="323"/>
      <c r="FT69" s="323"/>
      <c r="FU69" s="323"/>
      <c r="FV69" s="323"/>
      <c r="FW69" s="323"/>
      <c r="FX69" s="323"/>
      <c r="FY69" s="323"/>
      <c r="FZ69" s="323"/>
      <c r="GA69" s="323"/>
      <c r="GB69" s="323"/>
      <c r="GC69" s="323"/>
      <c r="GD69" s="323"/>
      <c r="GE69" s="323"/>
      <c r="GF69" s="323"/>
      <c r="GG69" s="323"/>
      <c r="GH69" s="323"/>
      <c r="GI69" s="323"/>
      <c r="GJ69" s="323"/>
      <c r="GK69" s="323"/>
      <c r="GL69" s="323"/>
      <c r="GM69" s="323"/>
      <c r="GN69" s="323"/>
      <c r="GO69" s="323"/>
      <c r="GP69" s="323"/>
      <c r="GQ69" s="323"/>
      <c r="GR69" s="323"/>
      <c r="GS69" s="323"/>
      <c r="GT69" s="323"/>
      <c r="GU69" s="323"/>
      <c r="GV69" s="323"/>
      <c r="GW69" s="323"/>
      <c r="GX69" s="323"/>
      <c r="GY69" s="323"/>
      <c r="GZ69" s="323"/>
      <c r="HA69" s="323"/>
      <c r="HB69" s="323"/>
      <c r="HC69" s="323"/>
      <c r="HD69" s="323"/>
      <c r="HE69" s="323"/>
      <c r="HF69" s="323"/>
      <c r="HG69" s="323"/>
      <c r="HH69" s="323"/>
      <c r="HI69" s="323"/>
      <c r="HJ69" s="323"/>
      <c r="HK69" s="323"/>
      <c r="HL69" s="323"/>
      <c r="HM69" s="323"/>
      <c r="HN69" s="323"/>
      <c r="HO69" s="323"/>
      <c r="HP69" s="323"/>
      <c r="HQ69" s="323"/>
      <c r="HR69" s="323"/>
      <c r="HS69" s="323"/>
      <c r="HT69" s="323"/>
      <c r="HU69" s="323"/>
      <c r="HV69" s="323"/>
      <c r="HW69" s="323"/>
      <c r="HX69" s="323"/>
      <c r="HY69" s="323"/>
      <c r="HZ69" s="323"/>
      <c r="IA69" s="323"/>
      <c r="IB69" s="323"/>
      <c r="IC69" s="323"/>
      <c r="ID69" s="323"/>
      <c r="IE69" s="323"/>
      <c r="IF69" s="323"/>
      <c r="IG69" s="323"/>
      <c r="IH69" s="323"/>
      <c r="II69" s="323"/>
      <c r="IJ69" s="323"/>
      <c r="IK69" s="323"/>
      <c r="IL69" s="323"/>
      <c r="IM69" s="323"/>
      <c r="IN69" s="323"/>
      <c r="IO69" s="323"/>
      <c r="IP69" s="323"/>
      <c r="IQ69" s="323"/>
      <c r="IR69" s="323"/>
      <c r="IS69" s="323"/>
      <c r="IT69" s="323"/>
      <c r="IU69" s="323"/>
      <c r="IV69" s="323"/>
    </row>
    <row r="70" spans="1:256" ht="14.25">
      <c r="A70" s="317" t="s">
        <v>229</v>
      </c>
      <c r="B70" s="309" t="s">
        <v>228</v>
      </c>
      <c r="C70" s="309"/>
      <c r="D70" s="318"/>
      <c r="E70" s="309"/>
      <c r="F70" s="307"/>
      <c r="G70" s="308"/>
      <c r="H70" s="309"/>
      <c r="I70" s="309"/>
      <c r="J70" s="310"/>
      <c r="K70" s="311"/>
      <c r="L70" s="311"/>
      <c r="M70" s="311"/>
      <c r="N70" s="311"/>
      <c r="O70" s="311"/>
      <c r="P70" s="311"/>
      <c r="Q70" s="311"/>
      <c r="R70" s="313">
        <v>3.956</v>
      </c>
      <c r="S70" s="310"/>
      <c r="T70" s="309"/>
      <c r="U70" s="309"/>
      <c r="V70" s="309"/>
      <c r="W70" s="314">
        <f>R70</f>
        <v>3.956</v>
      </c>
      <c r="X70" s="309"/>
      <c r="Y70" s="309"/>
      <c r="Z70" s="309"/>
      <c r="AA70" s="309"/>
      <c r="AB70" s="309"/>
      <c r="AC70" s="309"/>
      <c r="AD70" s="319"/>
      <c r="AE70" s="319"/>
      <c r="AF70" s="319"/>
      <c r="AG70" s="309"/>
      <c r="AH70" s="309"/>
      <c r="AI70" s="309"/>
      <c r="AJ70" s="309"/>
      <c r="AK70" s="309"/>
      <c r="AL70" s="309"/>
      <c r="AM70" s="309"/>
      <c r="AN70" s="309"/>
      <c r="AO70" s="309"/>
      <c r="AP70" s="309"/>
      <c r="AQ70" s="309"/>
      <c r="AR70" s="309"/>
      <c r="AS70" s="309"/>
      <c r="AT70" s="309"/>
      <c r="AU70" s="309"/>
      <c r="AV70" s="309"/>
      <c r="AW70" s="309"/>
      <c r="AX70" s="309"/>
      <c r="AY70" s="309"/>
      <c r="AZ70" s="309"/>
      <c r="BA70" s="309"/>
      <c r="BB70" s="309"/>
      <c r="BC70" s="309"/>
      <c r="BD70" s="309"/>
      <c r="BE70" s="309"/>
      <c r="BF70" s="309"/>
      <c r="BG70" s="309"/>
      <c r="BH70" s="309"/>
      <c r="BI70" s="309"/>
      <c r="BJ70" s="309"/>
      <c r="BK70" s="309"/>
      <c r="BL70" s="309"/>
      <c r="BM70" s="309"/>
      <c r="BN70" s="309"/>
      <c r="BO70" s="309"/>
      <c r="BP70" s="309"/>
      <c r="BQ70" s="309"/>
      <c r="BR70" s="309"/>
      <c r="BS70" s="309"/>
      <c r="BT70" s="309"/>
      <c r="BU70" s="309"/>
      <c r="BV70" s="309"/>
      <c r="BW70" s="309"/>
      <c r="BX70" s="309"/>
      <c r="BY70" s="309"/>
      <c r="BZ70" s="323"/>
      <c r="CA70" s="323"/>
      <c r="CB70" s="323"/>
      <c r="CC70" s="323"/>
      <c r="CD70" s="323"/>
      <c r="CE70" s="323"/>
      <c r="CF70" s="323"/>
      <c r="CG70" s="323"/>
      <c r="CH70" s="323"/>
      <c r="CI70" s="323"/>
      <c r="CJ70" s="323"/>
      <c r="CK70" s="323"/>
      <c r="CL70" s="323"/>
      <c r="CM70" s="323"/>
      <c r="CN70" s="323"/>
      <c r="CO70" s="323"/>
      <c r="CP70" s="323"/>
      <c r="CQ70" s="323"/>
      <c r="CR70" s="323"/>
      <c r="CS70" s="323"/>
      <c r="CT70" s="323"/>
      <c r="CU70" s="323"/>
      <c r="CV70" s="323"/>
      <c r="CW70" s="323"/>
      <c r="CX70" s="323"/>
      <c r="CY70" s="323"/>
      <c r="CZ70" s="323"/>
      <c r="DA70" s="323"/>
      <c r="DB70" s="323"/>
      <c r="DC70" s="323"/>
      <c r="DD70" s="323"/>
      <c r="DE70" s="323"/>
      <c r="DF70" s="323"/>
      <c r="DG70" s="323"/>
      <c r="DH70" s="323"/>
      <c r="DI70" s="323"/>
      <c r="DJ70" s="323"/>
      <c r="DK70" s="323"/>
      <c r="DL70" s="323"/>
      <c r="DM70" s="323"/>
      <c r="DN70" s="323"/>
      <c r="DO70" s="323"/>
      <c r="DP70" s="323"/>
      <c r="DQ70" s="323"/>
      <c r="DR70" s="323"/>
      <c r="DS70" s="323"/>
      <c r="DT70" s="323"/>
      <c r="DU70" s="323"/>
      <c r="DV70" s="323"/>
      <c r="DW70" s="323"/>
      <c r="DX70" s="323"/>
      <c r="DY70" s="323"/>
      <c r="DZ70" s="323"/>
      <c r="EA70" s="323"/>
      <c r="EB70" s="323"/>
      <c r="EC70" s="323"/>
      <c r="ED70" s="323"/>
      <c r="EE70" s="323"/>
      <c r="EF70" s="323"/>
      <c r="EG70" s="323"/>
      <c r="EH70" s="323"/>
      <c r="EI70" s="323"/>
      <c r="EJ70" s="323"/>
      <c r="EK70" s="323"/>
      <c r="EL70" s="323"/>
      <c r="EM70" s="323"/>
      <c r="EN70" s="323"/>
      <c r="EO70" s="323"/>
      <c r="EP70" s="323"/>
      <c r="EQ70" s="323"/>
      <c r="ER70" s="323"/>
      <c r="ES70" s="323"/>
      <c r="ET70" s="323"/>
      <c r="EU70" s="323"/>
      <c r="EV70" s="323"/>
      <c r="EW70" s="323"/>
      <c r="EX70" s="323"/>
      <c r="EY70" s="323"/>
      <c r="EZ70" s="323"/>
      <c r="FA70" s="323"/>
      <c r="FB70" s="323"/>
      <c r="FC70" s="323"/>
      <c r="FD70" s="323"/>
      <c r="FE70" s="323"/>
      <c r="FF70" s="323"/>
      <c r="FG70" s="323"/>
      <c r="FH70" s="323"/>
      <c r="FI70" s="323"/>
      <c r="FJ70" s="323"/>
      <c r="FK70" s="323"/>
      <c r="FL70" s="323"/>
      <c r="FM70" s="323"/>
      <c r="FN70" s="323"/>
      <c r="FO70" s="323"/>
      <c r="FP70" s="323"/>
      <c r="FQ70" s="323"/>
      <c r="FR70" s="323"/>
      <c r="FS70" s="323"/>
      <c r="FT70" s="323"/>
      <c r="FU70" s="323"/>
      <c r="FV70" s="323"/>
      <c r="FW70" s="323"/>
      <c r="FX70" s="323"/>
      <c r="FY70" s="323"/>
      <c r="FZ70" s="323"/>
      <c r="GA70" s="323"/>
      <c r="GB70" s="323"/>
      <c r="GC70" s="323"/>
      <c r="GD70" s="323"/>
      <c r="GE70" s="323"/>
      <c r="GF70" s="323"/>
      <c r="GG70" s="323"/>
      <c r="GH70" s="323"/>
      <c r="GI70" s="323"/>
      <c r="GJ70" s="323"/>
      <c r="GK70" s="323"/>
      <c r="GL70" s="323"/>
      <c r="GM70" s="323"/>
      <c r="GN70" s="323"/>
      <c r="GO70" s="323"/>
      <c r="GP70" s="323"/>
      <c r="GQ70" s="323"/>
      <c r="GR70" s="323"/>
      <c r="GS70" s="323"/>
      <c r="GT70" s="323"/>
      <c r="GU70" s="323"/>
      <c r="GV70" s="323"/>
      <c r="GW70" s="323"/>
      <c r="GX70" s="323"/>
      <c r="GY70" s="323"/>
      <c r="GZ70" s="323"/>
      <c r="HA70" s="323"/>
      <c r="HB70" s="323"/>
      <c r="HC70" s="323"/>
      <c r="HD70" s="323"/>
      <c r="HE70" s="323"/>
      <c r="HF70" s="323"/>
      <c r="HG70" s="323"/>
      <c r="HH70" s="323"/>
      <c r="HI70" s="323"/>
      <c r="HJ70" s="323"/>
      <c r="HK70" s="323"/>
      <c r="HL70" s="323"/>
      <c r="HM70" s="323"/>
      <c r="HN70" s="323"/>
      <c r="HO70" s="323"/>
      <c r="HP70" s="323"/>
      <c r="HQ70" s="323"/>
      <c r="HR70" s="323"/>
      <c r="HS70" s="323"/>
      <c r="HT70" s="323"/>
      <c r="HU70" s="323"/>
      <c r="HV70" s="323"/>
      <c r="HW70" s="323"/>
      <c r="HX70" s="323"/>
      <c r="HY70" s="323"/>
      <c r="HZ70" s="323"/>
      <c r="IA70" s="323"/>
      <c r="IB70" s="323"/>
      <c r="IC70" s="323"/>
      <c r="ID70" s="323"/>
      <c r="IE70" s="323"/>
      <c r="IF70" s="323"/>
      <c r="IG70" s="323"/>
      <c r="IH70" s="323"/>
      <c r="II70" s="323"/>
      <c r="IJ70" s="323"/>
      <c r="IK70" s="323"/>
      <c r="IL70" s="323"/>
      <c r="IM70" s="323"/>
      <c r="IN70" s="323"/>
      <c r="IO70" s="323"/>
      <c r="IP70" s="323"/>
      <c r="IQ70" s="323"/>
      <c r="IR70" s="323"/>
      <c r="IS70" s="323"/>
      <c r="IT70" s="323"/>
      <c r="IU70" s="323"/>
      <c r="IV70" s="323"/>
    </row>
  </sheetData>
  <conditionalFormatting sqref="Y2:Y53">
    <cfRule type="cellIs" dxfId="54" priority="8" operator="lessThanOrEqual">
      <formula>0</formula>
    </cfRule>
    <cfRule type="cellIs" dxfId="53" priority="9" operator="lessThanOrEqual">
      <formula>0</formula>
    </cfRule>
  </conditionalFormatting>
  <conditionalFormatting sqref="Y55">
    <cfRule type="cellIs" dxfId="52" priority="1" operator="lessThanOrEqual">
      <formula>0</formula>
    </cfRule>
    <cfRule type="cellIs" dxfId="51" priority="2" operator="lessThanOrEqual">
      <formula>0</formula>
    </cfRule>
  </conditionalFormatting>
  <conditionalFormatting sqref="BC2:BF22">
    <cfRule type="cellIs" dxfId="48" priority="5" operator="between">
      <formula>$J$6</formula>
      <formula>$J$5</formula>
    </cfRule>
    <cfRule type="cellIs" dxfId="47" priority="6" operator="greaterThan">
      <formula>$J$4</formula>
    </cfRule>
    <cfRule type="cellIs" dxfId="46" priority="7" operator="between">
      <formula>$J$5</formula>
      <formula>$J$4</formula>
    </cfRule>
  </conditionalFormatting>
  <conditionalFormatting sqref="BC23:BF27">
    <cfRule type="cellIs" dxfId="45" priority="50" operator="greaterThan">
      <formula>$J$4</formula>
    </cfRule>
    <cfRule type="cellIs" dxfId="44" priority="51" operator="between">
      <formula>$J$5</formula>
      <formula>$J$4</formula>
    </cfRule>
  </conditionalFormatting>
  <conditionalFormatting sqref="BC23:BF42">
    <cfRule type="cellIs" dxfId="41" priority="32" operator="between">
      <formula>$J$6</formula>
      <formula>$J$5</formula>
    </cfRule>
  </conditionalFormatting>
  <conditionalFormatting sqref="BC28:BF28">
    <cfRule type="cellIs" dxfId="40" priority="28" operator="greaterThan">
      <formula>$J$4</formula>
    </cfRule>
    <cfRule type="cellIs" dxfId="39" priority="29" operator="between">
      <formula>$J$5</formula>
      <formula>$J$4</formula>
    </cfRule>
  </conditionalFormatting>
  <conditionalFormatting sqref="BC29:BF47">
    <cfRule type="cellIs" dxfId="38" priority="34" operator="greaterThan">
      <formula>$J$4</formula>
    </cfRule>
    <cfRule type="cellIs" dxfId="37" priority="35" operator="between">
      <formula>$J$5</formula>
      <formula>$J$4</formula>
    </cfRule>
  </conditionalFormatting>
  <conditionalFormatting sqref="BC43:BF44">
    <cfRule type="cellIs" dxfId="34" priority="38" operator="between">
      <formula>$J$6</formula>
      <formula>$J$5</formula>
    </cfRule>
  </conditionalFormatting>
  <conditionalFormatting sqref="BC45:BF49">
    <cfRule type="cellIs" dxfId="31" priority="26" operator="between">
      <formula>$J$6</formula>
      <formula>$J$5</formula>
    </cfRule>
  </conditionalFormatting>
  <conditionalFormatting sqref="BC48:BF48">
    <cfRule type="cellIs" dxfId="30" priority="22" operator="greaterThan">
      <formula>$J$4</formula>
    </cfRule>
    <cfRule type="cellIs" dxfId="29" priority="23" operator="between">
      <formula>$J$5</formula>
      <formula>$J$4</formula>
    </cfRule>
  </conditionalFormatting>
  <conditionalFormatting sqref="BC49:BF51">
    <cfRule type="cellIs" dxfId="28" priority="40" operator="greaterThan">
      <formula>$J$4</formula>
    </cfRule>
    <cfRule type="cellIs" dxfId="27" priority="41" operator="between">
      <formula>$J$5</formula>
      <formula>$J$4</formula>
    </cfRule>
  </conditionalFormatting>
  <conditionalFormatting sqref="BC50:BF51">
    <cfRule type="cellIs" dxfId="24" priority="44" operator="between">
      <formula>$J$6</formula>
      <formula>$J$5</formula>
    </cfRule>
  </conditionalFormatting>
  <conditionalFormatting sqref="BC52:BF52">
    <cfRule type="cellIs" dxfId="23" priority="16" operator="greaterThan">
      <formula>$J$4</formula>
    </cfRule>
    <cfRule type="cellIs" dxfId="22" priority="17" operator="between">
      <formula>$J$5</formula>
      <formula>$J$4</formula>
    </cfRule>
  </conditionalFormatting>
  <conditionalFormatting sqref="BC52:BF53">
    <cfRule type="cellIs" dxfId="19" priority="20" operator="between">
      <formula>$J$6</formula>
      <formula>$J$5</formula>
    </cfRule>
  </conditionalFormatting>
  <conditionalFormatting sqref="BC53:BF53">
    <cfRule type="cellIs" dxfId="18" priority="54" operator="greaterThan">
      <formula>$J$4</formula>
    </cfRule>
    <cfRule type="cellIs" dxfId="17" priority="55" operator="between">
      <formula>$J$5</formula>
      <formula>$J$4</formula>
    </cfRule>
  </conditionalFormatting>
  <conditionalFormatting sqref="BW5:BY5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8:BY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10:BY10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12:BY12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13:BY13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15:BY15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18:BY19"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22:BY22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27:BY27"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28:BY2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30:BY30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31:BY31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40:BY42"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43:BY44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45:BY45 BW20:BY21 BW29:BY29 BW9:BY9 BW11:BY11 BW2:BY4 BW23:BY26 BW6:BY7 BW14:BY14 BW32:BY39 BW16:BY17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46:BY46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47:BY47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48:BY48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49:BY49 BW53:BY53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50:BY50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51:BY51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52:BY52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9">
    <dataValidation type="list" allowBlank="1" showInputMessage="1" showErrorMessage="1" promptTitle="Rack, U Space, Cage" sqref="F69:F70 F65" xr:uid="{04E879CC-97FD-43F4-904E-B130AE470F5A}">
      <formula1>"Caged,Uncaged"</formula1>
    </dataValidation>
    <dataValidation type="list" allowBlank="1" showInputMessage="1" showErrorMessage="1" sqref="D55:D64 D2:D51 D53" xr:uid="{2E239C1D-14C0-4CC6-AC76-D05B4D942EAC}">
      <formula1>"Bundled,Metered"</formula1>
      <formula2>0</formula2>
    </dataValidation>
    <dataValidation type="list" allowBlank="1" showInputMessage="1" showErrorMessage="1" promptTitle="Rack, U Space, Cage" sqref="E55:E60 E2:E53" xr:uid="{D0BCB9EA-BF76-45B1-AFBC-68E04C909B5A}">
      <formula1>"Space,Rack,U space"</formula1>
      <formula2>0</formula2>
    </dataValidation>
    <dataValidation type="list" allowBlank="1" showInputMessage="1" showErrorMessage="1" promptTitle="Rack, U Space, Cage" sqref="F55:F64 F2:F53" xr:uid="{4561F17A-90EA-4755-BCD6-E3F884D7DD06}">
      <formula1>"Caged,Uncaged"</formula1>
      <formula2>0</formula2>
    </dataValidation>
    <dataValidation type="list" allowBlank="1" showInputMessage="1" showErrorMessage="1" sqref="P55:P56 P2:P53" xr:uid="{0C7D2FD1-5B41-4386-AB2D-C09DC4A96AF1}">
      <formula1>"KW,KVA"</formula1>
      <formula2>0</formula2>
    </dataValidation>
    <dataValidation type="list" allowBlank="1" showInputMessage="1" showErrorMessage="1" sqref="AB55 AB2:AB53" xr:uid="{65C05B97-4063-41B7-8CB5-131C8F50DFBB}">
      <formula1>"Fixed,Variable"</formula1>
      <formula2>0</formula2>
    </dataValidation>
    <dataValidation type="list" allowBlank="1" showInputMessage="1" showErrorMessage="1" sqref="AT55 AT2:AT53" xr:uid="{15C6A36A-788B-4CDE-BBC8-2202538AEB19}">
      <formula1>"Qtrly Adv,Qtry Ars,Monthly Adv,Monthly Ars"</formula1>
      <formula2>0</formula2>
    </dataValidation>
    <dataValidation type="list" allowBlank="1" showInputMessage="1" showErrorMessage="1" sqref="AE2:AE53 AD54 AE55" xr:uid="{017E0AB5-723E-4F64-8BEA-1D30829A668F}">
      <formula1>"No of Seats,Space"</formula1>
      <formula2>0</formula2>
    </dataValidation>
    <dataValidation type="list" allowBlank="1" showInputMessage="1" showErrorMessage="1" sqref="C2:C53 D52 C55:C61" xr:uid="{BBFC668C-A46B-4A18-BF12-F0B9F82B8582}">
      <formula1>"Rated,Subscribed"</formula1>
      <formula2>0</formula2>
    </dataValidation>
  </dataValidations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lessThan" id="{743BD02F-2AC7-462C-BE44-4C3B4C783E7C}">
            <xm:f>'Rabale-T1'!#REF!</xm:f>
            <x14:dxf>
              <fill>
                <patternFill>
                  <bgColor rgb="FFFF0000"/>
                </patternFill>
              </fill>
            </x14:dxf>
          </x14:cfRule>
          <x14:cfRule type="cellIs" priority="4" operator="between" id="{71D8E3B1-EC75-4FBB-9C56-0517EEFC9FA4}">
            <xm:f>'Rabale-T1'!#REF!</xm:f>
            <xm:f>$J$6</xm:f>
            <x14:dxf>
              <fill>
                <patternFill>
                  <bgColor rgb="FFFFC000"/>
                </patternFill>
              </fill>
            </x14:dxf>
          </x14:cfRule>
          <xm:sqref>BC2:BF22</xm:sqref>
        </x14:conditionalFormatting>
        <x14:conditionalFormatting xmlns:xm="http://schemas.microsoft.com/office/excel/2006/main">
          <x14:cfRule type="cellIs" priority="30" operator="lessThan" id="{0A6DD902-98B2-401C-93D2-FFB2EDD7D135}">
            <xm:f>'Rabale-T1'!#REF!</xm:f>
            <x14:dxf>
              <fill>
                <patternFill>
                  <bgColor rgb="FFFF0000"/>
                </patternFill>
              </fill>
            </x14:dxf>
          </x14:cfRule>
          <x14:cfRule type="cellIs" priority="31" operator="between" id="{183181A7-1264-4447-9B7C-043775B37EBA}">
            <xm:f>'Rabale-T1'!#REF!</xm:f>
            <xm:f>$J$6</xm:f>
            <x14:dxf>
              <fill>
                <patternFill>
                  <bgColor rgb="FFFFC000"/>
                </patternFill>
              </fill>
            </x14:dxf>
          </x14:cfRule>
          <xm:sqref>BC23:BF42</xm:sqref>
        </x14:conditionalFormatting>
        <x14:conditionalFormatting xmlns:xm="http://schemas.microsoft.com/office/excel/2006/main">
          <x14:cfRule type="cellIs" priority="36" operator="lessThan" id="{EDA2A372-39A9-4421-9827-710B9D6AACA7}">
            <xm:f>'Rabale-T1'!#REF!</xm:f>
            <x14:dxf>
              <fill>
                <patternFill>
                  <bgColor rgb="FFFF0000"/>
                </patternFill>
              </fill>
            </x14:dxf>
          </x14:cfRule>
          <x14:cfRule type="cellIs" priority="37" operator="between" id="{641B6463-BE5C-4A26-9952-A3EB5F744F4A}">
            <xm:f>'Rabale-T1'!#REF!</xm:f>
            <xm:f>$J$6</xm:f>
            <x14:dxf>
              <fill>
                <patternFill>
                  <bgColor rgb="FFFFC000"/>
                </patternFill>
              </fill>
            </x14:dxf>
          </x14:cfRule>
          <xm:sqref>BC43:BF44</xm:sqref>
        </x14:conditionalFormatting>
        <x14:conditionalFormatting xmlns:xm="http://schemas.microsoft.com/office/excel/2006/main">
          <x14:cfRule type="cellIs" priority="24" operator="lessThan" id="{AAF710AB-8DE4-4B8D-AE1E-2FBEB1EECC5E}">
            <xm:f>'Rabale-T1'!#REF!</xm:f>
            <x14:dxf>
              <fill>
                <patternFill>
                  <bgColor rgb="FFFF0000"/>
                </patternFill>
              </fill>
            </x14:dxf>
          </x14:cfRule>
          <x14:cfRule type="cellIs" priority="25" operator="between" id="{DE16417B-5B74-49C1-BEFC-1F781D134F6F}">
            <xm:f>'Rabale-T1'!#REF!</xm:f>
            <xm:f>$J$6</xm:f>
            <x14:dxf>
              <fill>
                <patternFill>
                  <bgColor rgb="FFFFC000"/>
                </patternFill>
              </fill>
            </x14:dxf>
          </x14:cfRule>
          <xm:sqref>BC45:BF49</xm:sqref>
        </x14:conditionalFormatting>
        <x14:conditionalFormatting xmlns:xm="http://schemas.microsoft.com/office/excel/2006/main">
          <x14:cfRule type="cellIs" priority="42" operator="lessThan" id="{7596DDCA-1DA2-40B9-9885-9634030D07D3}">
            <xm:f>'Rabale-T1'!#REF!</xm:f>
            <x14:dxf>
              <fill>
                <patternFill>
                  <bgColor rgb="FFFF0000"/>
                </patternFill>
              </fill>
            </x14:dxf>
          </x14:cfRule>
          <x14:cfRule type="cellIs" priority="43" operator="between" id="{EE9FC97D-B501-4878-BA74-347626E24F43}">
            <xm:f>'Rabale-T1'!#REF!</xm:f>
            <xm:f>$J$6</xm:f>
            <x14:dxf>
              <fill>
                <patternFill>
                  <bgColor rgb="FFFFC000"/>
                </patternFill>
              </fill>
            </x14:dxf>
          </x14:cfRule>
          <xm:sqref>BC50:BF51</xm:sqref>
        </x14:conditionalFormatting>
        <x14:conditionalFormatting xmlns:xm="http://schemas.microsoft.com/office/excel/2006/main">
          <x14:cfRule type="cellIs" priority="18" operator="lessThan" id="{4A4E1DD0-EF97-49AA-B9D0-E696B3715A8D}">
            <xm:f>'Rabale-T1'!#REF!</xm:f>
            <x14:dxf>
              <fill>
                <patternFill>
                  <bgColor rgb="FFFF0000"/>
                </patternFill>
              </fill>
            </x14:dxf>
          </x14:cfRule>
          <x14:cfRule type="cellIs" priority="19" operator="between" id="{B176F9AA-5A3D-422B-BEBF-ED3C58097A61}">
            <xm:f>'Rabale-T1'!#REF!</xm:f>
            <xm:f>$J$6</xm:f>
            <x14:dxf>
              <fill>
                <patternFill>
                  <bgColor rgb="FFFFC000"/>
                </patternFill>
              </fill>
            </x14:dxf>
          </x14:cfRule>
          <xm:sqref>BC52:BF53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40"/>
  <sheetViews>
    <sheetView topLeftCell="H21" zoomScaleNormal="100" workbookViewId="0">
      <selection activeCell="R32" sqref="R32"/>
    </sheetView>
  </sheetViews>
  <sheetFormatPr defaultColWidth="9.140625" defaultRowHeight="12"/>
  <cols>
    <col min="1" max="1" width="37" style="1" customWidth="1"/>
    <col min="2" max="2" width="18.85546875" style="2" customWidth="1"/>
    <col min="3" max="4" width="17.140625" style="1" customWidth="1"/>
    <col min="5" max="5" width="10.7109375" style="1" customWidth="1"/>
    <col min="6" max="6" width="12.85546875" style="1" customWidth="1"/>
    <col min="7" max="8" width="11" style="1" customWidth="1"/>
    <col min="9" max="9" width="9.140625" style="1" customWidth="1"/>
    <col min="10" max="10" width="10.7109375" style="3" customWidth="1"/>
    <col min="11" max="11" width="10.7109375" style="4" customWidth="1"/>
    <col min="12" max="12" width="13.85546875" style="4" customWidth="1"/>
    <col min="13" max="13" width="13.42578125" style="4" customWidth="1"/>
    <col min="14" max="14" width="12" style="4" customWidth="1"/>
    <col min="15" max="15" width="11" style="4" customWidth="1"/>
    <col min="16" max="16" width="6.85546875" style="4" customWidth="1"/>
    <col min="17" max="17" width="10.140625" style="5" customWidth="1"/>
    <col min="18" max="18" width="7.7109375" style="1" customWidth="1"/>
    <col min="19" max="19" width="9" style="3" customWidth="1"/>
    <col min="20" max="20" width="16.42578125" style="1" customWidth="1"/>
    <col min="21" max="21" width="14.42578125" style="1" customWidth="1"/>
    <col min="22" max="22" width="12.140625" style="1" customWidth="1"/>
    <col min="23" max="23" width="6.5703125" style="1" customWidth="1"/>
    <col min="24" max="24" width="9" style="1" customWidth="1"/>
    <col min="25" max="25" width="14.5703125" style="1" customWidth="1"/>
    <col min="26" max="26" width="11.140625" style="1" customWidth="1"/>
    <col min="27" max="27" width="7.7109375" style="1" customWidth="1"/>
    <col min="28" max="28" width="13.42578125" style="1" customWidth="1"/>
    <col min="29" max="29" width="10.28515625" style="1" customWidth="1"/>
    <col min="30" max="30" width="20.42578125" style="6" bestFit="1" customWidth="1"/>
    <col min="31" max="31" width="10.5703125" style="6" customWidth="1"/>
    <col min="32" max="32" width="9.28515625" style="6" customWidth="1"/>
    <col min="33" max="33" width="7.28515625" style="1" customWidth="1"/>
    <col min="34" max="34" width="7.140625" style="1" customWidth="1"/>
    <col min="35" max="35" width="7.7109375" style="1" customWidth="1"/>
    <col min="36" max="36" width="6.7109375" style="1" customWidth="1"/>
    <col min="37" max="37" width="9.28515625" style="1" customWidth="1"/>
    <col min="38" max="38" width="10.42578125" style="1" customWidth="1"/>
    <col min="39" max="39" width="15" style="1" customWidth="1"/>
    <col min="40" max="40" width="10.140625" style="1" customWidth="1"/>
    <col min="41" max="41" width="11.42578125" style="1" customWidth="1"/>
    <col min="42" max="42" width="9.42578125" style="1" customWidth="1"/>
    <col min="43" max="43" width="11.140625" style="1" customWidth="1"/>
    <col min="44" max="44" width="11.85546875" style="1" customWidth="1"/>
    <col min="45" max="45" width="13.5703125" style="1" customWidth="1"/>
    <col min="46" max="46" width="10.5703125" style="1" customWidth="1"/>
    <col min="47" max="47" width="18.28515625" style="7" customWidth="1"/>
    <col min="48" max="48" width="8.7109375" style="7" customWidth="1"/>
    <col min="49" max="49" width="10.5703125" style="7" customWidth="1"/>
    <col min="50" max="50" width="9.5703125" style="7" customWidth="1"/>
    <col min="51" max="51" width="23" style="1" customWidth="1"/>
    <col min="52" max="52" width="6.5703125" style="1" customWidth="1"/>
    <col min="53" max="53" width="10.42578125" style="1" customWidth="1"/>
    <col min="54" max="54" width="9.5703125" style="1" customWidth="1"/>
    <col min="55" max="58" width="9.140625" style="1"/>
    <col min="59" max="61" width="12.5703125" style="1" customWidth="1"/>
    <col min="62" max="67" width="10.7109375" style="1" customWidth="1"/>
    <col min="68" max="68" width="9.85546875" style="1" customWidth="1"/>
    <col min="69" max="69" width="10.7109375" style="1" customWidth="1"/>
    <col min="70" max="71" width="9.140625" style="1"/>
    <col min="72" max="72" width="9.85546875" style="1" customWidth="1"/>
    <col min="73" max="73" width="10.7109375" style="1" customWidth="1"/>
    <col min="74" max="74" width="11.28515625" style="1" customWidth="1"/>
    <col min="75" max="16384" width="9.140625" style="1"/>
  </cols>
  <sheetData>
    <row r="1" spans="1:50" ht="48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323"/>
      <c r="H1" s="3"/>
      <c r="I1" s="323"/>
      <c r="J1" s="10" t="s">
        <v>6</v>
      </c>
      <c r="K1" s="11" t="s">
        <v>7</v>
      </c>
      <c r="L1" s="11" t="s">
        <v>8</v>
      </c>
      <c r="M1" s="12"/>
      <c r="N1" s="12"/>
      <c r="O1" s="323"/>
      <c r="P1" s="12"/>
      <c r="Q1" s="323"/>
      <c r="R1" s="323"/>
      <c r="T1" s="13"/>
      <c r="U1" s="13"/>
      <c r="V1" s="13"/>
      <c r="W1" s="13"/>
      <c r="X1" s="13"/>
      <c r="Y1" s="13"/>
      <c r="Z1" s="13"/>
      <c r="AA1" s="13"/>
      <c r="AB1" s="13"/>
      <c r="AC1" s="132"/>
      <c r="AD1" s="14"/>
      <c r="AE1" s="14"/>
      <c r="AF1" s="14"/>
      <c r="AG1" s="13"/>
      <c r="AH1" s="13"/>
      <c r="AI1" s="13"/>
      <c r="AJ1" s="13"/>
      <c r="AK1" s="13"/>
      <c r="AL1" s="13"/>
      <c r="AM1" s="323"/>
      <c r="AN1" s="323"/>
      <c r="AO1" s="323"/>
      <c r="AP1" s="323"/>
      <c r="AQ1" s="323"/>
      <c r="AR1" s="323"/>
      <c r="AS1" s="323"/>
      <c r="AT1" s="323"/>
      <c r="AU1" s="323"/>
      <c r="AV1" s="323"/>
      <c r="AW1" s="323"/>
      <c r="AX1" s="323"/>
    </row>
    <row r="2" spans="1:50">
      <c r="A2" s="15" t="s">
        <v>9</v>
      </c>
      <c r="B2" s="16">
        <f>SUM(B3:B9)</f>
        <v>10335</v>
      </c>
      <c r="C2" s="16">
        <f>SUM(C3:C9)</f>
        <v>8144.2428749255778</v>
      </c>
      <c r="D2" s="17">
        <f>(D3+D4+D5+D6+D7+D8+D9)*1.7</f>
        <v>17569.5</v>
      </c>
      <c r="E2" s="17">
        <f>SUM(C2:D2)</f>
        <v>25713.742874925578</v>
      </c>
      <c r="F2" s="17">
        <f>B2-E2</f>
        <v>-15378.742874925578</v>
      </c>
      <c r="G2" s="323"/>
      <c r="H2" s="341" t="s">
        <v>10</v>
      </c>
      <c r="I2" s="341"/>
      <c r="J2" s="18">
        <v>6000</v>
      </c>
      <c r="K2" s="19">
        <v>0</v>
      </c>
      <c r="L2" s="20">
        <v>0.05</v>
      </c>
      <c r="M2" s="21"/>
      <c r="N2" s="21"/>
      <c r="O2" s="323"/>
      <c r="P2" s="12"/>
      <c r="Q2" s="323"/>
      <c r="R2" s="323"/>
      <c r="T2" s="12"/>
      <c r="U2" s="12"/>
      <c r="V2" s="12"/>
      <c r="W2" s="12"/>
      <c r="X2" s="12"/>
      <c r="Y2" s="12"/>
      <c r="Z2" s="12"/>
      <c r="AA2" s="12"/>
      <c r="AB2" s="12"/>
      <c r="AC2" s="132"/>
      <c r="AG2" s="12"/>
      <c r="AH2" s="12"/>
      <c r="AI2" s="12"/>
      <c r="AJ2" s="12"/>
      <c r="AK2" s="12"/>
      <c r="AL2" s="12"/>
      <c r="AM2" s="323"/>
      <c r="AN2" s="323"/>
      <c r="AO2" s="323"/>
      <c r="AP2" s="323"/>
      <c r="AQ2" s="323"/>
      <c r="AR2" s="323"/>
      <c r="AS2" s="323"/>
      <c r="AT2" s="323"/>
      <c r="AU2" s="323"/>
      <c r="AV2" s="323"/>
      <c r="AW2" s="323"/>
      <c r="AX2" s="323"/>
    </row>
    <row r="3" spans="1:50">
      <c r="A3" s="22" t="s">
        <v>230</v>
      </c>
      <c r="B3" s="16">
        <v>1600</v>
      </c>
      <c r="C3" s="94">
        <v>1247.65212500095</v>
      </c>
      <c r="D3" s="17">
        <f t="shared" ref="D3:E9" si="0">B3</f>
        <v>1600</v>
      </c>
      <c r="E3" s="17">
        <f t="shared" si="0"/>
        <v>1247.65212500095</v>
      </c>
      <c r="F3" s="17">
        <f t="shared" ref="F3:F16" si="1">B3-C3</f>
        <v>352.34787499904996</v>
      </c>
      <c r="G3" s="323"/>
      <c r="H3" s="3"/>
      <c r="I3" s="323"/>
      <c r="J3" s="3" t="s">
        <v>12</v>
      </c>
      <c r="K3" s="4" t="s">
        <v>13</v>
      </c>
      <c r="L3" s="12"/>
      <c r="M3" s="12"/>
      <c r="N3" s="12"/>
      <c r="O3" s="323"/>
      <c r="P3" s="12"/>
      <c r="Q3" s="323"/>
      <c r="R3" s="323"/>
      <c r="T3" s="12"/>
      <c r="U3" s="12"/>
      <c r="V3" s="12"/>
      <c r="W3" s="12"/>
      <c r="X3" s="12"/>
      <c r="Y3" s="12"/>
      <c r="Z3" s="12"/>
      <c r="AA3" s="12"/>
      <c r="AB3" s="12"/>
      <c r="AC3" s="338"/>
      <c r="AG3" s="12"/>
      <c r="AH3" s="12"/>
      <c r="AI3" s="12"/>
      <c r="AJ3" s="12"/>
      <c r="AK3" s="12"/>
      <c r="AL3" s="12"/>
      <c r="AM3" s="323"/>
      <c r="AN3" s="323"/>
      <c r="AO3" s="323"/>
      <c r="AP3" s="323"/>
      <c r="AQ3" s="323"/>
      <c r="AR3" s="323"/>
      <c r="AS3" s="323"/>
      <c r="AT3" s="323"/>
      <c r="AU3" s="323"/>
      <c r="AV3" s="323"/>
      <c r="AW3" s="323"/>
      <c r="AX3" s="323"/>
    </row>
    <row r="4" spans="1:50">
      <c r="A4" s="22" t="s">
        <v>231</v>
      </c>
      <c r="B4" s="16">
        <v>1600</v>
      </c>
      <c r="C4" s="94">
        <v>842.02786254882801</v>
      </c>
      <c r="D4" s="17">
        <f t="shared" si="0"/>
        <v>1600</v>
      </c>
      <c r="E4" s="17">
        <f t="shared" si="0"/>
        <v>842.02786254882801</v>
      </c>
      <c r="F4" s="17">
        <f t="shared" si="1"/>
        <v>757.97213745117199</v>
      </c>
      <c r="G4" s="323"/>
      <c r="H4" s="3"/>
      <c r="I4" s="323" t="s">
        <v>15</v>
      </c>
      <c r="J4" s="23">
        <f>+J2*1.5</f>
        <v>9000</v>
      </c>
      <c r="K4" s="24" t="s">
        <v>16</v>
      </c>
      <c r="L4" s="25"/>
      <c r="M4" s="12"/>
      <c r="N4" s="323"/>
      <c r="O4" s="3"/>
      <c r="P4" s="12"/>
      <c r="Q4" s="12"/>
      <c r="R4" s="12"/>
      <c r="S4" s="12"/>
      <c r="T4" s="12"/>
      <c r="U4" s="323"/>
      <c r="V4" s="323"/>
      <c r="W4" s="323"/>
      <c r="X4" s="323"/>
      <c r="Y4" s="12"/>
      <c r="Z4" s="12"/>
      <c r="AA4" s="12"/>
      <c r="AB4" s="12"/>
      <c r="AC4" s="339"/>
      <c r="AG4" s="12"/>
      <c r="AH4" s="12"/>
      <c r="AI4" s="12"/>
      <c r="AJ4" s="12"/>
      <c r="AK4" s="12"/>
      <c r="AL4" s="12"/>
      <c r="AM4" s="323"/>
      <c r="AN4" s="323"/>
      <c r="AO4" s="323"/>
      <c r="AP4" s="323"/>
      <c r="AQ4" s="323"/>
      <c r="AR4" s="323"/>
      <c r="AS4" s="323"/>
      <c r="AT4" s="323"/>
      <c r="AU4" s="323"/>
      <c r="AV4" s="323"/>
      <c r="AW4" s="323"/>
      <c r="AX4" s="323"/>
    </row>
    <row r="5" spans="1:50" ht="13.9">
      <c r="A5" s="22" t="s">
        <v>19</v>
      </c>
      <c r="B5" s="16">
        <v>596</v>
      </c>
      <c r="C5" s="94">
        <v>876</v>
      </c>
      <c r="D5" s="17">
        <f t="shared" si="0"/>
        <v>596</v>
      </c>
      <c r="E5" s="17">
        <f t="shared" si="0"/>
        <v>876</v>
      </c>
      <c r="F5" s="17">
        <f t="shared" si="1"/>
        <v>-280</v>
      </c>
      <c r="G5" s="323"/>
      <c r="H5" s="3"/>
      <c r="I5" s="323" t="s">
        <v>16</v>
      </c>
      <c r="J5" s="26">
        <f>+J2*1.2</f>
        <v>7200</v>
      </c>
      <c r="K5" s="26">
        <f>+J4</f>
        <v>9000</v>
      </c>
      <c r="L5" s="25"/>
      <c r="M5" s="12"/>
      <c r="N5" s="323"/>
      <c r="O5" s="324"/>
      <c r="P5" s="324"/>
      <c r="Q5" s="342"/>
      <c r="R5" s="342"/>
      <c r="S5" s="25"/>
      <c r="T5" s="12"/>
      <c r="U5" s="323"/>
      <c r="V5" s="323"/>
      <c r="W5" s="323"/>
      <c r="X5" s="323"/>
      <c r="Y5" s="12"/>
      <c r="Z5" s="12"/>
      <c r="AA5" s="12"/>
      <c r="AB5" s="12"/>
      <c r="AC5" s="339"/>
      <c r="AG5" s="12"/>
      <c r="AH5" s="12"/>
      <c r="AI5" s="12"/>
      <c r="AJ5" s="12"/>
      <c r="AK5" s="12"/>
      <c r="AL5" s="12"/>
      <c r="AM5" s="323"/>
      <c r="AN5" s="323"/>
      <c r="AO5" s="323"/>
      <c r="AP5" s="323"/>
      <c r="AQ5" s="323"/>
      <c r="AR5" s="323"/>
      <c r="AS5" s="323"/>
      <c r="AT5" s="323"/>
      <c r="AU5" s="323"/>
      <c r="AV5" s="323"/>
      <c r="AW5" s="323"/>
      <c r="AX5" s="323"/>
    </row>
    <row r="6" spans="1:50" ht="13.9">
      <c r="A6" s="22" t="s">
        <v>14</v>
      </c>
      <c r="B6" s="16">
        <v>1720</v>
      </c>
      <c r="C6" s="133">
        <v>1388.4170000009201</v>
      </c>
      <c r="D6" s="17">
        <f t="shared" si="0"/>
        <v>1720</v>
      </c>
      <c r="E6" s="17">
        <f t="shared" si="0"/>
        <v>1388.4170000009201</v>
      </c>
      <c r="F6" s="17">
        <f t="shared" si="1"/>
        <v>331.5829999990799</v>
      </c>
      <c r="G6" s="323"/>
      <c r="H6" s="3"/>
      <c r="I6" s="323" t="s">
        <v>20</v>
      </c>
      <c r="J6" s="27">
        <f>+J2</f>
        <v>6000</v>
      </c>
      <c r="K6" s="27">
        <f>+J5</f>
        <v>7200</v>
      </c>
      <c r="L6" s="25"/>
      <c r="M6" s="12"/>
      <c r="N6" s="323"/>
      <c r="O6" s="342"/>
      <c r="P6" s="342"/>
      <c r="Q6" s="342"/>
      <c r="R6" s="342"/>
      <c r="S6" s="28"/>
      <c r="T6" s="12"/>
      <c r="U6" s="323"/>
      <c r="V6" s="323"/>
      <c r="W6" s="323"/>
      <c r="X6" s="323"/>
      <c r="Y6" s="12"/>
      <c r="Z6" s="12"/>
      <c r="AA6" s="12"/>
      <c r="AB6" s="12"/>
      <c r="AC6" s="340"/>
      <c r="AG6" s="12"/>
      <c r="AH6" s="12"/>
      <c r="AI6" s="12"/>
      <c r="AJ6" s="12"/>
      <c r="AK6" s="12"/>
      <c r="AL6" s="12"/>
      <c r="AM6" s="323"/>
      <c r="AN6" s="323"/>
      <c r="AO6" s="323"/>
      <c r="AP6" s="323"/>
      <c r="AQ6" s="323"/>
      <c r="AR6" s="323"/>
      <c r="AS6" s="323"/>
      <c r="AT6" s="323"/>
      <c r="AU6" s="323"/>
      <c r="AV6" s="323"/>
      <c r="AW6" s="323"/>
      <c r="AX6" s="323"/>
    </row>
    <row r="7" spans="1:50" ht="13.9">
      <c r="A7" s="22" t="s">
        <v>17</v>
      </c>
      <c r="B7" s="16">
        <v>1680</v>
      </c>
      <c r="C7" s="94">
        <v>1344.3157787323</v>
      </c>
      <c r="D7" s="17">
        <f t="shared" si="0"/>
        <v>1680</v>
      </c>
      <c r="E7" s="17">
        <f t="shared" si="0"/>
        <v>1344.3157787323</v>
      </c>
      <c r="F7" s="17">
        <f t="shared" si="1"/>
        <v>335.68422126769997</v>
      </c>
      <c r="G7" s="323"/>
      <c r="H7" s="3"/>
      <c r="I7" s="323" t="s">
        <v>23</v>
      </c>
      <c r="J7" s="29">
        <v>0</v>
      </c>
      <c r="K7" s="29" t="e">
        <f>+#REF!</f>
        <v>#REF!</v>
      </c>
      <c r="L7" s="12"/>
      <c r="M7" s="12"/>
      <c r="N7" s="342"/>
      <c r="O7" s="342"/>
      <c r="P7" s="342"/>
      <c r="Q7" s="342"/>
      <c r="R7" s="342"/>
      <c r="S7" s="28"/>
      <c r="T7" s="12"/>
      <c r="U7" s="323"/>
      <c r="V7" s="323"/>
      <c r="W7" s="323"/>
      <c r="X7" s="323"/>
      <c r="Y7" s="12"/>
      <c r="Z7" s="12"/>
      <c r="AA7" s="12"/>
      <c r="AB7" s="12"/>
      <c r="AC7" s="132"/>
      <c r="AG7" s="12"/>
      <c r="AH7" s="12"/>
      <c r="AI7" s="12"/>
      <c r="AJ7" s="12"/>
      <c r="AK7" s="12"/>
      <c r="AL7" s="12"/>
      <c r="AM7" s="323"/>
      <c r="AN7" s="323"/>
      <c r="AO7" s="323"/>
      <c r="AP7" s="323"/>
      <c r="AQ7" s="323"/>
      <c r="AR7" s="323"/>
      <c r="AS7" s="323"/>
      <c r="AT7" s="323"/>
      <c r="AU7" s="323"/>
      <c r="AV7" s="323"/>
      <c r="AW7" s="323"/>
      <c r="AX7" s="323"/>
    </row>
    <row r="8" spans="1:50">
      <c r="A8" s="22" t="s">
        <v>232</v>
      </c>
      <c r="B8" s="16">
        <v>1800</v>
      </c>
      <c r="C8" s="134">
        <v>1517.8301086425799</v>
      </c>
      <c r="D8" s="17">
        <f t="shared" si="0"/>
        <v>1800</v>
      </c>
      <c r="E8" s="17">
        <f t="shared" si="0"/>
        <v>1517.8301086425799</v>
      </c>
      <c r="F8" s="17">
        <f t="shared" si="1"/>
        <v>282.16989135742006</v>
      </c>
      <c r="G8" s="323"/>
      <c r="H8" s="3"/>
      <c r="I8" s="323"/>
      <c r="J8" s="323"/>
      <c r="K8" s="323"/>
      <c r="L8" s="12"/>
      <c r="M8" s="12"/>
      <c r="N8" s="323"/>
      <c r="O8" s="31"/>
      <c r="P8" s="31"/>
      <c r="Q8" s="31"/>
      <c r="R8" s="31"/>
      <c r="S8" s="32"/>
      <c r="T8" s="12"/>
      <c r="U8" s="323"/>
      <c r="V8" s="323"/>
      <c r="W8" s="323"/>
      <c r="X8" s="323"/>
      <c r="Y8" s="12"/>
      <c r="Z8" s="12"/>
      <c r="AA8" s="12"/>
      <c r="AB8" s="12"/>
      <c r="AC8" s="132"/>
      <c r="AG8" s="12"/>
      <c r="AH8" s="12"/>
      <c r="AI8" s="12"/>
      <c r="AJ8" s="12"/>
      <c r="AK8" s="12"/>
      <c r="AL8" s="12"/>
      <c r="AM8" s="323"/>
      <c r="AN8" s="323"/>
      <c r="AO8" s="323"/>
      <c r="AP8" s="323"/>
      <c r="AQ8" s="323"/>
      <c r="AR8" s="323"/>
      <c r="AS8" s="323"/>
      <c r="AT8" s="323"/>
      <c r="AU8" s="323"/>
      <c r="AV8" s="323"/>
      <c r="AW8" s="323"/>
      <c r="AX8" s="323"/>
    </row>
    <row r="9" spans="1:50">
      <c r="A9" s="22" t="s">
        <v>233</v>
      </c>
      <c r="B9" s="17">
        <v>1339</v>
      </c>
      <c r="C9" s="94">
        <v>928</v>
      </c>
      <c r="D9" s="17">
        <f t="shared" si="0"/>
        <v>1339</v>
      </c>
      <c r="E9" s="17">
        <f t="shared" si="0"/>
        <v>928</v>
      </c>
      <c r="F9" s="17">
        <f t="shared" si="1"/>
        <v>411</v>
      </c>
      <c r="G9" s="323"/>
      <c r="H9" s="3"/>
      <c r="I9" s="323"/>
      <c r="L9" s="12"/>
      <c r="M9" s="12"/>
      <c r="N9" s="323"/>
      <c r="O9" s="323"/>
      <c r="P9" s="323"/>
      <c r="Q9" s="323"/>
      <c r="R9" s="323"/>
      <c r="S9" s="323"/>
      <c r="T9" s="12"/>
      <c r="U9" s="323"/>
      <c r="V9" s="323"/>
      <c r="W9" s="323"/>
      <c r="X9" s="323"/>
      <c r="Y9" s="12"/>
      <c r="Z9" s="12"/>
      <c r="AA9" s="12"/>
      <c r="AB9" s="12"/>
      <c r="AC9" s="132"/>
      <c r="AG9" s="12"/>
      <c r="AH9" s="12"/>
      <c r="AI9" s="12"/>
      <c r="AJ9" s="12"/>
      <c r="AK9" s="12"/>
      <c r="AL9" s="12"/>
      <c r="AM9" s="323"/>
      <c r="AN9" s="323"/>
      <c r="AO9" s="323"/>
      <c r="AP9" s="323"/>
      <c r="AQ9" s="323"/>
      <c r="AR9" s="323"/>
      <c r="AS9" s="323"/>
      <c r="AT9" s="323"/>
      <c r="AU9" s="323"/>
      <c r="AV9" s="323"/>
      <c r="AW9" s="323"/>
      <c r="AX9" s="323"/>
    </row>
    <row r="10" spans="1:50" ht="12" customHeight="1">
      <c r="A10" s="22" t="s">
        <v>28</v>
      </c>
      <c r="B10" s="16"/>
      <c r="C10" s="16">
        <v>7713</v>
      </c>
      <c r="D10" s="17">
        <f t="shared" ref="D10:D16" si="2">B10</f>
        <v>0</v>
      </c>
      <c r="E10" s="17">
        <f t="shared" ref="E10:E17" si="3">SUM(C10:D10)</f>
        <v>7713</v>
      </c>
      <c r="F10" s="17">
        <f t="shared" si="1"/>
        <v>-7713</v>
      </c>
      <c r="G10" s="33"/>
      <c r="H10" s="3"/>
      <c r="I10" s="323"/>
      <c r="L10" s="12"/>
      <c r="M10" s="12"/>
      <c r="N10" s="323"/>
      <c r="O10" s="3"/>
      <c r="P10" s="12"/>
      <c r="Q10" s="12"/>
      <c r="R10" s="12"/>
      <c r="S10" s="12"/>
      <c r="T10" s="12"/>
      <c r="U10" s="323"/>
      <c r="V10" s="323"/>
      <c r="W10" s="323"/>
      <c r="X10" s="323"/>
      <c r="Y10" s="12"/>
      <c r="Z10" s="12"/>
      <c r="AA10" s="12"/>
      <c r="AB10" s="12"/>
      <c r="AC10" s="338">
        <v>1339</v>
      </c>
      <c r="AG10" s="12"/>
      <c r="AH10" s="12"/>
      <c r="AI10" s="12"/>
      <c r="AJ10" s="12"/>
      <c r="AK10" s="12"/>
      <c r="AL10" s="12"/>
      <c r="AM10" s="323"/>
      <c r="AN10" s="323"/>
      <c r="AO10" s="323"/>
      <c r="AP10" s="323"/>
      <c r="AQ10" s="323"/>
      <c r="AR10" s="323"/>
      <c r="AS10" s="323"/>
      <c r="AT10" s="323"/>
      <c r="AU10" s="323"/>
      <c r="AV10" s="323"/>
      <c r="AW10" s="323"/>
      <c r="AX10" s="323"/>
    </row>
    <row r="11" spans="1:50" ht="12" customHeight="1">
      <c r="A11" s="22" t="s">
        <v>234</v>
      </c>
      <c r="B11" s="16"/>
      <c r="C11" s="16">
        <v>9400</v>
      </c>
      <c r="D11" s="17">
        <f t="shared" si="2"/>
        <v>0</v>
      </c>
      <c r="E11" s="17">
        <f t="shared" si="3"/>
        <v>9400</v>
      </c>
      <c r="F11" s="17">
        <f t="shared" si="1"/>
        <v>-9400</v>
      </c>
      <c r="G11" s="323"/>
      <c r="H11" s="3"/>
      <c r="I11" s="323"/>
      <c r="K11" s="4" t="s">
        <v>30</v>
      </c>
      <c r="L11" s="12"/>
      <c r="M11" s="12"/>
      <c r="N11" s="12"/>
      <c r="O11" s="323"/>
      <c r="P11" s="12"/>
      <c r="Q11" s="323"/>
      <c r="R11" s="323"/>
      <c r="T11" s="12"/>
      <c r="U11" s="12"/>
      <c r="V11" s="12"/>
      <c r="W11" s="12"/>
      <c r="X11" s="12"/>
      <c r="Y11" s="12"/>
      <c r="Z11" s="12"/>
      <c r="AA11" s="12"/>
      <c r="AB11" s="12"/>
      <c r="AC11" s="339"/>
      <c r="AG11" s="12"/>
      <c r="AH11" s="12"/>
      <c r="AI11" s="12"/>
      <c r="AJ11" s="12"/>
      <c r="AK11" s="12"/>
      <c r="AL11" s="12"/>
      <c r="AM11" s="323"/>
      <c r="AN11" s="323"/>
      <c r="AO11" s="323"/>
      <c r="AP11" s="323"/>
      <c r="AQ11" s="323"/>
      <c r="AR11" s="323"/>
      <c r="AS11" s="323"/>
      <c r="AT11" s="323"/>
      <c r="AU11" s="323"/>
      <c r="AV11" s="323"/>
      <c r="AW11" s="323"/>
      <c r="AX11" s="323"/>
    </row>
    <row r="12" spans="1:50" ht="12" customHeight="1">
      <c r="A12" s="22" t="s">
        <v>33</v>
      </c>
      <c r="B12" s="16"/>
      <c r="C12" s="16">
        <v>10500</v>
      </c>
      <c r="D12" s="17">
        <f t="shared" si="2"/>
        <v>0</v>
      </c>
      <c r="E12" s="17">
        <f t="shared" si="3"/>
        <v>10500</v>
      </c>
      <c r="F12" s="17">
        <f t="shared" si="1"/>
        <v>-10500</v>
      </c>
      <c r="G12" s="323"/>
      <c r="H12" s="3"/>
      <c r="I12" s="323"/>
      <c r="L12" s="12"/>
      <c r="M12" s="12"/>
      <c r="N12" s="12"/>
      <c r="O12" s="323"/>
      <c r="P12" s="12"/>
      <c r="Q12" s="323"/>
      <c r="R12" s="323"/>
      <c r="T12" s="12"/>
      <c r="U12" s="12"/>
      <c r="V12" s="12"/>
      <c r="W12" s="12"/>
      <c r="X12" s="12"/>
      <c r="Y12" s="12"/>
      <c r="Z12" s="12"/>
      <c r="AA12" s="12"/>
      <c r="AB12" s="12"/>
      <c r="AC12" s="340"/>
      <c r="AG12" s="12"/>
      <c r="AH12" s="12"/>
      <c r="AI12" s="12"/>
      <c r="AJ12" s="12"/>
      <c r="AK12" s="12"/>
      <c r="AL12" s="12"/>
      <c r="AM12" s="323"/>
      <c r="AN12" s="323"/>
      <c r="AO12" s="323"/>
      <c r="AP12" s="323"/>
      <c r="AQ12" s="323"/>
      <c r="AR12" s="323"/>
      <c r="AS12" s="323"/>
      <c r="AT12" s="323"/>
      <c r="AU12" s="323"/>
      <c r="AV12" s="323"/>
      <c r="AW12" s="323"/>
      <c r="AX12" s="323"/>
    </row>
    <row r="13" spans="1:50">
      <c r="A13" s="22" t="s">
        <v>31</v>
      </c>
      <c r="B13" s="16"/>
      <c r="C13" s="16">
        <v>10500</v>
      </c>
      <c r="D13" s="17">
        <f t="shared" si="2"/>
        <v>0</v>
      </c>
      <c r="E13" s="34">
        <f t="shared" si="3"/>
        <v>10500</v>
      </c>
      <c r="F13" s="17">
        <f t="shared" si="1"/>
        <v>-10500</v>
      </c>
      <c r="G13" s="323"/>
      <c r="H13" s="3"/>
      <c r="I13" s="323"/>
      <c r="L13" s="12"/>
      <c r="M13" s="12"/>
      <c r="N13" s="12"/>
      <c r="O13" s="323"/>
      <c r="P13" s="12"/>
      <c r="Q13" s="323"/>
      <c r="R13" s="323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G13" s="12"/>
      <c r="AH13" s="12"/>
      <c r="AI13" s="12"/>
      <c r="AJ13" s="12"/>
      <c r="AK13" s="12"/>
      <c r="AL13" s="12"/>
      <c r="AM13" s="323"/>
      <c r="AN13" s="323"/>
      <c r="AO13" s="323"/>
      <c r="AP13" s="323"/>
      <c r="AQ13" s="323"/>
      <c r="AR13" s="323"/>
      <c r="AS13" s="323"/>
      <c r="AT13" s="323"/>
      <c r="AU13" s="323"/>
      <c r="AV13" s="323"/>
      <c r="AW13" s="323"/>
      <c r="AX13" s="323"/>
    </row>
    <row r="14" spans="1:50">
      <c r="A14" s="22" t="s">
        <v>32</v>
      </c>
      <c r="B14" s="16"/>
      <c r="C14" s="35">
        <v>7000</v>
      </c>
      <c r="D14" s="17">
        <f t="shared" si="2"/>
        <v>0</v>
      </c>
      <c r="E14" s="17">
        <f t="shared" si="3"/>
        <v>7000</v>
      </c>
      <c r="F14" s="17">
        <f t="shared" si="1"/>
        <v>-7000</v>
      </c>
      <c r="G14" s="323"/>
      <c r="H14" s="3">
        <v>629</v>
      </c>
      <c r="I14" s="3">
        <f>H14-D3</f>
        <v>-971</v>
      </c>
      <c r="L14" s="12"/>
      <c r="M14" s="12"/>
      <c r="N14" s="12"/>
      <c r="O14" s="323"/>
      <c r="P14" s="12"/>
      <c r="Q14" s="323"/>
      <c r="R14" s="323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G14" s="12"/>
      <c r="AH14" s="12"/>
      <c r="AI14" s="12"/>
      <c r="AJ14" s="12"/>
      <c r="AK14" s="12"/>
      <c r="AL14" s="12"/>
      <c r="AM14" s="323"/>
      <c r="AN14" s="323"/>
      <c r="AO14" s="323"/>
      <c r="AP14" s="323"/>
      <c r="AQ14" s="323"/>
      <c r="AR14" s="323"/>
      <c r="AS14" s="323"/>
      <c r="AT14" s="323"/>
      <c r="AU14" s="323"/>
      <c r="AV14" s="323"/>
      <c r="AW14" s="323"/>
      <c r="AX14" s="323"/>
    </row>
    <row r="15" spans="1:50">
      <c r="A15" s="22" t="s">
        <v>29</v>
      </c>
      <c r="B15" s="16"/>
      <c r="C15" s="16">
        <v>49</v>
      </c>
      <c r="D15" s="17">
        <f t="shared" si="2"/>
        <v>0</v>
      </c>
      <c r="E15" s="17">
        <f t="shared" si="3"/>
        <v>49</v>
      </c>
      <c r="F15" s="17">
        <f t="shared" si="1"/>
        <v>-49</v>
      </c>
      <c r="G15" s="323"/>
      <c r="H15" s="3">
        <v>-1577.1</v>
      </c>
      <c r="I15" s="323"/>
      <c r="L15" s="12"/>
      <c r="M15" s="12"/>
      <c r="N15" s="12"/>
      <c r="O15" s="323"/>
      <c r="P15" s="12"/>
      <c r="Q15" s="323"/>
      <c r="R15" s="323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G15" s="12"/>
      <c r="AH15" s="12"/>
      <c r="AI15" s="12"/>
      <c r="AJ15" s="12"/>
      <c r="AK15" s="12"/>
      <c r="AL15" s="12"/>
      <c r="AM15" s="323"/>
      <c r="AN15" s="323"/>
      <c r="AO15" s="323"/>
      <c r="AP15" s="323"/>
      <c r="AQ15" s="323"/>
      <c r="AR15" s="323"/>
      <c r="AS15" s="323"/>
      <c r="AT15" s="323"/>
      <c r="AU15" s="323"/>
      <c r="AV15" s="323"/>
      <c r="AW15" s="323"/>
      <c r="AX15" s="323"/>
    </row>
    <row r="16" spans="1:50">
      <c r="A16" s="22" t="s">
        <v>235</v>
      </c>
      <c r="B16" s="16"/>
      <c r="C16" s="16">
        <v>0</v>
      </c>
      <c r="D16" s="17">
        <f t="shared" si="2"/>
        <v>0</v>
      </c>
      <c r="E16" s="30">
        <f t="shared" si="3"/>
        <v>0</v>
      </c>
      <c r="F16" s="17">
        <f t="shared" si="1"/>
        <v>0</v>
      </c>
      <c r="G16" s="323"/>
      <c r="H16" s="3">
        <f>H15+H14</f>
        <v>-948.09999999999991</v>
      </c>
      <c r="I16" s="323"/>
      <c r="L16" s="12"/>
      <c r="M16" s="12"/>
      <c r="N16" s="12"/>
      <c r="O16" s="323"/>
      <c r="P16" s="12"/>
      <c r="Q16" s="323"/>
      <c r="R16" s="323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G16" s="12"/>
      <c r="AH16" s="12"/>
      <c r="AI16" s="12"/>
      <c r="AJ16" s="12"/>
      <c r="AK16" s="12"/>
      <c r="AL16" s="12"/>
      <c r="AM16" s="323"/>
      <c r="AN16" s="323"/>
      <c r="AO16" s="323"/>
      <c r="AP16" s="323"/>
      <c r="AQ16" s="323"/>
      <c r="AR16" s="323"/>
      <c r="AS16" s="323"/>
      <c r="AT16" s="323"/>
      <c r="AU16" s="323"/>
      <c r="AV16" s="323"/>
      <c r="AW16" s="323"/>
      <c r="AX16" s="323"/>
    </row>
    <row r="17" spans="1:77">
      <c r="A17" s="22" t="s">
        <v>36</v>
      </c>
      <c r="B17" s="16"/>
      <c r="C17" s="16"/>
      <c r="D17" s="16">
        <v>0</v>
      </c>
      <c r="E17" s="17">
        <f t="shared" si="3"/>
        <v>0</v>
      </c>
      <c r="F17" s="16">
        <f>B17-E17</f>
        <v>0</v>
      </c>
      <c r="G17" s="323"/>
      <c r="H17" s="3"/>
      <c r="I17" s="323"/>
      <c r="L17" s="12"/>
      <c r="M17" s="12"/>
      <c r="N17" s="12"/>
      <c r="O17" s="323"/>
      <c r="P17" s="12"/>
      <c r="Q17" s="323"/>
      <c r="R17" s="323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G17" s="12"/>
      <c r="AH17" s="12"/>
      <c r="AI17" s="12"/>
      <c r="AJ17" s="12"/>
      <c r="AK17" s="12"/>
      <c r="AL17" s="12"/>
      <c r="AM17" s="323"/>
      <c r="AN17" s="323"/>
      <c r="AO17" s="323"/>
      <c r="AP17" s="323"/>
      <c r="AQ17" s="323"/>
      <c r="AR17" s="323"/>
      <c r="AS17" s="323"/>
      <c r="AT17" s="323"/>
      <c r="AU17" s="323"/>
      <c r="AV17" s="323"/>
      <c r="AW17" s="323"/>
      <c r="AX17" s="323"/>
      <c r="AY17" s="323"/>
      <c r="AZ17" s="323"/>
      <c r="BA17" s="323"/>
      <c r="BB17" s="323"/>
      <c r="BC17" s="323"/>
      <c r="BD17" s="323"/>
      <c r="BE17" s="323"/>
      <c r="BF17" s="323"/>
      <c r="BG17" s="323"/>
      <c r="BH17" s="323"/>
      <c r="BI17" s="323"/>
      <c r="BJ17" s="323"/>
      <c r="BK17" s="323"/>
      <c r="BL17" s="323"/>
      <c r="BM17" s="323"/>
      <c r="BN17" s="323"/>
      <c r="BO17" s="323"/>
      <c r="BP17" s="323"/>
      <c r="BQ17" s="323"/>
      <c r="BR17" s="323"/>
      <c r="BS17" s="323"/>
      <c r="BT17" s="323"/>
      <c r="BU17" s="323"/>
      <c r="BV17" s="323"/>
      <c r="BW17" s="323"/>
      <c r="BX17" s="323"/>
      <c r="BY17" s="323"/>
    </row>
    <row r="18" spans="1:77">
      <c r="A18" s="22" t="s">
        <v>236</v>
      </c>
      <c r="B18" s="16"/>
      <c r="C18" s="16"/>
      <c r="D18" s="16"/>
      <c r="E18" s="17"/>
      <c r="F18" s="16"/>
      <c r="G18" s="323"/>
      <c r="H18" s="3"/>
      <c r="I18" s="323"/>
      <c r="L18" s="12"/>
      <c r="M18" s="12"/>
      <c r="N18" s="12"/>
      <c r="O18" s="323"/>
      <c r="P18" s="12"/>
      <c r="Q18" s="323"/>
      <c r="R18" s="323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G18" s="12"/>
      <c r="AH18" s="12"/>
      <c r="AI18" s="12"/>
      <c r="AJ18" s="12"/>
      <c r="AK18" s="12"/>
      <c r="AL18" s="12"/>
      <c r="AM18" s="323"/>
      <c r="AN18" s="323"/>
      <c r="AO18" s="323"/>
      <c r="AP18" s="323"/>
      <c r="AQ18" s="323"/>
      <c r="AR18" s="323"/>
      <c r="AS18" s="323"/>
      <c r="AT18" s="323"/>
      <c r="AU18" s="323"/>
      <c r="AV18" s="323"/>
      <c r="AW18" s="323"/>
      <c r="AX18" s="323"/>
      <c r="AY18" s="323"/>
      <c r="AZ18" s="323"/>
      <c r="BA18" s="323"/>
      <c r="BB18" s="323"/>
      <c r="BC18" s="323"/>
      <c r="BD18" s="323"/>
      <c r="BE18" s="323"/>
      <c r="BF18" s="323"/>
      <c r="BG18" s="323"/>
      <c r="BH18" s="323"/>
      <c r="BI18" s="323"/>
      <c r="BJ18" s="323"/>
      <c r="BK18" s="323"/>
      <c r="BL18" s="323"/>
      <c r="BM18" s="323"/>
      <c r="BN18" s="323"/>
      <c r="BO18" s="323"/>
      <c r="BP18" s="323"/>
      <c r="BQ18" s="323"/>
      <c r="BR18" s="323"/>
      <c r="BS18" s="323"/>
      <c r="BT18" s="323"/>
      <c r="BU18" s="323"/>
      <c r="BV18" s="323"/>
      <c r="BW18" s="323"/>
      <c r="BX18" s="323"/>
      <c r="BY18" s="323"/>
    </row>
    <row r="19" spans="1:77">
      <c r="A19" s="22" t="s">
        <v>237</v>
      </c>
      <c r="B19" s="16">
        <v>210</v>
      </c>
      <c r="C19" s="16"/>
      <c r="D19" s="16"/>
      <c r="E19" s="17"/>
      <c r="F19" s="16"/>
      <c r="G19" s="323"/>
      <c r="H19" s="3"/>
      <c r="I19" s="323"/>
      <c r="L19" s="12"/>
      <c r="M19" s="12"/>
      <c r="N19" s="12"/>
      <c r="O19" s="323"/>
      <c r="P19" s="12"/>
      <c r="Q19" s="323"/>
      <c r="R19" s="323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G19" s="12"/>
      <c r="AH19" s="12"/>
      <c r="AI19" s="12"/>
      <c r="AJ19" s="12"/>
      <c r="AK19" s="12"/>
      <c r="AL19" s="12"/>
      <c r="AM19" s="323"/>
      <c r="AN19" s="323"/>
      <c r="AO19" s="323"/>
      <c r="AP19" s="323"/>
      <c r="AQ19" s="323"/>
      <c r="AR19" s="323"/>
      <c r="AS19" s="323"/>
      <c r="AT19" s="323"/>
      <c r="AU19" s="323"/>
      <c r="AV19" s="323"/>
      <c r="AW19" s="323"/>
      <c r="AX19" s="323"/>
      <c r="AY19" s="323"/>
      <c r="AZ19" s="323"/>
      <c r="BA19" s="323"/>
      <c r="BB19" s="323"/>
      <c r="BC19" s="323"/>
      <c r="BD19" s="323"/>
      <c r="BE19" s="323"/>
      <c r="BF19" s="323"/>
      <c r="BG19" s="323"/>
      <c r="BH19" s="323"/>
      <c r="BI19" s="323"/>
      <c r="BJ19" s="323"/>
      <c r="BK19" s="323"/>
      <c r="BL19" s="323"/>
      <c r="BM19" s="323"/>
      <c r="BN19" s="323"/>
      <c r="BO19" s="323"/>
      <c r="BP19" s="323"/>
      <c r="BQ19" s="323"/>
      <c r="BR19" s="323"/>
      <c r="BS19" s="323"/>
      <c r="BT19" s="323"/>
      <c r="BU19" s="323"/>
      <c r="BV19" s="323"/>
      <c r="BW19" s="323"/>
      <c r="BX19" s="323"/>
      <c r="BY19" s="323"/>
    </row>
    <row r="20" spans="1:77">
      <c r="A20" s="22" t="s">
        <v>238</v>
      </c>
      <c r="B20" s="16"/>
      <c r="C20" s="16"/>
      <c r="D20" s="16"/>
      <c r="E20" s="17"/>
      <c r="F20" s="16"/>
      <c r="G20" s="323"/>
      <c r="H20" s="3"/>
      <c r="I20" s="323"/>
      <c r="L20" s="12"/>
      <c r="M20" s="12"/>
      <c r="N20" s="12"/>
      <c r="O20" s="323"/>
      <c r="P20" s="12"/>
      <c r="Q20" s="323"/>
      <c r="R20" s="323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G20" s="12"/>
      <c r="AH20" s="12"/>
      <c r="AI20" s="12"/>
      <c r="AJ20" s="12"/>
      <c r="AK20" s="12"/>
      <c r="AL20" s="12"/>
      <c r="AM20" s="323"/>
      <c r="AN20" s="323"/>
      <c r="AO20" s="323"/>
      <c r="AP20" s="323"/>
      <c r="AQ20" s="323"/>
      <c r="AR20" s="323"/>
      <c r="AS20" s="323"/>
      <c r="AT20" s="323"/>
      <c r="AU20" s="323"/>
      <c r="AV20" s="323"/>
      <c r="AW20" s="323"/>
      <c r="AX20" s="323"/>
      <c r="AY20" s="323"/>
      <c r="AZ20" s="323"/>
      <c r="BA20" s="323"/>
      <c r="BB20" s="323"/>
      <c r="BC20" s="323"/>
      <c r="BD20" s="323"/>
      <c r="BE20" s="323"/>
      <c r="BF20" s="323"/>
      <c r="BG20" s="323"/>
      <c r="BH20" s="323"/>
      <c r="BI20" s="323"/>
      <c r="BJ20" s="323"/>
      <c r="BK20" s="323"/>
      <c r="BL20" s="323"/>
      <c r="BM20" s="323"/>
      <c r="BN20" s="323"/>
      <c r="BO20" s="323"/>
      <c r="BP20" s="323"/>
      <c r="BQ20" s="323"/>
      <c r="BR20" s="323"/>
      <c r="BS20" s="323"/>
      <c r="BT20" s="323"/>
      <c r="BU20" s="323"/>
      <c r="BV20" s="323"/>
      <c r="BW20" s="323"/>
      <c r="BX20" s="323"/>
      <c r="BY20" s="323"/>
    </row>
    <row r="21" spans="1:77">
      <c r="A21" s="22" t="s">
        <v>239</v>
      </c>
      <c r="B21" s="16"/>
      <c r="C21" s="16"/>
      <c r="D21" s="16"/>
      <c r="E21" s="17"/>
      <c r="F21" s="16"/>
      <c r="G21" s="323"/>
      <c r="H21" s="3"/>
      <c r="I21" s="323"/>
      <c r="L21" s="12"/>
      <c r="M21" s="12"/>
      <c r="N21" s="12"/>
      <c r="O21" s="323"/>
      <c r="P21" s="12"/>
      <c r="Q21" s="323"/>
      <c r="R21" s="323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G21" s="12"/>
      <c r="AH21" s="12"/>
      <c r="AI21" s="12"/>
      <c r="AJ21" s="12"/>
      <c r="AK21" s="12"/>
      <c r="AL21" s="12"/>
      <c r="AM21" s="323"/>
      <c r="AN21" s="323"/>
      <c r="AO21" s="323"/>
      <c r="AP21" s="323"/>
      <c r="AQ21" s="323"/>
      <c r="AR21" s="323"/>
      <c r="AS21" s="323"/>
      <c r="AT21" s="323"/>
      <c r="AU21" s="323"/>
      <c r="AV21" s="323"/>
      <c r="AW21" s="323"/>
      <c r="AX21" s="323"/>
      <c r="AY21" s="323"/>
      <c r="AZ21" s="323"/>
      <c r="BA21" s="323"/>
      <c r="BB21" s="323"/>
      <c r="BC21" s="323"/>
      <c r="BD21" s="323"/>
      <c r="BE21" s="323"/>
      <c r="BF21" s="323"/>
      <c r="BG21" s="323"/>
      <c r="BH21" s="323"/>
      <c r="BI21" s="323"/>
      <c r="BJ21" s="323"/>
      <c r="BK21" s="323"/>
      <c r="BL21" s="323"/>
      <c r="BM21" s="323"/>
      <c r="BN21" s="323"/>
      <c r="BO21" s="323"/>
      <c r="BP21" s="323"/>
      <c r="BQ21" s="323"/>
      <c r="BR21" s="323"/>
      <c r="BS21" s="323"/>
      <c r="BT21" s="323"/>
      <c r="BU21" s="323"/>
      <c r="BV21" s="323"/>
      <c r="BW21" s="323"/>
      <c r="BX21" s="323"/>
      <c r="BY21" s="323"/>
    </row>
    <row r="22" spans="1:77">
      <c r="A22" s="22" t="s">
        <v>37</v>
      </c>
      <c r="B22" s="16"/>
      <c r="C22" s="16"/>
      <c r="D22" s="16"/>
      <c r="E22" s="17"/>
      <c r="F22" s="16"/>
      <c r="G22" s="323"/>
      <c r="H22" s="3"/>
      <c r="I22" s="323"/>
      <c r="L22" s="12"/>
      <c r="M22" s="12"/>
      <c r="N22" s="12"/>
      <c r="O22" s="323"/>
      <c r="P22" s="12"/>
      <c r="Q22" s="323"/>
      <c r="R22" s="323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G22" s="12"/>
      <c r="AH22" s="12"/>
      <c r="AI22" s="12"/>
      <c r="AJ22" s="12"/>
      <c r="AK22" s="12"/>
      <c r="AL22" s="12"/>
      <c r="AM22" s="323"/>
      <c r="AN22" s="323"/>
      <c r="AO22" s="323"/>
      <c r="AP22" s="323"/>
      <c r="AQ22" s="323"/>
      <c r="AR22" s="323"/>
      <c r="AS22" s="323"/>
      <c r="AT22" s="323"/>
      <c r="AU22" s="323"/>
      <c r="AV22" s="323"/>
      <c r="AW22" s="323"/>
      <c r="AX22" s="323"/>
      <c r="AY22" s="323"/>
      <c r="AZ22" s="323"/>
      <c r="BA22" s="323"/>
      <c r="BB22" s="323"/>
      <c r="BC22" s="323"/>
      <c r="BD22" s="323"/>
      <c r="BE22" s="323"/>
      <c r="BF22" s="323"/>
      <c r="BG22" s="323"/>
      <c r="BH22" s="323"/>
      <c r="BI22" s="323"/>
      <c r="BJ22" s="323"/>
      <c r="BK22" s="323"/>
      <c r="BL22" s="323"/>
      <c r="BM22" s="323"/>
      <c r="BN22" s="323"/>
      <c r="BO22" s="323"/>
      <c r="BP22" s="323"/>
      <c r="BQ22" s="323"/>
      <c r="BR22" s="323"/>
      <c r="BS22" s="323"/>
      <c r="BT22" s="323"/>
      <c r="BU22" s="323"/>
      <c r="BV22" s="323"/>
      <c r="BW22" s="323"/>
      <c r="BX22" s="323"/>
      <c r="BY22" s="323"/>
    </row>
    <row r="23" spans="1:77">
      <c r="A23" s="22" t="s">
        <v>240</v>
      </c>
      <c r="B23" s="16"/>
      <c r="C23" s="16"/>
      <c r="D23" s="16"/>
      <c r="E23" s="17"/>
      <c r="F23" s="16"/>
      <c r="G23" s="323"/>
      <c r="H23" s="3"/>
      <c r="I23" s="323"/>
      <c r="L23" s="12"/>
      <c r="M23" s="12"/>
      <c r="N23" s="12"/>
      <c r="O23" s="323"/>
      <c r="P23" s="12"/>
      <c r="Q23" s="323"/>
      <c r="R23" s="323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G23" s="12"/>
      <c r="AH23" s="12"/>
      <c r="AI23" s="12"/>
      <c r="AJ23" s="12"/>
      <c r="AK23" s="12"/>
      <c r="AL23" s="12"/>
      <c r="AM23" s="323"/>
      <c r="AN23" s="323"/>
      <c r="AO23" s="323"/>
      <c r="AP23" s="323"/>
      <c r="AQ23" s="323"/>
      <c r="AR23" s="323"/>
      <c r="AS23" s="323"/>
      <c r="AT23" s="323"/>
      <c r="AU23" s="323"/>
      <c r="AV23" s="323"/>
      <c r="AW23" s="323"/>
      <c r="AX23" s="323"/>
      <c r="AY23" s="323"/>
      <c r="AZ23" s="323"/>
      <c r="BA23" s="323"/>
      <c r="BB23" s="323"/>
      <c r="BC23" s="323"/>
      <c r="BD23" s="323"/>
      <c r="BE23" s="323"/>
      <c r="BF23" s="323"/>
      <c r="BG23" s="323"/>
      <c r="BH23" s="323"/>
      <c r="BI23" s="323"/>
      <c r="BJ23" s="323"/>
      <c r="BK23" s="323"/>
      <c r="BL23" s="323"/>
      <c r="BM23" s="323"/>
      <c r="BN23" s="323"/>
      <c r="BO23" s="323"/>
      <c r="BP23" s="323"/>
      <c r="BQ23" s="323"/>
      <c r="BR23" s="323"/>
      <c r="BS23" s="323"/>
      <c r="BT23" s="323"/>
      <c r="BU23" s="323"/>
      <c r="BV23" s="323"/>
      <c r="BW23" s="323"/>
      <c r="BX23" s="323"/>
      <c r="BY23" s="323"/>
    </row>
    <row r="24" spans="1:77">
      <c r="A24" s="22"/>
      <c r="B24" s="16"/>
      <c r="C24" s="16"/>
      <c r="D24" s="16"/>
      <c r="E24" s="17"/>
      <c r="F24" s="16"/>
      <c r="G24" s="323"/>
      <c r="H24" s="3"/>
      <c r="I24" s="323"/>
      <c r="L24" s="12"/>
      <c r="M24" s="12"/>
      <c r="N24" s="12"/>
      <c r="O24" s="323"/>
      <c r="P24" s="12"/>
      <c r="Q24" s="323"/>
      <c r="R24" s="323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G24" s="12"/>
      <c r="AH24" s="12"/>
      <c r="AI24" s="12"/>
      <c r="AJ24" s="12"/>
      <c r="AK24" s="12"/>
      <c r="AL24" s="12"/>
      <c r="AM24" s="323"/>
      <c r="AN24" s="323"/>
      <c r="AO24" s="323"/>
      <c r="AP24" s="323"/>
      <c r="AQ24" s="323"/>
      <c r="AR24" s="323"/>
      <c r="AS24" s="323"/>
      <c r="AT24" s="323"/>
      <c r="AU24" s="323"/>
      <c r="AV24" s="323"/>
      <c r="AW24" s="323"/>
      <c r="AX24" s="323"/>
      <c r="AY24" s="323"/>
      <c r="AZ24" s="323"/>
      <c r="BA24" s="323"/>
      <c r="BB24" s="323"/>
      <c r="BC24" s="323"/>
      <c r="BD24" s="323"/>
      <c r="BE24" s="323"/>
      <c r="BF24" s="323"/>
      <c r="BG24" s="323"/>
      <c r="BH24" s="323"/>
      <c r="BI24" s="323"/>
      <c r="BJ24" s="323"/>
      <c r="BK24" s="323"/>
      <c r="BL24" s="323"/>
      <c r="BM24" s="323"/>
      <c r="BN24" s="323"/>
      <c r="BO24" s="323"/>
      <c r="BP24" s="323"/>
      <c r="BQ24" s="323"/>
      <c r="BR24" s="323"/>
      <c r="BS24" s="323"/>
      <c r="BT24" s="323"/>
      <c r="BU24" s="323"/>
      <c r="BV24" s="323"/>
      <c r="BW24" s="323"/>
      <c r="BX24" s="323"/>
      <c r="BY24" s="323"/>
    </row>
    <row r="25" spans="1:77">
      <c r="A25" s="36"/>
      <c r="B25" s="16"/>
      <c r="C25" s="37"/>
      <c r="D25" s="37"/>
      <c r="E25" s="135"/>
      <c r="F25" s="37"/>
      <c r="G25" s="323"/>
      <c r="H25" s="3"/>
      <c r="I25" s="323"/>
      <c r="L25" s="12"/>
      <c r="M25" s="12"/>
      <c r="N25" s="12"/>
      <c r="O25" s="323"/>
      <c r="P25" s="12"/>
      <c r="Q25" s="323"/>
      <c r="R25" s="323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G25" s="12"/>
      <c r="AH25" s="12"/>
      <c r="AI25" s="12"/>
      <c r="AJ25" s="12"/>
      <c r="AK25" s="12"/>
      <c r="AL25" s="12"/>
      <c r="AM25" s="323"/>
      <c r="AN25" s="323"/>
      <c r="AO25" s="323"/>
      <c r="AP25" s="323"/>
      <c r="AQ25" s="323"/>
      <c r="AR25" s="323"/>
      <c r="AS25" s="323"/>
      <c r="AT25" s="323"/>
      <c r="AU25" s="323"/>
      <c r="AV25" s="323"/>
      <c r="AW25" s="323"/>
      <c r="AX25" s="323"/>
      <c r="AY25" s="323"/>
      <c r="AZ25" s="323"/>
      <c r="BA25" s="323"/>
      <c r="BB25" s="323"/>
      <c r="BC25" s="323"/>
      <c r="BD25" s="323"/>
      <c r="BE25" s="323"/>
      <c r="BF25" s="323"/>
      <c r="BG25" s="323"/>
      <c r="BH25" s="323"/>
      <c r="BI25" s="323"/>
      <c r="BJ25" s="323"/>
      <c r="BK25" s="323"/>
      <c r="BL25" s="323"/>
      <c r="BM25" s="323"/>
      <c r="BN25" s="323"/>
      <c r="BO25" s="323"/>
      <c r="BP25" s="323"/>
      <c r="BQ25" s="323"/>
      <c r="BR25" s="323"/>
      <c r="BS25" s="323"/>
      <c r="BT25" s="323"/>
      <c r="BU25" s="323"/>
      <c r="BV25" s="323"/>
      <c r="BW25" s="323"/>
      <c r="BX25" s="323"/>
      <c r="BY25" s="323"/>
    </row>
    <row r="26" spans="1:77">
      <c r="A26" s="36"/>
      <c r="B26" s="16"/>
      <c r="C26" s="36"/>
      <c r="D26" s="36"/>
      <c r="E26" s="36"/>
      <c r="F26" s="36"/>
      <c r="G26" s="36"/>
      <c r="H26" s="36"/>
      <c r="I26" s="36"/>
      <c r="J26" s="38"/>
      <c r="K26" s="36"/>
      <c r="L26" s="36"/>
      <c r="M26" s="36"/>
      <c r="N26" s="36"/>
      <c r="O26" s="36"/>
      <c r="P26" s="36"/>
      <c r="Q26" s="36"/>
      <c r="R26" s="36"/>
      <c r="S26" s="38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G26" s="12"/>
      <c r="AH26" s="12"/>
      <c r="AI26" s="12"/>
      <c r="AJ26" s="12"/>
      <c r="AK26" s="12"/>
      <c r="AL26" s="12"/>
      <c r="AM26" s="323"/>
      <c r="AN26" s="323"/>
      <c r="AO26" s="323"/>
      <c r="AP26" s="323"/>
      <c r="AQ26" s="323"/>
      <c r="AR26" s="323"/>
      <c r="AS26" s="323"/>
      <c r="AT26" s="323"/>
      <c r="AY26" s="323"/>
      <c r="AZ26" s="323"/>
      <c r="BA26" s="323"/>
      <c r="BB26" s="323"/>
      <c r="BC26" s="323"/>
      <c r="BD26" s="323"/>
      <c r="BE26" s="323"/>
      <c r="BF26" s="323"/>
      <c r="BG26" s="323"/>
      <c r="BH26" s="323"/>
      <c r="BI26" s="323"/>
      <c r="BJ26" s="323"/>
      <c r="BK26" s="323"/>
      <c r="BL26" s="323"/>
      <c r="BM26" s="323"/>
      <c r="BN26" s="323"/>
      <c r="BO26" s="323"/>
      <c r="BP26" s="323"/>
      <c r="BQ26" s="323"/>
      <c r="BR26" s="323"/>
      <c r="BS26" s="323"/>
      <c r="BT26" s="323"/>
      <c r="BU26" s="323"/>
      <c r="BV26" s="323"/>
      <c r="BW26" s="323"/>
      <c r="BX26" s="323"/>
      <c r="BY26" s="323"/>
    </row>
    <row r="27" spans="1:77">
      <c r="A27" s="13"/>
      <c r="B27" s="39"/>
      <c r="C27" s="13"/>
      <c r="D27" s="13"/>
      <c r="E27" s="40"/>
      <c r="F27" s="40"/>
      <c r="G27" s="40"/>
      <c r="H27" s="40"/>
      <c r="I27" s="12"/>
      <c r="J27" s="41"/>
      <c r="K27" s="21"/>
      <c r="L27" s="21"/>
      <c r="M27" s="21"/>
      <c r="N27" s="21"/>
      <c r="O27" s="42"/>
      <c r="P27" s="42"/>
      <c r="Q27" s="21"/>
      <c r="R27" s="12"/>
      <c r="S27" s="43" t="s">
        <v>38</v>
      </c>
      <c r="T27" s="44"/>
      <c r="U27" s="44">
        <v>0.5</v>
      </c>
      <c r="V27" s="45" t="s">
        <v>39</v>
      </c>
      <c r="W27" s="44"/>
      <c r="X27" s="46">
        <f>S8</f>
        <v>0</v>
      </c>
      <c r="Y27" s="44"/>
      <c r="Z27" s="44" t="s">
        <v>40</v>
      </c>
      <c r="AA27" s="47">
        <v>1.78</v>
      </c>
      <c r="AB27" s="44" t="s">
        <v>41</v>
      </c>
      <c r="AC27" s="48">
        <v>7.9</v>
      </c>
      <c r="AD27" s="49">
        <f>+AA27*(AC27*(30.5*24-AF27)+AF27*20)</f>
        <v>10422.612000000001</v>
      </c>
      <c r="AE27" s="49" t="s">
        <v>42</v>
      </c>
      <c r="AF27" s="50">
        <v>6</v>
      </c>
      <c r="AG27" s="44"/>
      <c r="AH27" s="44"/>
      <c r="AI27" s="44"/>
      <c r="AJ27" s="44"/>
      <c r="AK27" s="44"/>
      <c r="AL27" s="44"/>
      <c r="AM27" s="323"/>
      <c r="AN27" s="323"/>
      <c r="AO27" s="323"/>
      <c r="AP27" s="323"/>
      <c r="AQ27" s="323"/>
      <c r="AR27" s="323"/>
      <c r="AS27" s="323"/>
      <c r="AT27" s="323"/>
      <c r="AY27" s="323"/>
      <c r="AZ27" s="323"/>
      <c r="BA27" s="323"/>
      <c r="BB27" s="323"/>
      <c r="BC27" s="323"/>
      <c r="BD27" s="323"/>
      <c r="BE27" s="323"/>
      <c r="BF27" s="323"/>
      <c r="BG27" s="323"/>
      <c r="BH27" s="323"/>
      <c r="BI27" s="323"/>
      <c r="BJ27" s="323"/>
      <c r="BK27" s="323"/>
      <c r="BL27" s="323"/>
      <c r="BM27" s="323"/>
      <c r="BN27" s="323"/>
      <c r="BO27" s="323"/>
      <c r="BP27" s="323"/>
      <c r="BQ27" s="323"/>
      <c r="BR27" s="323"/>
      <c r="BS27" s="323"/>
      <c r="BT27" s="323"/>
      <c r="BU27" s="323"/>
      <c r="BV27" s="323"/>
      <c r="BW27" s="323"/>
      <c r="BX27" s="323"/>
      <c r="BY27" s="323"/>
    </row>
    <row r="28" spans="1:77" ht="13.5" customHeight="1">
      <c r="A28" s="13"/>
      <c r="B28" s="51"/>
      <c r="C28" s="343" t="s">
        <v>43</v>
      </c>
      <c r="D28" s="343"/>
      <c r="E28" s="344" t="s">
        <v>44</v>
      </c>
      <c r="F28" s="344"/>
      <c r="G28" s="344"/>
      <c r="H28" s="344"/>
      <c r="I28" s="344"/>
      <c r="J28" s="344"/>
      <c r="K28" s="344"/>
      <c r="L28" s="344"/>
      <c r="M28" s="344"/>
      <c r="N28" s="325"/>
      <c r="O28" s="345" t="s">
        <v>45</v>
      </c>
      <c r="P28" s="345"/>
      <c r="Q28" s="345"/>
      <c r="R28" s="345"/>
      <c r="S28" s="345"/>
      <c r="T28" s="345"/>
      <c r="U28" s="345"/>
      <c r="V28" s="345"/>
      <c r="W28" s="345"/>
      <c r="X28" s="345"/>
      <c r="Y28" s="345"/>
      <c r="Z28" s="334" t="s">
        <v>46</v>
      </c>
      <c r="AA28" s="334"/>
      <c r="AB28" s="334"/>
      <c r="AC28" s="334"/>
      <c r="AD28" s="334"/>
      <c r="AE28" s="335" t="s">
        <v>47</v>
      </c>
      <c r="AF28" s="335"/>
      <c r="AG28" s="335"/>
      <c r="AH28" s="335"/>
      <c r="AI28" s="335"/>
      <c r="AJ28" s="335"/>
      <c r="AK28" s="335"/>
      <c r="AL28" s="335"/>
      <c r="AM28" s="336" t="s">
        <v>48</v>
      </c>
      <c r="AN28" s="336"/>
      <c r="AO28" s="336"/>
      <c r="AP28" s="336"/>
      <c r="AQ28" s="336"/>
      <c r="AR28" s="336"/>
      <c r="AS28" s="336"/>
      <c r="AT28" s="336"/>
      <c r="AU28" s="337" t="s">
        <v>49</v>
      </c>
      <c r="AV28" s="337"/>
      <c r="AW28" s="337"/>
      <c r="AX28" s="337"/>
      <c r="AY28" s="323"/>
      <c r="AZ28" s="323"/>
      <c r="BA28" s="323"/>
      <c r="BB28" s="323"/>
      <c r="BC28" s="323"/>
      <c r="BD28" s="323"/>
      <c r="BE28" s="323"/>
      <c r="BF28" s="323"/>
      <c r="BG28" s="323"/>
      <c r="BH28" s="323"/>
      <c r="BI28" s="323"/>
      <c r="BJ28" s="323"/>
      <c r="BK28" s="323"/>
      <c r="BL28" s="323"/>
      <c r="BM28" s="323"/>
      <c r="BN28" s="323"/>
      <c r="BO28" s="323"/>
      <c r="BP28" s="323"/>
      <c r="BQ28" s="323"/>
      <c r="BR28" s="323"/>
      <c r="BS28" s="323"/>
      <c r="BT28" s="323"/>
      <c r="BU28" s="323"/>
      <c r="BV28" s="323"/>
      <c r="BW28" s="323"/>
      <c r="BX28" s="323"/>
      <c r="BY28" s="323"/>
    </row>
    <row r="29" spans="1:77" ht="42.75" customHeight="1">
      <c r="A29" s="8" t="s">
        <v>50</v>
      </c>
      <c r="B29" s="8" t="s">
        <v>51</v>
      </c>
      <c r="C29" s="52" t="s">
        <v>52</v>
      </c>
      <c r="D29" s="52" t="s">
        <v>53</v>
      </c>
      <c r="E29" s="52" t="s">
        <v>54</v>
      </c>
      <c r="F29" s="52" t="s">
        <v>55</v>
      </c>
      <c r="G29" s="53" t="s">
        <v>56</v>
      </c>
      <c r="H29" s="54" t="s">
        <v>57</v>
      </c>
      <c r="I29" s="8" t="s">
        <v>58</v>
      </c>
      <c r="J29" s="55" t="s">
        <v>59</v>
      </c>
      <c r="K29" s="54" t="s">
        <v>60</v>
      </c>
      <c r="L29" s="52" t="s">
        <v>61</v>
      </c>
      <c r="M29" s="54" t="s">
        <v>62</v>
      </c>
      <c r="N29" s="56" t="s">
        <v>63</v>
      </c>
      <c r="O29" s="57" t="s">
        <v>64</v>
      </c>
      <c r="P29" s="53" t="s">
        <v>56</v>
      </c>
      <c r="Q29" s="58" t="s">
        <v>65</v>
      </c>
      <c r="R29" s="53" t="s">
        <v>66</v>
      </c>
      <c r="S29" s="59" t="s">
        <v>67</v>
      </c>
      <c r="T29" s="54" t="s">
        <v>68</v>
      </c>
      <c r="U29" s="53" t="s">
        <v>69</v>
      </c>
      <c r="V29" s="58" t="s">
        <v>70</v>
      </c>
      <c r="W29" s="53" t="s">
        <v>71</v>
      </c>
      <c r="X29" s="53" t="s">
        <v>72</v>
      </c>
      <c r="Y29" s="53" t="s">
        <v>73</v>
      </c>
      <c r="Z29" s="58" t="s">
        <v>74</v>
      </c>
      <c r="AA29" s="60" t="s">
        <v>75</v>
      </c>
      <c r="AB29" s="61" t="s">
        <v>76</v>
      </c>
      <c r="AC29" s="62" t="s">
        <v>77</v>
      </c>
      <c r="AD29" s="63" t="s">
        <v>78</v>
      </c>
      <c r="AE29" s="64" t="s">
        <v>64</v>
      </c>
      <c r="AF29" s="63" t="s">
        <v>56</v>
      </c>
      <c r="AG29" s="54" t="s">
        <v>57</v>
      </c>
      <c r="AH29" s="8" t="s">
        <v>58</v>
      </c>
      <c r="AI29" s="54" t="s">
        <v>79</v>
      </c>
      <c r="AJ29" s="54" t="s">
        <v>60</v>
      </c>
      <c r="AK29" s="54" t="s">
        <v>68</v>
      </c>
      <c r="AL29" s="54" t="s">
        <v>80</v>
      </c>
      <c r="AM29" s="62" t="s">
        <v>81</v>
      </c>
      <c r="AN29" s="62" t="s">
        <v>82</v>
      </c>
      <c r="AO29" s="61" t="s">
        <v>83</v>
      </c>
      <c r="AP29" s="62" t="s">
        <v>47</v>
      </c>
      <c r="AQ29" s="62" t="s">
        <v>84</v>
      </c>
      <c r="AR29" s="62" t="s">
        <v>85</v>
      </c>
      <c r="AS29" s="65" t="s">
        <v>63</v>
      </c>
      <c r="AT29" s="62" t="s">
        <v>86</v>
      </c>
      <c r="AU29" s="66" t="s">
        <v>87</v>
      </c>
      <c r="AV29" s="67" t="s">
        <v>88</v>
      </c>
      <c r="AW29" s="67" t="s">
        <v>89</v>
      </c>
      <c r="AX29" s="67" t="s">
        <v>90</v>
      </c>
      <c r="AY29" s="60" t="s">
        <v>91</v>
      </c>
      <c r="AZ29" s="323"/>
      <c r="BA29" s="68" t="s">
        <v>92</v>
      </c>
      <c r="BB29" s="68" t="s">
        <v>93</v>
      </c>
      <c r="BC29" s="68" t="s">
        <v>94</v>
      </c>
      <c r="BD29" s="68" t="s">
        <v>95</v>
      </c>
      <c r="BE29" s="68" t="s">
        <v>96</v>
      </c>
      <c r="BF29" s="69"/>
      <c r="BG29" s="68" t="s">
        <v>97</v>
      </c>
      <c r="BH29" s="68" t="s">
        <v>98</v>
      </c>
      <c r="BI29" s="68" t="s">
        <v>99</v>
      </c>
      <c r="BJ29" s="68" t="s">
        <v>100</v>
      </c>
      <c r="BK29" s="68" t="s">
        <v>101</v>
      </c>
      <c r="BL29" s="68" t="s">
        <v>102</v>
      </c>
      <c r="BM29" s="68" t="s">
        <v>103</v>
      </c>
      <c r="BN29" s="68" t="s">
        <v>104</v>
      </c>
      <c r="BO29" s="68" t="s">
        <v>105</v>
      </c>
      <c r="BP29" s="68" t="s">
        <v>106</v>
      </c>
      <c r="BQ29" s="68" t="s">
        <v>107</v>
      </c>
      <c r="BR29" s="69" t="s">
        <v>108</v>
      </c>
      <c r="BS29" s="69"/>
      <c r="BT29" s="68" t="s">
        <v>106</v>
      </c>
      <c r="BU29" s="68" t="s">
        <v>105</v>
      </c>
      <c r="BV29" s="68" t="s">
        <v>109</v>
      </c>
      <c r="BW29" s="68" t="s">
        <v>110</v>
      </c>
      <c r="BX29" s="68" t="s">
        <v>111</v>
      </c>
      <c r="BY29" s="68" t="s">
        <v>112</v>
      </c>
    </row>
    <row r="30" spans="1:77" ht="14.45">
      <c r="A30" s="70" t="s">
        <v>241</v>
      </c>
      <c r="B30" s="148" t="s">
        <v>242</v>
      </c>
      <c r="C30" s="71" t="s">
        <v>124</v>
      </c>
      <c r="D30" s="72" t="s">
        <v>116</v>
      </c>
      <c r="E30" s="71" t="s">
        <v>117</v>
      </c>
      <c r="F30" s="71" t="s">
        <v>131</v>
      </c>
      <c r="G30" s="16" t="str">
        <f t="shared" ref="G30:G36" si="4">IF(E30="Rack","No of Racks",(IF(E30="Space","Sq Ft","U Space")))</f>
        <v>No of Racks</v>
      </c>
      <c r="H30" s="142">
        <v>228</v>
      </c>
      <c r="I30" s="142">
        <v>185</v>
      </c>
      <c r="J30" s="143">
        <f>H30-I30</f>
        <v>43</v>
      </c>
      <c r="K30" s="71"/>
      <c r="L30" s="71">
        <v>0</v>
      </c>
      <c r="M30" s="73"/>
      <c r="N30" s="80"/>
      <c r="O30" s="74"/>
      <c r="P30" s="71" t="s">
        <v>108</v>
      </c>
      <c r="Q30" s="71">
        <v>1600</v>
      </c>
      <c r="R30" s="75">
        <v>1244.42</v>
      </c>
      <c r="S30" s="76">
        <f t="shared" ref="S30:S39" si="5">Q30-R30</f>
        <v>355.57999999999993</v>
      </c>
      <c r="T30" s="77"/>
      <c r="U30" s="77"/>
      <c r="V30" s="77"/>
      <c r="W30" s="79"/>
      <c r="X30" s="77"/>
      <c r="Y30" s="80"/>
      <c r="Z30" s="81"/>
      <c r="AA30" s="77"/>
      <c r="AB30" s="77"/>
      <c r="AC30" s="82"/>
      <c r="AD30" s="136">
        <v>928559.5</v>
      </c>
      <c r="AE30" s="92"/>
      <c r="AF30" s="22"/>
      <c r="AG30" s="77"/>
      <c r="AH30" s="77"/>
      <c r="AI30" s="77"/>
      <c r="AJ30" s="77"/>
      <c r="AK30" s="77"/>
      <c r="AL30" s="73"/>
      <c r="AM30" s="83"/>
      <c r="AN30" s="83"/>
      <c r="AO30" s="83"/>
      <c r="AP30" s="83"/>
      <c r="AQ30" s="84"/>
      <c r="AR30" s="85"/>
      <c r="AS30" s="85"/>
      <c r="AT30" s="85"/>
      <c r="AU30" s="87"/>
      <c r="AV30" s="88"/>
      <c r="AW30" s="89"/>
      <c r="AX30" s="88"/>
      <c r="AY30" s="69"/>
      <c r="AZ30" s="323"/>
      <c r="BA30" s="84"/>
      <c r="BB30" s="84"/>
      <c r="BC30" s="84"/>
      <c r="BD30" s="84"/>
      <c r="BE30" s="84"/>
      <c r="BF30" s="84"/>
      <c r="BG30" s="93"/>
      <c r="BH30" s="93"/>
      <c r="BI30" s="93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/>
      <c r="BU30" s="91"/>
      <c r="BV30" s="91"/>
      <c r="BW30" s="91"/>
      <c r="BX30" s="91"/>
      <c r="BY30" s="91"/>
    </row>
    <row r="31" spans="1:77" ht="14.45">
      <c r="A31" s="70" t="s">
        <v>243</v>
      </c>
      <c r="B31" s="148" t="s">
        <v>242</v>
      </c>
      <c r="C31" s="71" t="s">
        <v>124</v>
      </c>
      <c r="D31" s="72" t="s">
        <v>116</v>
      </c>
      <c r="E31" s="71" t="s">
        <v>117</v>
      </c>
      <c r="F31" s="71" t="s">
        <v>131</v>
      </c>
      <c r="G31" s="16" t="str">
        <f t="shared" si="4"/>
        <v>No of Racks</v>
      </c>
      <c r="H31" s="142">
        <v>228</v>
      </c>
      <c r="I31" s="142">
        <v>157</v>
      </c>
      <c r="J31" s="143">
        <f t="shared" ref="J31:J39" si="6">H31-I31</f>
        <v>71</v>
      </c>
      <c r="K31" s="71"/>
      <c r="L31" s="71">
        <v>0</v>
      </c>
      <c r="M31" s="73"/>
      <c r="N31" s="80"/>
      <c r="O31" s="74"/>
      <c r="P31" s="71" t="s">
        <v>108</v>
      </c>
      <c r="Q31" s="71">
        <v>1600</v>
      </c>
      <c r="R31" s="75">
        <v>717.25</v>
      </c>
      <c r="S31" s="76">
        <f t="shared" si="5"/>
        <v>882.75</v>
      </c>
      <c r="T31" s="77"/>
      <c r="U31" s="77"/>
      <c r="V31" s="77"/>
      <c r="W31" s="79"/>
      <c r="X31" s="77"/>
      <c r="Y31" s="80"/>
      <c r="Z31" s="81"/>
      <c r="AA31" s="77"/>
      <c r="AB31" s="77"/>
      <c r="AC31" s="82"/>
      <c r="AD31" s="136">
        <v>530386.68999999994</v>
      </c>
      <c r="AE31" s="92"/>
      <c r="AF31" s="22"/>
      <c r="AG31" s="77"/>
      <c r="AH31" s="77"/>
      <c r="AI31" s="77"/>
      <c r="AJ31" s="77"/>
      <c r="AK31" s="77"/>
      <c r="AL31" s="73"/>
      <c r="AM31" s="83"/>
      <c r="AN31" s="83"/>
      <c r="AO31" s="83"/>
      <c r="AP31" s="83"/>
      <c r="AQ31" s="84"/>
      <c r="AR31" s="85"/>
      <c r="AS31" s="85"/>
      <c r="AT31" s="85"/>
      <c r="AU31" s="87"/>
      <c r="AV31" s="88"/>
      <c r="AW31" s="89"/>
      <c r="AX31" s="88"/>
      <c r="AY31" s="69"/>
      <c r="AZ31" s="323"/>
      <c r="BA31" s="84"/>
      <c r="BB31" s="84"/>
      <c r="BC31" s="84"/>
      <c r="BD31" s="84"/>
      <c r="BE31" s="84"/>
      <c r="BF31" s="84"/>
      <c r="BG31" s="93"/>
      <c r="BH31" s="93"/>
      <c r="BI31" s="93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/>
      <c r="BU31" s="91"/>
      <c r="BV31" s="91"/>
      <c r="BW31" s="91"/>
      <c r="BX31" s="91"/>
      <c r="BY31" s="91"/>
    </row>
    <row r="32" spans="1:77" ht="14.45">
      <c r="A32" s="70" t="s">
        <v>244</v>
      </c>
      <c r="B32" s="148" t="s">
        <v>245</v>
      </c>
      <c r="C32" s="71" t="s">
        <v>124</v>
      </c>
      <c r="D32" s="72" t="s">
        <v>116</v>
      </c>
      <c r="E32" s="71" t="s">
        <v>117</v>
      </c>
      <c r="F32" s="71" t="s">
        <v>131</v>
      </c>
      <c r="G32" s="16" t="str">
        <f t="shared" si="4"/>
        <v>No of Racks</v>
      </c>
      <c r="H32" s="144">
        <v>50</v>
      </c>
      <c r="I32" s="142">
        <v>49</v>
      </c>
      <c r="J32" s="143">
        <f t="shared" si="6"/>
        <v>1</v>
      </c>
      <c r="K32" s="71"/>
      <c r="L32" s="71">
        <v>0</v>
      </c>
      <c r="M32" s="73"/>
      <c r="N32" s="145"/>
      <c r="O32" s="74"/>
      <c r="P32" s="71" t="s">
        <v>125</v>
      </c>
      <c r="Q32" s="71">
        <v>450</v>
      </c>
      <c r="R32" s="75">
        <v>500.81</v>
      </c>
      <c r="S32" s="76">
        <f t="shared" si="5"/>
        <v>-50.81</v>
      </c>
      <c r="T32" s="77"/>
      <c r="U32" s="77"/>
      <c r="V32" s="77"/>
      <c r="W32" s="79"/>
      <c r="X32" s="77"/>
      <c r="Y32" s="80"/>
      <c r="Z32" s="81"/>
      <c r="AA32" s="77"/>
      <c r="AB32" s="77"/>
      <c r="AC32" s="82"/>
      <c r="AD32" s="136">
        <v>171130</v>
      </c>
      <c r="AE32" s="92"/>
      <c r="AF32" s="22"/>
      <c r="AG32" s="77"/>
      <c r="AH32" s="77"/>
      <c r="AI32" s="77"/>
      <c r="AJ32" s="77"/>
      <c r="AK32" s="77"/>
      <c r="AL32" s="73"/>
      <c r="AM32" s="83"/>
      <c r="AN32" s="83"/>
      <c r="AO32" s="83"/>
      <c r="AP32" s="83"/>
      <c r="AQ32" s="84"/>
      <c r="AR32" s="85"/>
      <c r="AS32" s="85"/>
      <c r="AT32" s="85"/>
      <c r="AU32" s="87"/>
      <c r="AV32" s="88"/>
      <c r="AW32" s="89"/>
      <c r="AX32" s="88"/>
      <c r="AY32" s="69"/>
      <c r="AZ32" s="323"/>
      <c r="BA32" s="84"/>
      <c r="BB32" s="84"/>
      <c r="BC32" s="84"/>
      <c r="BD32" s="84"/>
      <c r="BE32" s="84"/>
      <c r="BF32" s="84"/>
      <c r="BG32" s="93"/>
      <c r="BH32" s="93"/>
      <c r="BI32" s="93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U32" s="91"/>
      <c r="BV32" s="91"/>
      <c r="BW32" s="91"/>
      <c r="BX32" s="91"/>
      <c r="BY32" s="91"/>
    </row>
    <row r="33" spans="1:77" ht="14.45">
      <c r="A33" s="70" t="s">
        <v>244</v>
      </c>
      <c r="B33" s="148" t="s">
        <v>246</v>
      </c>
      <c r="C33" s="71" t="s">
        <v>124</v>
      </c>
      <c r="D33" s="72" t="s">
        <v>116</v>
      </c>
      <c r="E33" s="71" t="s">
        <v>117</v>
      </c>
      <c r="F33" s="71" t="s">
        <v>131</v>
      </c>
      <c r="G33" s="16" t="str">
        <f t="shared" si="4"/>
        <v>No of Racks</v>
      </c>
      <c r="H33" s="144">
        <v>160</v>
      </c>
      <c r="I33" s="142">
        <v>149</v>
      </c>
      <c r="J33" s="143">
        <f t="shared" si="6"/>
        <v>11</v>
      </c>
      <c r="K33" s="71"/>
      <c r="L33" s="71">
        <v>0</v>
      </c>
      <c r="M33" s="73"/>
      <c r="N33" s="145"/>
      <c r="O33" s="74"/>
      <c r="P33" s="71" t="s">
        <v>125</v>
      </c>
      <c r="Q33" s="71">
        <v>607</v>
      </c>
      <c r="R33" s="75">
        <f t="shared" ref="R33:R36" si="7">AD33/(24*30)</f>
        <v>555.37083333333328</v>
      </c>
      <c r="S33" s="76">
        <f t="shared" si="5"/>
        <v>51.62916666666672</v>
      </c>
      <c r="T33" s="77"/>
      <c r="U33" s="77"/>
      <c r="V33" s="77"/>
      <c r="W33" s="79"/>
      <c r="X33" s="77"/>
      <c r="Y33" s="80"/>
      <c r="Z33" s="81"/>
      <c r="AA33" s="77"/>
      <c r="AB33" s="77"/>
      <c r="AC33" s="82"/>
      <c r="AD33" s="136">
        <v>399867</v>
      </c>
      <c r="AE33" s="92"/>
      <c r="AF33" s="22"/>
      <c r="AG33" s="77"/>
      <c r="AH33" s="77"/>
      <c r="AI33" s="77"/>
      <c r="AJ33" s="77"/>
      <c r="AK33" s="77"/>
      <c r="AL33" s="73"/>
      <c r="AM33" s="83"/>
      <c r="AN33" s="83"/>
      <c r="AO33" s="83"/>
      <c r="AP33" s="83"/>
      <c r="AQ33" s="84"/>
      <c r="AR33" s="85"/>
      <c r="AS33" s="86"/>
      <c r="AT33" s="85"/>
      <c r="AU33" s="87"/>
      <c r="AV33" s="88"/>
      <c r="AW33" s="89"/>
      <c r="AX33" s="88"/>
      <c r="AY33" s="69"/>
      <c r="AZ33" s="323"/>
      <c r="BA33" s="84"/>
      <c r="BB33" s="84"/>
      <c r="BC33" s="84"/>
      <c r="BD33" s="84"/>
      <c r="BE33" s="84"/>
      <c r="BF33" s="84"/>
      <c r="BG33" s="93"/>
      <c r="BH33" s="93"/>
      <c r="BI33" s="93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U33" s="91"/>
      <c r="BV33" s="91"/>
      <c r="BW33" s="91"/>
      <c r="BX33" s="91"/>
      <c r="BY33" s="91"/>
    </row>
    <row r="34" spans="1:77" ht="14.45">
      <c r="A34" s="70" t="s">
        <v>247</v>
      </c>
      <c r="B34" s="148" t="s">
        <v>248</v>
      </c>
      <c r="C34" s="71" t="s">
        <v>124</v>
      </c>
      <c r="D34" s="72" t="s">
        <v>116</v>
      </c>
      <c r="E34" s="71" t="s">
        <v>117</v>
      </c>
      <c r="F34" s="71" t="s">
        <v>131</v>
      </c>
      <c r="G34" s="16" t="str">
        <f t="shared" si="4"/>
        <v>No of Racks</v>
      </c>
      <c r="H34" s="144">
        <v>234</v>
      </c>
      <c r="I34" s="142">
        <v>185</v>
      </c>
      <c r="J34" s="143">
        <f t="shared" si="6"/>
        <v>49</v>
      </c>
      <c r="K34" s="71"/>
      <c r="L34" s="71">
        <v>0</v>
      </c>
      <c r="M34" s="73"/>
      <c r="N34" s="145"/>
      <c r="O34" s="74"/>
      <c r="P34" s="71" t="s">
        <v>108</v>
      </c>
      <c r="Q34" s="71">
        <v>1720</v>
      </c>
      <c r="R34" s="75">
        <f t="shared" si="7"/>
        <v>1298.4565138888888</v>
      </c>
      <c r="S34" s="76">
        <f t="shared" si="5"/>
        <v>421.54348611111118</v>
      </c>
      <c r="T34" s="77"/>
      <c r="U34" s="77"/>
      <c r="V34" s="77"/>
      <c r="W34" s="79"/>
      <c r="X34" s="77"/>
      <c r="Y34" s="80"/>
      <c r="Z34" s="81"/>
      <c r="AA34" s="77"/>
      <c r="AB34" s="77"/>
      <c r="AC34" s="82"/>
      <c r="AD34" s="136">
        <v>934888.69</v>
      </c>
      <c r="AE34" s="92"/>
      <c r="AF34" s="22"/>
      <c r="AG34" s="77"/>
      <c r="AH34" s="77"/>
      <c r="AI34" s="77"/>
      <c r="AJ34" s="77"/>
      <c r="AK34" s="77"/>
      <c r="AL34" s="73"/>
      <c r="AM34" s="83"/>
      <c r="AN34" s="83"/>
      <c r="AO34" s="83"/>
      <c r="AP34" s="83"/>
      <c r="AQ34" s="84"/>
      <c r="AR34" s="85"/>
      <c r="AS34" s="85"/>
      <c r="AT34" s="85"/>
      <c r="AU34" s="87"/>
      <c r="AV34" s="88"/>
      <c r="AW34" s="89"/>
      <c r="AX34" s="88"/>
      <c r="AY34" s="69"/>
      <c r="AZ34" s="323"/>
      <c r="BA34" s="84"/>
      <c r="BB34" s="84"/>
      <c r="BC34" s="84"/>
      <c r="BD34" s="84"/>
      <c r="BE34" s="84"/>
      <c r="BF34" s="84"/>
      <c r="BG34" s="93"/>
      <c r="BH34" s="93"/>
      <c r="BI34" s="93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/>
      <c r="BU34" s="91"/>
      <c r="BV34" s="91"/>
      <c r="BW34" s="91"/>
      <c r="BX34" s="91"/>
      <c r="BY34" s="91"/>
    </row>
    <row r="35" spans="1:77" ht="14.45">
      <c r="A35" s="70" t="s">
        <v>249</v>
      </c>
      <c r="B35" s="148" t="s">
        <v>248</v>
      </c>
      <c r="C35" s="71" t="s">
        <v>124</v>
      </c>
      <c r="D35" s="72" t="s">
        <v>116</v>
      </c>
      <c r="E35" s="71" t="s">
        <v>117</v>
      </c>
      <c r="F35" s="71" t="s">
        <v>131</v>
      </c>
      <c r="G35" s="16" t="str">
        <f t="shared" si="4"/>
        <v>No of Racks</v>
      </c>
      <c r="H35" s="144">
        <v>234</v>
      </c>
      <c r="I35" s="142">
        <v>178</v>
      </c>
      <c r="J35" s="143">
        <f t="shared" si="6"/>
        <v>56</v>
      </c>
      <c r="K35" s="71"/>
      <c r="L35" s="71">
        <v>0</v>
      </c>
      <c r="M35" s="73"/>
      <c r="N35" s="145"/>
      <c r="O35" s="74"/>
      <c r="P35" s="71" t="s">
        <v>108</v>
      </c>
      <c r="Q35" s="71">
        <v>1680</v>
      </c>
      <c r="R35" s="75">
        <f t="shared" si="7"/>
        <v>1148.390625</v>
      </c>
      <c r="S35" s="76">
        <f t="shared" si="5"/>
        <v>531.609375</v>
      </c>
      <c r="T35" s="77"/>
      <c r="U35" s="77"/>
      <c r="V35" s="77"/>
      <c r="W35" s="79"/>
      <c r="X35" s="77"/>
      <c r="Y35" s="80"/>
      <c r="Z35" s="81"/>
      <c r="AA35" s="77"/>
      <c r="AB35" s="77"/>
      <c r="AC35" s="82"/>
      <c r="AD35" s="136">
        <v>826841.25</v>
      </c>
      <c r="AE35" s="92"/>
      <c r="AF35" s="22"/>
      <c r="AG35" s="77"/>
      <c r="AH35" s="77"/>
      <c r="AI35" s="77"/>
      <c r="AJ35" s="77"/>
      <c r="AK35" s="77"/>
      <c r="AL35" s="73"/>
      <c r="AM35" s="83"/>
      <c r="AN35" s="83"/>
      <c r="AO35" s="83"/>
      <c r="AP35" s="83"/>
      <c r="AQ35" s="84"/>
      <c r="AR35" s="85"/>
      <c r="AS35" s="85"/>
      <c r="AT35" s="85"/>
      <c r="AU35" s="87"/>
      <c r="AV35" s="88"/>
      <c r="AW35" s="89"/>
      <c r="AX35" s="88"/>
      <c r="AY35" s="69"/>
      <c r="AZ35" s="323"/>
      <c r="BA35" s="84"/>
      <c r="BB35" s="84"/>
      <c r="BC35" s="84"/>
      <c r="BD35" s="84"/>
      <c r="BE35" s="84"/>
      <c r="BF35" s="84"/>
      <c r="BG35" s="93"/>
      <c r="BH35" s="93"/>
      <c r="BI35" s="93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/>
      <c r="BU35" s="91"/>
      <c r="BV35" s="91"/>
      <c r="BW35" s="91"/>
      <c r="BX35" s="91"/>
      <c r="BY35" s="91"/>
    </row>
    <row r="36" spans="1:77" ht="14.45">
      <c r="A36" s="70" t="s">
        <v>250</v>
      </c>
      <c r="B36" s="148" t="s">
        <v>248</v>
      </c>
      <c r="C36" s="71" t="s">
        <v>124</v>
      </c>
      <c r="D36" s="72" t="s">
        <v>116</v>
      </c>
      <c r="E36" s="71" t="s">
        <v>117</v>
      </c>
      <c r="F36" s="71" t="s">
        <v>131</v>
      </c>
      <c r="G36" s="16" t="str">
        <f t="shared" si="4"/>
        <v>No of Racks</v>
      </c>
      <c r="H36" s="144">
        <v>234</v>
      </c>
      <c r="I36" s="142">
        <v>197</v>
      </c>
      <c r="J36" s="143">
        <f t="shared" si="6"/>
        <v>37</v>
      </c>
      <c r="K36" s="71"/>
      <c r="L36" s="71">
        <v>0</v>
      </c>
      <c r="M36" s="73"/>
      <c r="N36" s="145"/>
      <c r="O36" s="74"/>
      <c r="P36" s="71" t="s">
        <v>108</v>
      </c>
      <c r="Q36" s="71">
        <v>1800</v>
      </c>
      <c r="R36" s="75">
        <f t="shared" si="7"/>
        <v>1166.2381944444444</v>
      </c>
      <c r="S36" s="76">
        <f t="shared" si="5"/>
        <v>633.76180555555561</v>
      </c>
      <c r="T36" s="77"/>
      <c r="U36" s="77"/>
      <c r="V36" s="77"/>
      <c r="W36" s="79"/>
      <c r="X36" s="77"/>
      <c r="Y36" s="80"/>
      <c r="Z36" s="81"/>
      <c r="AA36" s="77"/>
      <c r="AB36" s="77"/>
      <c r="AC36" s="82"/>
      <c r="AD36" s="136">
        <v>839691.5</v>
      </c>
      <c r="AE36" s="92"/>
      <c r="AF36" s="22"/>
      <c r="AG36" s="77"/>
      <c r="AH36" s="77"/>
      <c r="AI36" s="77"/>
      <c r="AJ36" s="77"/>
      <c r="AK36" s="77"/>
      <c r="AL36" s="73"/>
      <c r="AM36" s="83"/>
      <c r="AN36" s="83"/>
      <c r="AO36" s="83"/>
      <c r="AP36" s="83"/>
      <c r="AQ36" s="84"/>
      <c r="AR36" s="85"/>
      <c r="AS36" s="85"/>
      <c r="AT36" s="85"/>
      <c r="AU36" s="87"/>
      <c r="AV36" s="88"/>
      <c r="AW36" s="89"/>
      <c r="AX36" s="88"/>
      <c r="AY36" s="69"/>
      <c r="AZ36" s="323"/>
      <c r="BA36" s="84"/>
      <c r="BB36" s="84"/>
      <c r="BC36" s="84"/>
      <c r="BD36" s="84"/>
      <c r="BE36" s="84"/>
      <c r="BF36" s="84"/>
      <c r="BG36" s="93"/>
      <c r="BH36" s="93"/>
      <c r="BI36" s="93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/>
      <c r="BU36" s="91"/>
      <c r="BV36" s="91"/>
      <c r="BW36" s="91"/>
      <c r="BX36" s="91"/>
      <c r="BY36" s="91"/>
    </row>
    <row r="37" spans="1:77" ht="14.45">
      <c r="A37" s="70" t="s">
        <v>251</v>
      </c>
      <c r="B37" s="148" t="s">
        <v>252</v>
      </c>
      <c r="C37" s="71" t="s">
        <v>124</v>
      </c>
      <c r="D37" s="72" t="s">
        <v>116</v>
      </c>
      <c r="E37" s="71" t="s">
        <v>117</v>
      </c>
      <c r="F37" s="71" t="s">
        <v>131</v>
      </c>
      <c r="G37" s="16" t="str">
        <f>IF(E37="Rack","No of Racks",(IF(E37="Space","Sq Ft","U Space")))</f>
        <v>No of Racks</v>
      </c>
      <c r="H37" s="144">
        <v>32</v>
      </c>
      <c r="I37" s="144">
        <v>32</v>
      </c>
      <c r="J37" s="143">
        <f t="shared" si="6"/>
        <v>0</v>
      </c>
      <c r="K37" s="71"/>
      <c r="L37" s="71">
        <v>0</v>
      </c>
      <c r="M37" s="73"/>
      <c r="N37" s="145"/>
      <c r="O37" s="74"/>
      <c r="P37" s="71" t="s">
        <v>125</v>
      </c>
      <c r="Q37" s="71">
        <v>384</v>
      </c>
      <c r="R37" s="75">
        <v>124.2</v>
      </c>
      <c r="S37" s="76">
        <f t="shared" ref="S37" si="8">Q37-R37</f>
        <v>259.8</v>
      </c>
      <c r="T37" s="77"/>
      <c r="U37" s="77">
        <f>IF(S37&lt;=0,0,(IF(O37="Rated",(S37+T37)*$U$27,(S37+T37))))</f>
        <v>259.8</v>
      </c>
      <c r="V37" s="78">
        <f>IF(O37="Rated",Q37*$U$27,Q37)</f>
        <v>384</v>
      </c>
      <c r="W37" s="79"/>
      <c r="X37" s="77"/>
      <c r="Y37" s="80"/>
      <c r="Z37" s="81" t="str">
        <f>D37</f>
        <v>Bundled</v>
      </c>
      <c r="AA37" s="77"/>
      <c r="AB37" s="77"/>
      <c r="AC37" s="82"/>
      <c r="AD37" s="136">
        <v>90070</v>
      </c>
      <c r="AE37" s="92"/>
      <c r="AF37" s="22" t="str">
        <f>IF(AE37="No of Seats","No of Seats",(IF(AE37="Space","Sq Ft","")))</f>
        <v/>
      </c>
      <c r="AG37" s="77"/>
      <c r="AH37" s="77"/>
      <c r="AI37" s="77"/>
      <c r="AJ37" s="77"/>
      <c r="AK37" s="77"/>
      <c r="AL37" s="73"/>
      <c r="AM37" s="83">
        <f>M37*K37</f>
        <v>0</v>
      </c>
      <c r="AN37" s="83">
        <f>Y37*X37</f>
        <v>0</v>
      </c>
      <c r="AO37" s="83" t="e">
        <f>#REF!*AC37*AA37</f>
        <v>#REF!</v>
      </c>
      <c r="AP37" s="83">
        <f>AL37*AJ37</f>
        <v>0</v>
      </c>
      <c r="AQ37" s="84"/>
      <c r="AR37" s="85"/>
      <c r="AS37" s="86"/>
      <c r="AT37" s="85"/>
      <c r="AU37" s="87"/>
      <c r="AV37" s="88"/>
      <c r="AW37" s="89"/>
      <c r="AX37" s="88"/>
      <c r="AY37" s="69"/>
      <c r="AZ37" s="323"/>
      <c r="BA37" s="84"/>
      <c r="BB37" s="84"/>
      <c r="BC37" s="84"/>
      <c r="BD37" s="84"/>
      <c r="BE37" s="84"/>
      <c r="BF37" s="84"/>
      <c r="BG37" s="90"/>
      <c r="BH37" s="90"/>
      <c r="BI37" s="90"/>
      <c r="BJ37" s="91"/>
      <c r="BK37" s="91"/>
      <c r="BL37" s="91"/>
      <c r="BM37" s="91"/>
      <c r="BN37" s="91"/>
      <c r="BO37" s="91"/>
      <c r="BP37" s="91"/>
      <c r="BQ37" s="91"/>
      <c r="BR37" s="91"/>
      <c r="BS37" s="91"/>
      <c r="BT37" s="91"/>
      <c r="BU37" s="91"/>
      <c r="BV37" s="91"/>
      <c r="BW37" s="91"/>
      <c r="BX37" s="91"/>
      <c r="BY37" s="91"/>
    </row>
    <row r="38" spans="1:77" ht="14.45">
      <c r="A38" s="70" t="s">
        <v>251</v>
      </c>
      <c r="B38" s="148" t="s">
        <v>253</v>
      </c>
      <c r="C38" s="71" t="s">
        <v>124</v>
      </c>
      <c r="D38" s="72" t="s">
        <v>116</v>
      </c>
      <c r="E38" s="71" t="s">
        <v>117</v>
      </c>
      <c r="F38" s="71" t="s">
        <v>131</v>
      </c>
      <c r="G38" s="16" t="str">
        <f t="shared" ref="G38:G39" si="9">IF(E38="Rack","No of Racks",(IF(E38="Space","Sq Ft","U Space")))</f>
        <v>No of Racks</v>
      </c>
      <c r="H38" s="144">
        <v>64</v>
      </c>
      <c r="I38" s="144">
        <v>62</v>
      </c>
      <c r="J38" s="143">
        <f t="shared" si="6"/>
        <v>2</v>
      </c>
      <c r="K38" s="71"/>
      <c r="L38" s="71">
        <v>0</v>
      </c>
      <c r="M38" s="73"/>
      <c r="N38" s="145"/>
      <c r="O38" s="74"/>
      <c r="P38" s="71" t="s">
        <v>125</v>
      </c>
      <c r="Q38" s="71">
        <v>440</v>
      </c>
      <c r="R38" s="75">
        <v>20.88</v>
      </c>
      <c r="S38" s="76">
        <f t="shared" si="5"/>
        <v>419.12</v>
      </c>
      <c r="T38" s="77"/>
      <c r="U38" s="77"/>
      <c r="V38" s="77"/>
      <c r="W38" s="79"/>
      <c r="X38" s="77"/>
      <c r="Y38" s="80"/>
      <c r="Z38" s="81"/>
      <c r="AA38" s="77"/>
      <c r="AB38" s="77"/>
      <c r="AC38" s="82"/>
      <c r="AD38" s="136">
        <v>15540</v>
      </c>
      <c r="AE38" s="92"/>
      <c r="AF38" s="22"/>
      <c r="AG38" s="77"/>
      <c r="AH38" s="77"/>
      <c r="AI38" s="77"/>
      <c r="AJ38" s="77"/>
      <c r="AK38" s="77"/>
      <c r="AL38" s="73"/>
      <c r="AM38" s="83"/>
      <c r="AN38" s="83"/>
      <c r="AO38" s="83"/>
      <c r="AP38" s="83"/>
      <c r="AQ38" s="323"/>
      <c r="AR38" s="85"/>
      <c r="AS38" s="86"/>
      <c r="AT38" s="85"/>
      <c r="AU38" s="87"/>
      <c r="AV38" s="88"/>
      <c r="AW38" s="89"/>
      <c r="AX38" s="88"/>
      <c r="AY38" s="69"/>
      <c r="AZ38" s="323"/>
      <c r="BA38" s="84"/>
      <c r="BB38" s="84"/>
      <c r="BC38" s="84"/>
      <c r="BD38" s="84"/>
      <c r="BE38" s="84"/>
      <c r="BF38" s="84"/>
      <c r="BG38" s="93"/>
      <c r="BH38" s="93"/>
      <c r="BI38" s="93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/>
      <c r="BU38" s="91"/>
      <c r="BV38" s="91"/>
      <c r="BW38" s="91"/>
      <c r="BX38" s="91"/>
      <c r="BY38" s="91"/>
    </row>
    <row r="39" spans="1:77" ht="14.45">
      <c r="A39" s="70" t="s">
        <v>251</v>
      </c>
      <c r="B39" s="148" t="s">
        <v>254</v>
      </c>
      <c r="C39" s="71" t="s">
        <v>124</v>
      </c>
      <c r="D39" s="72" t="s">
        <v>116</v>
      </c>
      <c r="E39" s="71" t="s">
        <v>117</v>
      </c>
      <c r="F39" s="71" t="s">
        <v>131</v>
      </c>
      <c r="G39" s="16" t="str">
        <f t="shared" si="9"/>
        <v>No of Racks</v>
      </c>
      <c r="H39" s="144">
        <v>100</v>
      </c>
      <c r="I39" s="144">
        <v>97</v>
      </c>
      <c r="J39" s="143">
        <f t="shared" si="6"/>
        <v>3</v>
      </c>
      <c r="K39" s="71"/>
      <c r="L39" s="71">
        <v>0</v>
      </c>
      <c r="M39" s="73"/>
      <c r="N39" s="145"/>
      <c r="O39" s="74"/>
      <c r="P39" s="71" t="s">
        <v>125</v>
      </c>
      <c r="Q39" s="71">
        <v>515</v>
      </c>
      <c r="R39" s="75">
        <v>999.6</v>
      </c>
      <c r="S39" s="76">
        <f t="shared" si="5"/>
        <v>-484.6</v>
      </c>
      <c r="T39" s="77"/>
      <c r="U39" s="77"/>
      <c r="V39" s="77"/>
      <c r="W39" s="79"/>
      <c r="X39" s="77"/>
      <c r="Y39" s="80"/>
      <c r="Z39" s="81"/>
      <c r="AA39" s="77"/>
      <c r="AB39" s="77"/>
      <c r="AC39" s="82"/>
      <c r="AD39" s="136">
        <v>335395.40000000002</v>
      </c>
      <c r="AE39" s="92"/>
      <c r="AF39" s="22"/>
      <c r="AG39" s="77"/>
      <c r="AH39" s="77"/>
      <c r="AI39" s="77"/>
      <c r="AJ39" s="77"/>
      <c r="AK39" s="77"/>
      <c r="AL39" s="73"/>
      <c r="AM39" s="83"/>
      <c r="AN39" s="83"/>
      <c r="AO39" s="83"/>
      <c r="AP39" s="83"/>
      <c r="AQ39" s="84"/>
      <c r="AR39" s="85"/>
      <c r="AS39" s="86"/>
      <c r="AT39" s="85"/>
      <c r="AU39" s="87"/>
      <c r="AV39" s="88"/>
      <c r="AW39" s="89"/>
      <c r="AX39" s="88"/>
      <c r="AY39" s="69"/>
      <c r="AZ39" s="323"/>
      <c r="BA39" s="84"/>
      <c r="BB39" s="84"/>
      <c r="BC39" s="84"/>
      <c r="BD39" s="84"/>
      <c r="BE39" s="84"/>
      <c r="BF39" s="84"/>
      <c r="BG39" s="93"/>
      <c r="BH39" s="93"/>
      <c r="BI39" s="93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BU39" s="91"/>
      <c r="BV39" s="91"/>
      <c r="BW39" s="91"/>
      <c r="BX39" s="91"/>
      <c r="BY39" s="91"/>
    </row>
    <row r="40" spans="1:77">
      <c r="A40" s="323"/>
      <c r="C40" s="323"/>
      <c r="D40" s="33"/>
      <c r="E40" s="323"/>
      <c r="F40" s="323"/>
      <c r="G40" s="323"/>
      <c r="H40" s="323"/>
      <c r="I40" s="323"/>
      <c r="R40" s="323"/>
      <c r="T40" s="323"/>
      <c r="U40" s="323"/>
      <c r="V40" s="323"/>
      <c r="W40" s="323"/>
      <c r="X40" s="323"/>
      <c r="Y40" s="323"/>
      <c r="Z40" s="323"/>
      <c r="AA40" s="323"/>
      <c r="AB40" s="323"/>
      <c r="AC40" s="323"/>
      <c r="AG40" s="323"/>
      <c r="AH40" s="323"/>
      <c r="AI40" s="323"/>
      <c r="AJ40" s="323"/>
      <c r="AK40" s="323"/>
      <c r="AL40" s="323"/>
      <c r="AM40" s="323"/>
      <c r="AN40" s="323"/>
      <c r="AO40" s="323"/>
      <c r="AP40" s="323"/>
      <c r="AQ40" s="323"/>
      <c r="AR40" s="323"/>
      <c r="AS40" s="323"/>
      <c r="AT40" s="323"/>
      <c r="AU40" s="323"/>
      <c r="AV40" s="323"/>
      <c r="AW40" s="323"/>
      <c r="AX40" s="323"/>
      <c r="AY40" s="323"/>
      <c r="AZ40" s="323"/>
      <c r="BA40" s="323"/>
      <c r="BB40" s="323"/>
      <c r="BC40" s="323"/>
      <c r="BD40" s="323"/>
      <c r="BE40" s="323"/>
      <c r="BF40" s="323"/>
      <c r="BG40" s="323"/>
      <c r="BH40" s="323"/>
      <c r="BI40" s="323"/>
      <c r="BJ40" s="323"/>
      <c r="BK40" s="323"/>
      <c r="BL40" s="323"/>
      <c r="BM40" s="323"/>
      <c r="BN40" s="323"/>
      <c r="BO40" s="323"/>
      <c r="BP40" s="323"/>
      <c r="BQ40" s="323"/>
      <c r="BR40" s="323"/>
      <c r="BS40" s="323"/>
      <c r="BT40" s="323"/>
      <c r="BU40" s="323"/>
      <c r="BV40" s="323"/>
      <c r="BW40" s="323"/>
      <c r="BX40" s="323"/>
      <c r="BY40" s="323"/>
    </row>
  </sheetData>
  <mergeCells count="13">
    <mergeCell ref="H2:I2"/>
    <mergeCell ref="Q5:R5"/>
    <mergeCell ref="O6:R6"/>
    <mergeCell ref="N7:R7"/>
    <mergeCell ref="C28:D28"/>
    <mergeCell ref="E28:M28"/>
    <mergeCell ref="O28:Y28"/>
    <mergeCell ref="Z28:AD28"/>
    <mergeCell ref="AE28:AL28"/>
    <mergeCell ref="AM28:AT28"/>
    <mergeCell ref="AU28:AX28"/>
    <mergeCell ref="AC3:AC6"/>
    <mergeCell ref="AC10:AC12"/>
  </mergeCells>
  <conditionalFormatting sqref="Y30:Y39">
    <cfRule type="cellIs" dxfId="16" priority="19" operator="lessThanOrEqual">
      <formula>0</formula>
    </cfRule>
    <cfRule type="cellIs" dxfId="15" priority="20" operator="lessThanOrEqual">
      <formula>0</formula>
    </cfRule>
  </conditionalFormatting>
  <conditionalFormatting sqref="BC30:BF39">
    <cfRule type="cellIs" dxfId="14" priority="2" operator="lessThan">
      <formula>#REF!</formula>
    </cfRule>
    <cfRule type="cellIs" dxfId="13" priority="3" operator="between">
      <formula>#REF!</formula>
      <formula>$J$6</formula>
    </cfRule>
    <cfRule type="cellIs" dxfId="12" priority="4" operator="between">
      <formula>$J$6</formula>
      <formula>$J$5</formula>
    </cfRule>
    <cfRule type="cellIs" dxfId="11" priority="5" operator="greaterThan">
      <formula>$J$4</formula>
    </cfRule>
    <cfRule type="cellIs" dxfId="10" priority="6" operator="between">
      <formula>$J$5</formula>
      <formula>$J$4</formula>
    </cfRule>
  </conditionalFormatting>
  <conditionalFormatting sqref="BC32:BF33">
    <cfRule type="cellIs" dxfId="9" priority="8" operator="lessThan">
      <formula>#REF!</formula>
    </cfRule>
    <cfRule type="cellIs" dxfId="8" priority="9" operator="between">
      <formula>#REF!</formula>
      <formula>$J$6</formula>
    </cfRule>
    <cfRule type="cellIs" dxfId="7" priority="10" operator="between">
      <formula>$J$6</formula>
      <formula>$J$5</formula>
    </cfRule>
    <cfRule type="cellIs" dxfId="6" priority="11" operator="greaterThan">
      <formula>$J$4</formula>
    </cfRule>
    <cfRule type="cellIs" dxfId="5" priority="12" operator="between">
      <formula>$J$5</formula>
      <formula>$J$4</formula>
    </cfRule>
  </conditionalFormatting>
  <conditionalFormatting sqref="BC33:BF33 BC37:BF39">
    <cfRule type="cellIs" dxfId="4" priority="14" operator="lessThan">
      <formula>#REF!</formula>
    </cfRule>
    <cfRule type="cellIs" dxfId="3" priority="15" operator="between">
      <formula>#REF!</formula>
      <formula>$J$6</formula>
    </cfRule>
    <cfRule type="cellIs" dxfId="2" priority="16" operator="between">
      <formula>$J$6</formula>
      <formula>$J$5</formula>
    </cfRule>
    <cfRule type="cellIs" dxfId="1" priority="17" operator="greaterThan">
      <formula>$J$4</formula>
    </cfRule>
    <cfRule type="cellIs" dxfId="0" priority="18" operator="between">
      <formula>$J$5</formula>
      <formula>$J$4</formula>
    </cfRule>
  </conditionalFormatting>
  <conditionalFormatting sqref="BW30:BY31 BW34:BY36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32:BY32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37:BY39 BW33:BY33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disablePrompts="1" count="8">
    <dataValidation type="list" allowBlank="1" showInputMessage="1" showErrorMessage="1" sqref="AB32:AB33 AB37:AB39" xr:uid="{00000000-0002-0000-0100-000000000000}">
      <formula1>"Fixed,Variable"</formula1>
      <formula2>0</formula2>
    </dataValidation>
    <dataValidation type="list" allowBlank="1" showInputMessage="1" showErrorMessage="1" promptTitle="Rack, U Space, Cage" sqref="F30:F39" xr:uid="{A7F34293-E9C9-41E3-AE17-BD41A01D809A}">
      <formula1>"Caged,Uncaged"</formula1>
      <formula2>0</formula2>
    </dataValidation>
    <dataValidation type="list" allowBlank="1" showInputMessage="1" showErrorMessage="1" promptTitle="Rack, U Space, Cage" sqref="E30:E39" xr:uid="{345411F7-AFA0-4FD8-A153-D0FFA31DE0E9}">
      <formula1>"Space,Rack,U space"</formula1>
      <formula2>0</formula2>
    </dataValidation>
    <dataValidation type="list" allowBlank="1" showInputMessage="1" showErrorMessage="1" sqref="D30:D39" xr:uid="{14F63E48-19CE-46C4-A28D-E1958CEA88C7}">
      <formula1>"Bundled,Metered"</formula1>
      <formula2>0</formula2>
    </dataValidation>
    <dataValidation type="list" allowBlank="1" showInputMessage="1" showErrorMessage="1" sqref="P32:P33 P37:P39" xr:uid="{00000000-0002-0000-0100-000004000000}">
      <formula1>"KW,KVA"</formula1>
      <formula2>0</formula2>
    </dataValidation>
    <dataValidation type="list" allowBlank="1" showInputMessage="1" showErrorMessage="1" sqref="AT32:AT33 AT37:AT39" xr:uid="{00000000-0002-0000-0100-000005000000}">
      <formula1>"Qtrly Adv,Qtry Ars,Monthly Adv,Monthly Ars"</formula1>
      <formula2>0</formula2>
    </dataValidation>
    <dataValidation type="list" allowBlank="1" showInputMessage="1" showErrorMessage="1" sqref="AE32:AE33 AE37:AE39" xr:uid="{00000000-0002-0000-0100-000006000000}">
      <formula1>"No of Seats,Space"</formula1>
      <formula2>0</formula2>
    </dataValidation>
    <dataValidation type="list" allowBlank="1" showInputMessage="1" showErrorMessage="1" sqref="C30:C39" xr:uid="{5F0F0D5E-F778-4356-9073-04C23DFC2323}">
      <formula1>"Rated,Subscribed"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41B16A5CEAE24CAB6946AAE4845301" ma:contentTypeVersion="21" ma:contentTypeDescription="Create a new document." ma:contentTypeScope="" ma:versionID="92f774b959c7991b899ff7a9c053fe48">
  <xsd:schema xmlns:xsd="http://www.w3.org/2001/XMLSchema" xmlns:xs="http://www.w3.org/2001/XMLSchema" xmlns:p="http://schemas.microsoft.com/office/2006/metadata/properties" xmlns:ns2="b2caf5b7-b467-4f56-ac31-11dce6c60ef6" xmlns:ns3="e47b8fd4-d2ce-414a-8c42-4a609c91ffb9" xmlns:ns4="19fbf001-7c56-4287-9c67-21e757b4767a" targetNamespace="http://schemas.microsoft.com/office/2006/metadata/properties" ma:root="true" ma:fieldsID="8946e1b8f4f4ca452358e1c116c865af" ns2:_="" ns3:_="" ns4:_="">
    <xsd:import namespace="b2caf5b7-b467-4f56-ac31-11dce6c60ef6"/>
    <xsd:import namespace="e47b8fd4-d2ce-414a-8c42-4a609c91ffb9"/>
    <xsd:import namespace="19fbf001-7c56-4287-9c67-21e757b476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CreatDate" minOccurs="0"/>
                <xsd:element ref="ns2:Creat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af5b7-b467-4f56-ac31-11dce6c60e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5225ff6-d8db-4da8-8d9c-1f925f8356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CreatDate" ma:index="26" nillable="true" ma:displayName="Creat Date" ma:format="DateOnly" ma:internalName="CreatDate">
      <xsd:simpleType>
        <xsd:restriction base="dms:DateTime"/>
      </xsd:simpleType>
    </xsd:element>
    <xsd:element name="Creater" ma:index="27" nillable="true" ma:displayName="Creater" ma:format="Dropdown" ma:list="UserInfo" ma:SharePointGroup="0" ma:internalName="Creat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b8fd4-d2ce-414a-8c42-4a609c91ffb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bf001-7c56-4287-9c67-21e757b4767a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256054c7-7f75-4b92-bef0-390b602a991d}" ma:internalName="TaxCatchAll" ma:showField="CatchAllData" ma:web="e47b8fd4-d2ce-414a-8c42-4a609c91ff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bf001-7c56-4287-9c67-21e757b4767a" xsi:nil="true"/>
    <Creater xmlns="b2caf5b7-b467-4f56-ac31-11dce6c60ef6">
      <UserInfo>
        <DisplayName/>
        <AccountId xsi:nil="true"/>
        <AccountType/>
      </UserInfo>
    </Creater>
    <CreatDate xmlns="b2caf5b7-b467-4f56-ac31-11dce6c60ef6" xsi:nil="true"/>
    <lcf76f155ced4ddcb4097134ff3c332f xmlns="b2caf5b7-b467-4f56-ac31-11dce6c60ef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63940B-FA21-4BF2-8E61-1B4D7ADCE210}"/>
</file>

<file path=customXml/itemProps2.xml><?xml version="1.0" encoding="utf-8"?>
<ds:datastoreItem xmlns:ds="http://schemas.openxmlformats.org/officeDocument/2006/customXml" ds:itemID="{AFBD3AE3-2E71-4C78-8BFB-CEC5A5691215}"/>
</file>

<file path=customXml/itemProps3.xml><?xml version="1.0" encoding="utf-8"?>
<ds:datastoreItem xmlns:ds="http://schemas.openxmlformats.org/officeDocument/2006/customXml" ds:itemID="{CA8B3053-5224-45EF-BE4E-F5ED23605C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Mrigendra Devendra Korale</dc:creator>
  <cp:keywords/>
  <dc:description/>
  <cp:lastModifiedBy/>
  <cp:revision>4</cp:revision>
  <dcterms:created xsi:type="dcterms:W3CDTF">2008-09-01T12:11:01Z</dcterms:created>
  <dcterms:modified xsi:type="dcterms:W3CDTF">2026-03-27T07:36:44Z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0x0101002A41B16A5CEAE24CAB6946AAE4845301</vt:lpwstr>
  </property>
  <property fmtid="{D5CDD505-2E9C-101B-9397-08002B2CF9AE}" pid="3" name="MediaServiceImageTags">
    <vt:lpwstr/>
  </property>
</Properties>
</file>