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 updateLinks="never"/>
  <mc:AlternateContent xmlns:mc="http://schemas.openxmlformats.org/markup-compatibility/2006">
    <mc:Choice Requires="x15">
      <x15ac:absPath xmlns:x15ac="http://schemas.microsoft.com/office/spreadsheetml/2010/11/ac" url="https://sify-my.sharepoint.com/personal/ramesh_bhatt_sifycorp_com/Documents/backup/Noida-01/DCCP Capacity/2026/Feb 26/"/>
    </mc:Choice>
  </mc:AlternateContent>
  <xr:revisionPtr revIDLastSave="0" documentId="8_{63CE1C4E-6D27-4F38-A602-27ED18F5A6CB}" xr6:coauthVersionLast="47" xr6:coauthVersionMax="47" xr10:uidLastSave="{00000000-0000-0000-0000-000000000000}"/>
  <bookViews>
    <workbookView xWindow="-110" yWindow="-110" windowWidth="19420" windowHeight="10300" tabRatio="778" firstSheet="2" activeTab="3" xr2:uid="{00000000-000D-0000-FFFF-FFFF00000000}"/>
  </bookViews>
  <sheets>
    <sheet name="Summary" sheetId="21" r:id="rId1"/>
    <sheet name="Terminated" sheetId="22" r:id="rId2"/>
    <sheet name="Noida-01" sheetId="20" r:id="rId3"/>
    <sheet name="Noida-02" sheetId="23" r:id="rId4"/>
  </sheets>
  <definedNames>
    <definedName name="_xlnm._FilterDatabase" localSheetId="2" hidden="1">'Noida-01'!$A$1:$CC$118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" i="23" l="1"/>
  <c r="Y19" i="23" l="1"/>
  <c r="Y20" i="23"/>
  <c r="T20" i="23" s="1"/>
  <c r="Y21" i="23"/>
  <c r="O49" i="22" l="1"/>
  <c r="V49" i="22" s="1"/>
  <c r="W49" i="22"/>
  <c r="R49" i="22" s="1"/>
  <c r="S49" i="22" s="1"/>
  <c r="Y5" i="23"/>
  <c r="Y4" i="23"/>
  <c r="Y3" i="23"/>
  <c r="Y2" i="23"/>
  <c r="Y6" i="23"/>
  <c r="U49" i="22" l="1"/>
  <c r="X49" i="22"/>
  <c r="Z221" i="20"/>
  <c r="Z222" i="20"/>
  <c r="Z223" i="20"/>
  <c r="Z224" i="20"/>
  <c r="Z225" i="20"/>
  <c r="Z212" i="20"/>
  <c r="Z213" i="20"/>
  <c r="Z214" i="20"/>
  <c r="Z215" i="20"/>
  <c r="Z216" i="20"/>
  <c r="Z217" i="20"/>
  <c r="Z218" i="20"/>
  <c r="Z219" i="20"/>
  <c r="Z220" i="20"/>
  <c r="Z211" i="20"/>
  <c r="Z210" i="20"/>
  <c r="Z208" i="20"/>
  <c r="Z206" i="20"/>
  <c r="Z203" i="20"/>
  <c r="Z204" i="20"/>
  <c r="Z205" i="20"/>
  <c r="Z201" i="20"/>
  <c r="Z202" i="20"/>
  <c r="Z199" i="20"/>
  <c r="Z200" i="20"/>
  <c r="Z196" i="20"/>
  <c r="Z197" i="20"/>
  <c r="Z198" i="20"/>
  <c r="Z194" i="20"/>
  <c r="Z195" i="20"/>
  <c r="Z190" i="20"/>
  <c r="Z191" i="20"/>
  <c r="Z192" i="20"/>
  <c r="Z193" i="20"/>
  <c r="Z189" i="20"/>
  <c r="Z186" i="20"/>
  <c r="Z174" i="20"/>
  <c r="Z175" i="20"/>
  <c r="Z176" i="20"/>
  <c r="Z177" i="20"/>
  <c r="Z178" i="20"/>
  <c r="Z173" i="20"/>
  <c r="Z169" i="20"/>
  <c r="Z170" i="20"/>
  <c r="Z168" i="20"/>
  <c r="Z48" i="22"/>
  <c r="S48" i="22"/>
  <c r="X48" i="22" s="1"/>
  <c r="O48" i="22"/>
  <c r="K48" i="22"/>
  <c r="H48" i="22"/>
  <c r="Z153" i="20" l="1"/>
  <c r="Z156" i="20" l="1"/>
  <c r="Z152" i="20"/>
  <c r="Z139" i="20"/>
  <c r="Z140" i="20"/>
  <c r="Z138" i="20"/>
  <c r="Z127" i="20"/>
  <c r="Z128" i="20"/>
  <c r="Z129" i="20"/>
  <c r="Z130" i="20"/>
  <c r="Z131" i="20"/>
  <c r="Z132" i="20"/>
  <c r="Z126" i="20"/>
  <c r="Z91" i="20" l="1"/>
  <c r="Z92" i="20"/>
  <c r="Z93" i="20"/>
  <c r="Z94" i="20"/>
  <c r="Z95" i="20"/>
  <c r="Z96" i="20"/>
  <c r="Z97" i="20"/>
  <c r="Z98" i="20"/>
  <c r="Z99" i="20"/>
  <c r="Z100" i="20"/>
  <c r="Z101" i="20"/>
  <c r="Z102" i="20"/>
  <c r="Z90" i="20"/>
  <c r="Z76" i="20"/>
  <c r="Z77" i="20"/>
  <c r="Z78" i="20"/>
  <c r="Z79" i="20"/>
  <c r="Z80" i="20"/>
  <c r="Z81" i="20"/>
  <c r="Z82" i="20"/>
  <c r="Z83" i="20"/>
  <c r="Z84" i="20"/>
  <c r="Z85" i="20"/>
  <c r="Z75" i="20"/>
  <c r="Z66" i="20" l="1"/>
  <c r="BL15" i="20" l="1"/>
  <c r="Z67" i="20" l="1"/>
  <c r="Z59" i="20"/>
  <c r="Z60" i="20"/>
  <c r="Z61" i="20"/>
  <c r="Z62" i="20"/>
  <c r="Z63" i="20"/>
  <c r="Z64" i="20"/>
  <c r="Z65" i="20"/>
  <c r="Z58" i="20"/>
  <c r="Z55" i="20"/>
  <c r="Z54" i="20"/>
  <c r="Z51" i="20"/>
  <c r="Z52" i="20"/>
  <c r="Z50" i="20"/>
  <c r="Z42" i="20"/>
  <c r="Z40" i="20"/>
  <c r="Z37" i="20"/>
  <c r="Z12" i="20"/>
  <c r="Z13" i="20"/>
  <c r="Z14" i="20"/>
  <c r="Z15" i="20"/>
  <c r="Z16" i="20"/>
  <c r="Z11" i="20"/>
  <c r="Z8" i="20"/>
  <c r="Z7" i="20"/>
  <c r="Z5" i="20"/>
  <c r="Z3" i="20"/>
  <c r="Z4" i="20"/>
  <c r="Z2" i="20"/>
  <c r="M13" i="21"/>
  <c r="M12" i="21"/>
  <c r="X21" i="23"/>
  <c r="AB21" i="23"/>
  <c r="T21" i="23"/>
  <c r="U21" i="23" s="1"/>
  <c r="Z21" i="23" l="1"/>
  <c r="W21" i="23"/>
  <c r="U11" i="20" l="1"/>
  <c r="V137" i="20"/>
  <c r="AA137" i="20" s="1"/>
  <c r="AP137" i="20"/>
  <c r="N137" i="20"/>
  <c r="K137" i="20"/>
  <c r="AC137" i="20"/>
  <c r="R137" i="20"/>
  <c r="Y137" i="20" s="1"/>
  <c r="X137" i="20" l="1"/>
  <c r="S47" i="22"/>
  <c r="X47" i="22" s="1"/>
  <c r="H47" i="22"/>
  <c r="U47" i="22" l="1"/>
  <c r="U20" i="23" l="1"/>
  <c r="H27" i="23"/>
  <c r="K26" i="23"/>
  <c r="H26" i="23"/>
  <c r="K25" i="23"/>
  <c r="H25" i="23"/>
  <c r="S18" i="23"/>
  <c r="AH20" i="23"/>
  <c r="AB20" i="23"/>
  <c r="Q20" i="23"/>
  <c r="X20" i="23" s="1"/>
  <c r="AH19" i="23"/>
  <c r="AB19" i="23"/>
  <c r="Q19" i="23"/>
  <c r="X19" i="23" s="1"/>
  <c r="J19" i="23"/>
  <c r="V6" i="20"/>
  <c r="N6" i="20"/>
  <c r="K6" i="20"/>
  <c r="AC6" i="20"/>
  <c r="R6" i="20"/>
  <c r="Y6" i="20" s="1"/>
  <c r="BT6" i="20" s="1"/>
  <c r="U66" i="20"/>
  <c r="V66" i="20" s="1"/>
  <c r="X66" i="20" s="1"/>
  <c r="Y66" i="20"/>
  <c r="N66" i="20"/>
  <c r="T19" i="23" l="1"/>
  <c r="U19" i="23" s="1"/>
  <c r="W19" i="23" s="1"/>
  <c r="X6" i="20"/>
  <c r="W20" i="23"/>
  <c r="Y18" i="23"/>
  <c r="K28" i="23"/>
  <c r="X18" i="23"/>
  <c r="Z20" i="23"/>
  <c r="AB2" i="23"/>
  <c r="T18" i="23" l="1"/>
  <c r="Z19" i="23"/>
  <c r="W18" i="23"/>
  <c r="BI46" i="22" l="1"/>
  <c r="AP46" i="22"/>
  <c r="AO46" i="22"/>
  <c r="BH46" i="22" s="1"/>
  <c r="AI46" i="22"/>
  <c r="AF46" i="22"/>
  <c r="Z46" i="22"/>
  <c r="W46" i="22"/>
  <c r="R46" i="22" s="1"/>
  <c r="S46" i="22" s="1"/>
  <c r="O46" i="22"/>
  <c r="V46" i="22" s="1"/>
  <c r="K46" i="22"/>
  <c r="H46" i="22"/>
  <c r="Z45" i="22"/>
  <c r="W45" i="22"/>
  <c r="S45" i="22"/>
  <c r="O45" i="22"/>
  <c r="V45" i="22" s="1"/>
  <c r="BQ45" i="22" s="1"/>
  <c r="H45" i="22"/>
  <c r="AQ44" i="22"/>
  <c r="AP44" i="22"/>
  <c r="AO44" i="22"/>
  <c r="AI44" i="22"/>
  <c r="AF44" i="22"/>
  <c r="Z44" i="22"/>
  <c r="Y44" i="22"/>
  <c r="S44" i="22"/>
  <c r="X44" i="22" s="1"/>
  <c r="O44" i="22"/>
  <c r="V44" i="22" s="1"/>
  <c r="BM44" i="22" s="1"/>
  <c r="N44" i="22"/>
  <c r="AM44" i="22" s="1"/>
  <c r="K44" i="22"/>
  <c r="H44" i="22"/>
  <c r="N35" i="20"/>
  <c r="K35" i="20"/>
  <c r="AC35" i="20"/>
  <c r="Y30" i="20"/>
  <c r="N30" i="20"/>
  <c r="K30" i="20"/>
  <c r="AC30" i="20"/>
  <c r="Y24" i="20"/>
  <c r="K24" i="20"/>
  <c r="AC24" i="20"/>
  <c r="V35" i="20"/>
  <c r="AA35" i="20" s="1"/>
  <c r="V30" i="20"/>
  <c r="AA30" i="20" s="1"/>
  <c r="V24" i="20"/>
  <c r="AA24" i="20" s="1"/>
  <c r="Y11" i="20"/>
  <c r="AT11" i="20"/>
  <c r="AS11" i="20"/>
  <c r="AR11" i="20"/>
  <c r="AL11" i="20"/>
  <c r="AI11" i="20"/>
  <c r="AC11" i="20"/>
  <c r="AB11" i="20"/>
  <c r="V11" i="20"/>
  <c r="AA11" i="20" s="1"/>
  <c r="Q11" i="20"/>
  <c r="AP11" i="20" s="1"/>
  <c r="N11" i="20"/>
  <c r="K11" i="20"/>
  <c r="BI43" i="22"/>
  <c r="AQ43" i="22"/>
  <c r="AP43" i="22"/>
  <c r="AO43" i="22"/>
  <c r="AI43" i="22"/>
  <c r="AF43" i="22"/>
  <c r="Z43" i="22"/>
  <c r="Y43" i="22"/>
  <c r="S43" i="22"/>
  <c r="X43" i="22" s="1"/>
  <c r="O43" i="22"/>
  <c r="N43" i="22"/>
  <c r="AM43" i="22" s="1"/>
  <c r="H43" i="22"/>
  <c r="U15" i="20"/>
  <c r="BO46" i="22" l="1"/>
  <c r="X46" i="22"/>
  <c r="AN46" i="22" s="1"/>
  <c r="U46" i="22"/>
  <c r="BM46" i="22"/>
  <c r="BQ46" i="22"/>
  <c r="BS46" i="22"/>
  <c r="U45" i="22"/>
  <c r="X24" i="20"/>
  <c r="X30" i="20"/>
  <c r="AN44" i="22"/>
  <c r="U44" i="22"/>
  <c r="AR44" i="22"/>
  <c r="BF44" i="22"/>
  <c r="BQ44" i="22"/>
  <c r="AN43" i="22"/>
  <c r="BF43" i="22" s="1"/>
  <c r="AQ11" i="20"/>
  <c r="BI11" i="20" s="1"/>
  <c r="BT11" i="20"/>
  <c r="BP11" i="20"/>
  <c r="X11" i="20"/>
  <c r="AR43" i="22"/>
  <c r="U43" i="22"/>
  <c r="BJ43" i="22" s="1"/>
  <c r="BV46" i="22" l="1"/>
  <c r="BF46" i="22"/>
  <c r="BG46" i="22" s="1"/>
  <c r="BN46" i="22" s="1"/>
  <c r="BP46" i="22" s="1"/>
  <c r="BB46" i="22"/>
  <c r="BT46" i="22"/>
  <c r="BW46" i="22" s="1"/>
  <c r="AR46" i="22"/>
  <c r="BA44" i="22"/>
  <c r="AZ44" i="22"/>
  <c r="AU11" i="20"/>
  <c r="BD11" i="20" s="1"/>
  <c r="AZ43" i="22"/>
  <c r="BA46" i="22" l="1"/>
  <c r="AZ46" i="22"/>
  <c r="BR46" i="22"/>
  <c r="BL46" i="22"/>
  <c r="BU46" i="22"/>
  <c r="BX46" i="22" s="1"/>
  <c r="BC11" i="20"/>
  <c r="BL61" i="20"/>
  <c r="U62" i="20"/>
  <c r="U63" i="20"/>
  <c r="AC61" i="20"/>
  <c r="AC62" i="20"/>
  <c r="AC63" i="20"/>
  <c r="N61" i="20"/>
  <c r="N62" i="20"/>
  <c r="N63" i="20"/>
  <c r="U61" i="20"/>
  <c r="R12" i="20"/>
  <c r="R15" i="20"/>
  <c r="Y15" i="20" s="1"/>
  <c r="BT15" i="20" s="1"/>
  <c r="K15" i="20"/>
  <c r="Y82" i="20"/>
  <c r="BJ42" i="22" l="1"/>
  <c r="BI42" i="22"/>
  <c r="AO42" i="22"/>
  <c r="BH42" i="22" s="1"/>
  <c r="AL42" i="22"/>
  <c r="AP42" i="22" s="1"/>
  <c r="AI42" i="22"/>
  <c r="AF42" i="22"/>
  <c r="Z42" i="22"/>
  <c r="W42" i="22"/>
  <c r="S42" i="22"/>
  <c r="O42" i="22"/>
  <c r="V42" i="22" s="1"/>
  <c r="N42" i="22"/>
  <c r="AM42" i="22" s="1"/>
  <c r="K42" i="22"/>
  <c r="H42" i="22"/>
  <c r="H40" i="22"/>
  <c r="K40" i="22"/>
  <c r="N40" i="22"/>
  <c r="AM40" i="22" s="1"/>
  <c r="O40" i="22"/>
  <c r="S40" i="22"/>
  <c r="X40" i="22" s="1"/>
  <c r="AN40" i="22" s="1"/>
  <c r="W40" i="22"/>
  <c r="Z40" i="22"/>
  <c r="AF40" i="22"/>
  <c r="AI40" i="22"/>
  <c r="AL40" i="22"/>
  <c r="AP40" i="22" s="1"/>
  <c r="AO40" i="22"/>
  <c r="BI40" i="22"/>
  <c r="BJ40" i="22"/>
  <c r="H41" i="22"/>
  <c r="K41" i="22"/>
  <c r="N41" i="22"/>
  <c r="AM41" i="22" s="1"/>
  <c r="O41" i="22"/>
  <c r="V41" i="22" s="1"/>
  <c r="S41" i="22"/>
  <c r="U41" i="22" s="1"/>
  <c r="W41" i="22"/>
  <c r="Z41" i="22"/>
  <c r="AF41" i="22"/>
  <c r="AI41" i="22"/>
  <c r="AO41" i="22"/>
  <c r="BH41" i="22" s="1"/>
  <c r="AP41" i="22"/>
  <c r="BI41" i="22"/>
  <c r="BJ41" i="22"/>
  <c r="BS42" i="22" l="1"/>
  <c r="U42" i="22"/>
  <c r="BS40" i="22"/>
  <c r="BO42" i="22"/>
  <c r="BO41" i="22"/>
  <c r="BH40" i="22"/>
  <c r="BO40" i="22" s="1"/>
  <c r="BM42" i="22"/>
  <c r="BQ42" i="22"/>
  <c r="U40" i="22"/>
  <c r="X41" i="22"/>
  <c r="AN41" i="22" s="1"/>
  <c r="BT41" i="22" s="1"/>
  <c r="BS41" i="22"/>
  <c r="X42" i="22"/>
  <c r="AN42" i="22" s="1"/>
  <c r="AR42" i="22" s="1"/>
  <c r="BQ41" i="22"/>
  <c r="BM41" i="22"/>
  <c r="BF40" i="22"/>
  <c r="AR40" i="22"/>
  <c r="V40" i="22"/>
  <c r="BT40" i="22" s="1"/>
  <c r="BG40" i="22" l="1"/>
  <c r="BV42" i="22"/>
  <c r="BW41" i="22"/>
  <c r="BV41" i="22"/>
  <c r="BU40" i="22"/>
  <c r="BC40" i="22"/>
  <c r="BC41" i="22"/>
  <c r="BB41" i="22"/>
  <c r="BR41" i="22" s="1"/>
  <c r="AZ42" i="22"/>
  <c r="BA42" i="22"/>
  <c r="BF42" i="22"/>
  <c r="BG42" i="22" s="1"/>
  <c r="BN42" i="22" s="1"/>
  <c r="BP42" i="22" s="1"/>
  <c r="BU41" i="22"/>
  <c r="BX41" i="22" s="1"/>
  <c r="AR41" i="22"/>
  <c r="AZ41" i="22" s="1"/>
  <c r="BC42" i="22"/>
  <c r="BT42" i="22"/>
  <c r="BB42" i="22"/>
  <c r="BF41" i="22"/>
  <c r="BG41" i="22" s="1"/>
  <c r="BN41" i="22" s="1"/>
  <c r="BP41" i="22" s="1"/>
  <c r="BA40" i="22"/>
  <c r="AZ40" i="22"/>
  <c r="BM40" i="22"/>
  <c r="BQ40" i="22"/>
  <c r="BV40" i="22" s="1"/>
  <c r="BB40" i="22"/>
  <c r="AL32" i="20"/>
  <c r="Y32" i="20"/>
  <c r="V32" i="20"/>
  <c r="AA32" i="20" s="1"/>
  <c r="K32" i="20"/>
  <c r="AC32" i="20"/>
  <c r="K15" i="23"/>
  <c r="H14" i="23"/>
  <c r="H16" i="23"/>
  <c r="H15" i="23"/>
  <c r="S13" i="23"/>
  <c r="T12" i="23"/>
  <c r="U12" i="23" s="1"/>
  <c r="K9" i="23"/>
  <c r="H10" i="23"/>
  <c r="H9" i="23"/>
  <c r="H8" i="23"/>
  <c r="S7" i="23"/>
  <c r="BN40" i="22" l="1"/>
  <c r="BP40" i="22" s="1"/>
  <c r="BA41" i="22"/>
  <c r="BL41" i="22"/>
  <c r="BW42" i="22"/>
  <c r="BU42" i="22"/>
  <c r="BX42" i="22" s="1"/>
  <c r="BL42" i="22"/>
  <c r="BR42" i="22"/>
  <c r="BR40" i="22"/>
  <c r="BL40" i="22"/>
  <c r="BX40" i="22"/>
  <c r="BW40" i="22"/>
  <c r="X32" i="20"/>
  <c r="Z12" i="23"/>
  <c r="Q12" i="23"/>
  <c r="X12" i="23" s="1"/>
  <c r="X13" i="23" s="1"/>
  <c r="W12" i="23" l="1"/>
  <c r="W13" i="23" s="1"/>
  <c r="K14" i="23" l="1"/>
  <c r="K17" i="23" s="1"/>
  <c r="Y13" i="23"/>
  <c r="T13" i="23" l="1"/>
  <c r="AB207" i="20"/>
  <c r="Y207" i="20"/>
  <c r="V207" i="20"/>
  <c r="AA207" i="20" s="1"/>
  <c r="K207" i="20"/>
  <c r="X207" i="20" l="1"/>
  <c r="V142" i="20" l="1"/>
  <c r="N142" i="20"/>
  <c r="K142" i="20"/>
  <c r="AC142" i="20"/>
  <c r="R142" i="20"/>
  <c r="Y142" i="20" s="1"/>
  <c r="X142" i="20" l="1"/>
  <c r="BT142" i="20"/>
  <c r="AS67" i="20" l="1"/>
  <c r="AR67" i="20"/>
  <c r="BK67" i="20" s="1"/>
  <c r="AL67" i="20"/>
  <c r="AI67" i="20"/>
  <c r="AC67" i="20"/>
  <c r="R67" i="20"/>
  <c r="Y67" i="20" s="1"/>
  <c r="BP67" i="20" s="1"/>
  <c r="N67" i="20"/>
  <c r="K67" i="20"/>
  <c r="BL67" i="20" l="1"/>
  <c r="BV67" i="20" s="1"/>
  <c r="U67" i="20"/>
  <c r="V67" i="20" s="1"/>
  <c r="AA67" i="20" s="1"/>
  <c r="AQ67" i="20" s="1"/>
  <c r="BT67" i="20"/>
  <c r="BY67" i="20" l="1"/>
  <c r="X67" i="20"/>
  <c r="BR67" i="20"/>
  <c r="BI67" i="20"/>
  <c r="BJ67" i="20" s="1"/>
  <c r="BQ67" i="20" s="1"/>
  <c r="BE67" i="20"/>
  <c r="BW67" i="20"/>
  <c r="AU67" i="20"/>
  <c r="BS67" i="20" l="1"/>
  <c r="BO67" i="20"/>
  <c r="BU67" i="20"/>
  <c r="BC67" i="20"/>
  <c r="BD67" i="20"/>
  <c r="BZ67" i="20"/>
  <c r="BX67" i="20"/>
  <c r="CA67" i="20" s="1"/>
  <c r="Q4" i="23"/>
  <c r="BI39" i="22" l="1"/>
  <c r="AQ39" i="22"/>
  <c r="AP39" i="22"/>
  <c r="AO39" i="22"/>
  <c r="AI39" i="22"/>
  <c r="AF39" i="22"/>
  <c r="Z39" i="22"/>
  <c r="Y39" i="22"/>
  <c r="S39" i="22"/>
  <c r="O39" i="22"/>
  <c r="V39" i="22" s="1"/>
  <c r="N39" i="22"/>
  <c r="AM39" i="22" s="1"/>
  <c r="K39" i="22"/>
  <c r="H39" i="22"/>
  <c r="Y105" i="20"/>
  <c r="Y111" i="20"/>
  <c r="N111" i="20"/>
  <c r="K111" i="20"/>
  <c r="AC111" i="20"/>
  <c r="N105" i="20"/>
  <c r="K105" i="20"/>
  <c r="AC105" i="20"/>
  <c r="V105" i="20"/>
  <c r="X105" i="20" s="1"/>
  <c r="V111" i="20"/>
  <c r="AA111" i="20" s="1"/>
  <c r="V183" i="20"/>
  <c r="AA183" i="20" s="1"/>
  <c r="Y183" i="20"/>
  <c r="U39" i="22" l="1"/>
  <c r="BJ39" i="22" s="1"/>
  <c r="BM39" i="22"/>
  <c r="BH39" i="22"/>
  <c r="BO39" i="22" s="1"/>
  <c r="BQ39" i="22"/>
  <c r="BK39" i="22"/>
  <c r="BD39" i="22" s="1"/>
  <c r="BT39" i="22" s="1"/>
  <c r="BW39" i="22" s="1"/>
  <c r="X39" i="22"/>
  <c r="AN39" i="22" s="1"/>
  <c r="X111" i="20"/>
  <c r="X183" i="20"/>
  <c r="BL130" i="20"/>
  <c r="AR39" i="22" l="1"/>
  <c r="BF39" i="22"/>
  <c r="BG39" i="22" s="1"/>
  <c r="BN39" i="22" s="1"/>
  <c r="BP39" i="22" s="1"/>
  <c r="BS39" i="22"/>
  <c r="BV39" i="22" s="1"/>
  <c r="Z165" i="20"/>
  <c r="U130" i="20"/>
  <c r="BU39" i="22" l="1"/>
  <c r="BX39" i="22" s="1"/>
  <c r="AZ39" i="22"/>
  <c r="BA39" i="22"/>
  <c r="BC39" i="22"/>
  <c r="BB39" i="22"/>
  <c r="Y7" i="23"/>
  <c r="V11" i="21"/>
  <c r="U99" i="20"/>
  <c r="V99" i="20" s="1"/>
  <c r="BL99" i="20"/>
  <c r="AT99" i="20"/>
  <c r="AR99" i="20"/>
  <c r="AO99" i="20"/>
  <c r="AS99" i="20" s="1"/>
  <c r="AL99" i="20"/>
  <c r="AC99" i="20"/>
  <c r="AB99" i="20"/>
  <c r="R99" i="20"/>
  <c r="Y99" i="20" s="1"/>
  <c r="AP99" i="20"/>
  <c r="N99" i="20"/>
  <c r="K99" i="20"/>
  <c r="BL39" i="22" l="1"/>
  <c r="BR39" i="22"/>
  <c r="X99" i="20"/>
  <c r="BP99" i="20"/>
  <c r="BT99" i="20"/>
  <c r="AQ99" i="20"/>
  <c r="BI99" i="20" s="1"/>
  <c r="BM99" i="20"/>
  <c r="BF99" i="20" l="1"/>
  <c r="BE99" i="20"/>
  <c r="BU99" i="20" s="1"/>
  <c r="AU99" i="20"/>
  <c r="BC99" i="20" s="1"/>
  <c r="V50" i="20"/>
  <c r="N50" i="20"/>
  <c r="K50" i="20"/>
  <c r="AC50" i="20"/>
  <c r="R50" i="20"/>
  <c r="Y50" i="20" s="1"/>
  <c r="BT50" i="20" s="1"/>
  <c r="BI38" i="22"/>
  <c r="AP38" i="22"/>
  <c r="AO38" i="22"/>
  <c r="AI38" i="22"/>
  <c r="AF38" i="22"/>
  <c r="Z38" i="22"/>
  <c r="W38" i="22"/>
  <c r="R38" i="22" s="1"/>
  <c r="S38" i="22" s="1"/>
  <c r="O38" i="22"/>
  <c r="V38" i="22" s="1"/>
  <c r="BM38" i="22" s="1"/>
  <c r="N38" i="22"/>
  <c r="K38" i="22"/>
  <c r="H38" i="22"/>
  <c r="H37" i="22"/>
  <c r="K37" i="22"/>
  <c r="N37" i="22"/>
  <c r="AM37" i="22" s="1"/>
  <c r="O37" i="22"/>
  <c r="V37" i="22" s="1"/>
  <c r="S37" i="22"/>
  <c r="U37" i="22" s="1"/>
  <c r="Z37" i="22"/>
  <c r="AF37" i="22"/>
  <c r="AI37" i="22"/>
  <c r="AO37" i="22"/>
  <c r="AP37" i="22"/>
  <c r="AQ37" i="22"/>
  <c r="V186" i="20"/>
  <c r="X186" i="20" s="1"/>
  <c r="Y186" i="20"/>
  <c r="K186" i="20"/>
  <c r="Y22" i="20"/>
  <c r="V22" i="20"/>
  <c r="AA22" i="20" s="1"/>
  <c r="K22" i="20"/>
  <c r="AC22" i="20"/>
  <c r="BS38" i="22" l="1"/>
  <c r="X50" i="20"/>
  <c r="BO99" i="20"/>
  <c r="BD99" i="20"/>
  <c r="BH38" i="22"/>
  <c r="BO38" i="22" s="1"/>
  <c r="X38" i="22"/>
  <c r="AN38" i="22" s="1"/>
  <c r="U38" i="22"/>
  <c r="BQ38" i="22"/>
  <c r="BM37" i="22"/>
  <c r="BQ37" i="22"/>
  <c r="X37" i="22"/>
  <c r="AN37" i="22" s="1"/>
  <c r="AR37" i="22"/>
  <c r="BF37" i="22"/>
  <c r="AA186" i="20"/>
  <c r="X22" i="20"/>
  <c r="BV38" i="22" l="1"/>
  <c r="BB38" i="22"/>
  <c r="AR38" i="22"/>
  <c r="BF38" i="22"/>
  <c r="BG38" i="22" s="1"/>
  <c r="BN38" i="22" s="1"/>
  <c r="BP38" i="22" s="1"/>
  <c r="BT38" i="22"/>
  <c r="AZ37" i="22"/>
  <c r="BA37" i="22"/>
  <c r="BW38" i="22" l="1"/>
  <c r="BU38" i="22"/>
  <c r="BX38" i="22" s="1"/>
  <c r="BA38" i="22"/>
  <c r="AZ38" i="22"/>
  <c r="BL38" i="22"/>
  <c r="BR38" i="22"/>
  <c r="T6" i="23"/>
  <c r="U6" i="23" s="1"/>
  <c r="U224" i="20"/>
  <c r="V224" i="20" s="1"/>
  <c r="L228" i="20"/>
  <c r="I73" i="20"/>
  <c r="AT224" i="20"/>
  <c r="AS224" i="20"/>
  <c r="AR224" i="20"/>
  <c r="BK224" i="20" s="1"/>
  <c r="AP224" i="20"/>
  <c r="AL224" i="20"/>
  <c r="AI224" i="20"/>
  <c r="AC224" i="20"/>
  <c r="BM224" i="20"/>
  <c r="R224" i="20"/>
  <c r="Y224" i="20" s="1"/>
  <c r="N224" i="20"/>
  <c r="K224" i="20"/>
  <c r="T3" i="23"/>
  <c r="T4" i="23"/>
  <c r="U4" i="23" s="1"/>
  <c r="T5" i="23"/>
  <c r="U5" i="23" s="1"/>
  <c r="T2" i="23"/>
  <c r="K8" i="23"/>
  <c r="T7" i="23" l="1"/>
  <c r="BL224" i="20"/>
  <c r="BV224" i="20" s="1"/>
  <c r="BP224" i="20"/>
  <c r="BT224" i="20"/>
  <c r="X224" i="20"/>
  <c r="AA224" i="20"/>
  <c r="AQ224" i="20" s="1"/>
  <c r="BE224" i="20" l="1"/>
  <c r="BO224" i="20" s="1"/>
  <c r="BY224" i="20"/>
  <c r="BR224" i="20"/>
  <c r="AU224" i="20"/>
  <c r="BC224" i="20" s="1"/>
  <c r="BW224" i="20"/>
  <c r="BF224" i="20"/>
  <c r="BI224" i="20"/>
  <c r="BJ224" i="20" s="1"/>
  <c r="BQ224" i="20" s="1"/>
  <c r="BU224" i="20" l="1"/>
  <c r="BS224" i="20"/>
  <c r="BD224" i="20"/>
  <c r="BZ224" i="20"/>
  <c r="BX224" i="20"/>
  <c r="CA224" i="20" s="1"/>
  <c r="V106" i="20"/>
  <c r="X106" i="20" s="1"/>
  <c r="Y106" i="20"/>
  <c r="N106" i="20"/>
  <c r="K106" i="20"/>
  <c r="AC106" i="20"/>
  <c r="V104" i="20"/>
  <c r="X104" i="20" s="1"/>
  <c r="Y104" i="20"/>
  <c r="N104" i="20"/>
  <c r="K104" i="20"/>
  <c r="AC104" i="20"/>
  <c r="V103" i="20" l="1"/>
  <c r="X103" i="20" s="1"/>
  <c r="Y103" i="20"/>
  <c r="N103" i="20"/>
  <c r="K103" i="20"/>
  <c r="AC103" i="20"/>
  <c r="V117" i="20" l="1"/>
  <c r="AA117" i="20" s="1"/>
  <c r="R117" i="20"/>
  <c r="Y117" i="20" s="1"/>
  <c r="K117" i="20"/>
  <c r="AQ36" i="22"/>
  <c r="AO36" i="22"/>
  <c r="AL36" i="22"/>
  <c r="AP36" i="22" s="1"/>
  <c r="AI36" i="22"/>
  <c r="Z36" i="22"/>
  <c r="Y36" i="22"/>
  <c r="W36" i="22"/>
  <c r="R36" i="22" s="1"/>
  <c r="S36" i="22" s="1"/>
  <c r="O36" i="22"/>
  <c r="V36" i="22" s="1"/>
  <c r="N36" i="22"/>
  <c r="AM36" i="22" s="1"/>
  <c r="K36" i="22"/>
  <c r="H36" i="22"/>
  <c r="BI35" i="22"/>
  <c r="AQ35" i="22"/>
  <c r="AO35" i="22"/>
  <c r="AL35" i="22"/>
  <c r="AP35" i="22" s="1"/>
  <c r="AI35" i="22"/>
  <c r="Z35" i="22"/>
  <c r="Y35" i="22"/>
  <c r="S35" i="22"/>
  <c r="X35" i="22" s="1"/>
  <c r="O35" i="22"/>
  <c r="V35" i="22" s="1"/>
  <c r="BK35" i="22" s="1"/>
  <c r="BS35" i="22" s="1"/>
  <c r="N35" i="22"/>
  <c r="AM35" i="22" s="1"/>
  <c r="K35" i="22"/>
  <c r="H35" i="22"/>
  <c r="AN35" i="22" l="1"/>
  <c r="BF35" i="22" s="1"/>
  <c r="BI36" i="22"/>
  <c r="U35" i="22"/>
  <c r="BJ35" i="22" s="1"/>
  <c r="BC35" i="22" s="1"/>
  <c r="BB35" i="22"/>
  <c r="BL35" i="22" s="1"/>
  <c r="X117" i="20"/>
  <c r="BV35" i="22"/>
  <c r="X36" i="22"/>
  <c r="AN36" i="22" s="1"/>
  <c r="BF36" i="22" s="1"/>
  <c r="U36" i="22"/>
  <c r="BJ36" i="22" s="1"/>
  <c r="BC36" i="22" s="1"/>
  <c r="AR35" i="22"/>
  <c r="BH36" i="22"/>
  <c r="BO36" i="22" s="1"/>
  <c r="BM36" i="22"/>
  <c r="BK36" i="22"/>
  <c r="BS36" i="22" s="1"/>
  <c r="BQ36" i="22"/>
  <c r="BH35" i="22"/>
  <c r="BO35" i="22" s="1"/>
  <c r="BM35" i="22"/>
  <c r="BD35" i="22"/>
  <c r="BT35" i="22" s="1"/>
  <c r="BW35" i="22" s="1"/>
  <c r="BQ35" i="22"/>
  <c r="BR35" i="22" l="1"/>
  <c r="AR36" i="22"/>
  <c r="AZ36" i="22" s="1"/>
  <c r="BU35" i="22"/>
  <c r="BX35" i="22" s="1"/>
  <c r="BB36" i="22"/>
  <c r="BR36" i="22" s="1"/>
  <c r="BA35" i="22"/>
  <c r="AZ35" i="22"/>
  <c r="BV36" i="22"/>
  <c r="BL36" i="22"/>
  <c r="BG35" i="22"/>
  <c r="BN35" i="22" s="1"/>
  <c r="BP35" i="22" s="1"/>
  <c r="BD36" i="22"/>
  <c r="BT36" i="22" s="1"/>
  <c r="BW36" i="22" s="1"/>
  <c r="BG36" i="22"/>
  <c r="BN36" i="22" s="1"/>
  <c r="BP36" i="22" s="1"/>
  <c r="BA36" i="22" l="1"/>
  <c r="BU36" i="22"/>
  <c r="BX36" i="22" s="1"/>
  <c r="W4" i="23" l="1"/>
  <c r="X4" i="23"/>
  <c r="Z4" i="23"/>
  <c r="Z6" i="23"/>
  <c r="BI34" i="22" l="1"/>
  <c r="AP34" i="22"/>
  <c r="AO34" i="22"/>
  <c r="AI34" i="22"/>
  <c r="AF34" i="22"/>
  <c r="Z34" i="22"/>
  <c r="S34" i="22"/>
  <c r="O34" i="22"/>
  <c r="V34" i="22" s="1"/>
  <c r="N34" i="22"/>
  <c r="AM34" i="22" s="1"/>
  <c r="K34" i="22"/>
  <c r="H34" i="22"/>
  <c r="U34" i="22" l="1"/>
  <c r="BJ34" i="22" s="1"/>
  <c r="X34" i="22"/>
  <c r="AN34" i="22" s="1"/>
  <c r="BB34" i="22" s="1"/>
  <c r="BM34" i="22"/>
  <c r="BK34" i="22"/>
  <c r="BS34" i="22" s="1"/>
  <c r="BH34" i="22"/>
  <c r="BO34" i="22" s="1"/>
  <c r="BQ34" i="22"/>
  <c r="BF34" i="22"/>
  <c r="AR34" i="22"/>
  <c r="BC34" i="22" l="1"/>
  <c r="BD34" i="22"/>
  <c r="BT34" i="22" s="1"/>
  <c r="BW34" i="22" s="1"/>
  <c r="BL34" i="22"/>
  <c r="BR34" i="22"/>
  <c r="BA34" i="22"/>
  <c r="AZ34" i="22"/>
  <c r="BG34" i="22"/>
  <c r="BN34" i="22" s="1"/>
  <c r="BP34" i="22" s="1"/>
  <c r="BV34" i="22"/>
  <c r="BU34" i="22" l="1"/>
  <c r="BX34" i="22" s="1"/>
  <c r="Q6" i="23"/>
  <c r="X6" i="23" l="1"/>
  <c r="W6" i="23"/>
  <c r="U129" i="20"/>
  <c r="BI31" i="22" l="1"/>
  <c r="AQ31" i="22"/>
  <c r="AO31" i="22"/>
  <c r="AL31" i="22"/>
  <c r="AP31" i="22" s="1"/>
  <c r="AI31" i="22"/>
  <c r="Z31" i="22"/>
  <c r="Y31" i="22"/>
  <c r="S31" i="22"/>
  <c r="X31" i="22" s="1"/>
  <c r="O31" i="22"/>
  <c r="V31" i="22" s="1"/>
  <c r="BM31" i="22" s="1"/>
  <c r="N31" i="22"/>
  <c r="AM31" i="22" s="1"/>
  <c r="K31" i="22"/>
  <c r="H31" i="22"/>
  <c r="K130" i="20"/>
  <c r="R130" i="20"/>
  <c r="Y130" i="20" s="1"/>
  <c r="V129" i="20"/>
  <c r="R129" i="20"/>
  <c r="Y129" i="20" s="1"/>
  <c r="K129" i="20"/>
  <c r="AQ33" i="22"/>
  <c r="AO33" i="22"/>
  <c r="AL33" i="22"/>
  <c r="AP33" i="22" s="1"/>
  <c r="AI33" i="22"/>
  <c r="Z33" i="22"/>
  <c r="W33" i="22"/>
  <c r="R33" i="22" s="1"/>
  <c r="S33" i="22" s="1"/>
  <c r="O33" i="22"/>
  <c r="V33" i="22" s="1"/>
  <c r="N33" i="22"/>
  <c r="AM33" i="22" s="1"/>
  <c r="K33" i="22"/>
  <c r="H33" i="22"/>
  <c r="AC222" i="20"/>
  <c r="V222" i="20"/>
  <c r="R222" i="20"/>
  <c r="Y222" i="20" s="1"/>
  <c r="N222" i="20"/>
  <c r="K222" i="20"/>
  <c r="AN31" i="22" l="1"/>
  <c r="BF31" i="22" s="1"/>
  <c r="BH31" i="22"/>
  <c r="BO31" i="22" s="1"/>
  <c r="BQ31" i="22"/>
  <c r="BK31" i="22"/>
  <c r="BS31" i="22" s="1"/>
  <c r="U31" i="22"/>
  <c r="BJ31" i="22" s="1"/>
  <c r="X129" i="20"/>
  <c r="BM33" i="22"/>
  <c r="BQ33" i="22"/>
  <c r="X33" i="22"/>
  <c r="AN33" i="22" s="1"/>
  <c r="AR33" i="22" s="1"/>
  <c r="U33" i="22"/>
  <c r="AA222" i="20"/>
  <c r="X222" i="20"/>
  <c r="AR31" i="22" l="1"/>
  <c r="BA31" i="22" s="1"/>
  <c r="BC31" i="22"/>
  <c r="BB31" i="22"/>
  <c r="BL31" i="22" s="1"/>
  <c r="BV31" i="22"/>
  <c r="BR31" i="22"/>
  <c r="BD31" i="22"/>
  <c r="BT31" i="22" s="1"/>
  <c r="BW31" i="22" s="1"/>
  <c r="BG31" i="22"/>
  <c r="BN31" i="22" s="1"/>
  <c r="BP31" i="22" s="1"/>
  <c r="BA33" i="22"/>
  <c r="AZ33" i="22"/>
  <c r="BF33" i="22"/>
  <c r="J4" i="23"/>
  <c r="AH5" i="23"/>
  <c r="AB5" i="23"/>
  <c r="Q5" i="23"/>
  <c r="X5" i="23" s="1"/>
  <c r="M5" i="23"/>
  <c r="J5" i="23"/>
  <c r="AH3" i="23"/>
  <c r="AB3" i="23"/>
  <c r="U3" i="23"/>
  <c r="Q3" i="23"/>
  <c r="X3" i="23" s="1"/>
  <c r="J3" i="23"/>
  <c r="AH2" i="23"/>
  <c r="U2" i="23"/>
  <c r="Q2" i="23"/>
  <c r="X2" i="23" s="1"/>
  <c r="J2" i="23"/>
  <c r="X7" i="23" l="1"/>
  <c r="AZ31" i="22"/>
  <c r="W5" i="23"/>
  <c r="Z5" i="23"/>
  <c r="Z3" i="23"/>
  <c r="W3" i="23"/>
  <c r="BU31" i="22"/>
  <c r="BX31" i="22" s="1"/>
  <c r="K11" i="23"/>
  <c r="Z2" i="23"/>
  <c r="W2" i="23"/>
  <c r="U199" i="20"/>
  <c r="BL199" i="20"/>
  <c r="W7" i="23" l="1"/>
  <c r="BI32" i="22"/>
  <c r="AQ32" i="22"/>
  <c r="AO32" i="22"/>
  <c r="AL32" i="22"/>
  <c r="AP32" i="22" s="1"/>
  <c r="AI32" i="22"/>
  <c r="Z32" i="22"/>
  <c r="S32" i="22"/>
  <c r="X32" i="22" s="1"/>
  <c r="AN32" i="22" s="1"/>
  <c r="O32" i="22"/>
  <c r="V32" i="22" s="1"/>
  <c r="N32" i="22"/>
  <c r="K32" i="22"/>
  <c r="H32" i="22"/>
  <c r="AR32" i="22" l="1"/>
  <c r="BF32" i="22"/>
  <c r="BB32" i="22"/>
  <c r="BH32" i="22"/>
  <c r="BO32" i="22" s="1"/>
  <c r="BM32" i="22"/>
  <c r="BK32" i="22"/>
  <c r="BS32" i="22" s="1"/>
  <c r="BQ32" i="22"/>
  <c r="U32" i="22"/>
  <c r="BJ32" i="22" s="1"/>
  <c r="BC32" i="22" s="1"/>
  <c r="U132" i="20"/>
  <c r="BL32" i="22" l="1"/>
  <c r="BR32" i="22"/>
  <c r="BV32" i="22"/>
  <c r="BD32" i="22"/>
  <c r="BT32" i="22" s="1"/>
  <c r="BW32" i="22" s="1"/>
  <c r="BG32" i="22"/>
  <c r="BN32" i="22" s="1"/>
  <c r="BP32" i="22" s="1"/>
  <c r="BA32" i="22"/>
  <c r="AZ32" i="22"/>
  <c r="BU32" i="22" l="1"/>
  <c r="BX32" i="22" s="1"/>
  <c r="U223" i="20" l="1"/>
  <c r="U215" i="20"/>
  <c r="K79" i="20"/>
  <c r="AT136" i="20"/>
  <c r="AR136" i="20"/>
  <c r="AP136" i="20"/>
  <c r="AO136" i="20"/>
  <c r="AS136" i="20" s="1"/>
  <c r="AL136" i="20"/>
  <c r="AC136" i="20"/>
  <c r="AB136" i="20"/>
  <c r="V136" i="20"/>
  <c r="R136" i="20"/>
  <c r="Y136" i="20" s="1"/>
  <c r="N136" i="20"/>
  <c r="K136" i="20"/>
  <c r="X136" i="20" l="1"/>
  <c r="AA136" i="20"/>
  <c r="AQ136" i="20" s="1"/>
  <c r="BP136" i="20"/>
  <c r="BT136" i="20"/>
  <c r="AU136" i="20" l="1"/>
  <c r="BD136" i="20" s="1"/>
  <c r="BI136" i="20"/>
  <c r="U128" i="20"/>
  <c r="V13" i="21"/>
  <c r="L159" i="20"/>
  <c r="I121" i="20"/>
  <c r="L121" i="20"/>
  <c r="L72" i="20"/>
  <c r="BC136" i="20" l="1"/>
  <c r="V209" i="20"/>
  <c r="AA209" i="20" s="1"/>
  <c r="V208" i="20"/>
  <c r="X208" i="20" s="1"/>
  <c r="Y208" i="20"/>
  <c r="K209" i="20"/>
  <c r="K208" i="20"/>
  <c r="AC199" i="20"/>
  <c r="R199" i="20"/>
  <c r="Y199" i="20" s="1"/>
  <c r="T226" i="20"/>
  <c r="T158" i="20"/>
  <c r="U221" i="20"/>
  <c r="V221" i="20" s="1"/>
  <c r="U55" i="20"/>
  <c r="U52" i="20"/>
  <c r="V36" i="20"/>
  <c r="N36" i="20"/>
  <c r="K36" i="20"/>
  <c r="AC36" i="20"/>
  <c r="R36" i="20"/>
  <c r="Y36" i="20" s="1"/>
  <c r="BT36" i="20" s="1"/>
  <c r="BI30" i="22"/>
  <c r="AQ30" i="22"/>
  <c r="AP30" i="22"/>
  <c r="AO30" i="22"/>
  <c r="AI30" i="22"/>
  <c r="AF30" i="22"/>
  <c r="Z30" i="22"/>
  <c r="Y30" i="22"/>
  <c r="S30" i="22"/>
  <c r="X30" i="22" s="1"/>
  <c r="O30" i="22"/>
  <c r="V30" i="22" s="1"/>
  <c r="BH30" i="22" s="1"/>
  <c r="N30" i="22"/>
  <c r="AM30" i="22" s="1"/>
  <c r="K30" i="22"/>
  <c r="H30" i="22"/>
  <c r="V23" i="20"/>
  <c r="K23" i="20"/>
  <c r="R23" i="20"/>
  <c r="Y23" i="20" s="1"/>
  <c r="BI29" i="22"/>
  <c r="AQ29" i="22"/>
  <c r="AP29" i="22"/>
  <c r="AO29" i="22"/>
  <c r="AI29" i="22"/>
  <c r="AF29" i="22"/>
  <c r="Z29" i="22"/>
  <c r="Y29" i="22"/>
  <c r="S29" i="22"/>
  <c r="X29" i="22" s="1"/>
  <c r="O29" i="22"/>
  <c r="V29" i="22" s="1"/>
  <c r="BK29" i="22" s="1"/>
  <c r="N29" i="22"/>
  <c r="AM29" i="22" s="1"/>
  <c r="K29" i="22"/>
  <c r="H29" i="22"/>
  <c r="AC221" i="20"/>
  <c r="R221" i="20"/>
  <c r="Y221" i="20" s="1"/>
  <c r="Q221" i="20"/>
  <c r="N221" i="20"/>
  <c r="K221" i="20"/>
  <c r="BO30" i="22" l="1"/>
  <c r="AN30" i="22"/>
  <c r="BS29" i="22"/>
  <c r="U29" i="22"/>
  <c r="BJ29" i="22" s="1"/>
  <c r="AA208" i="20"/>
  <c r="X23" i="20"/>
  <c r="Z158" i="20"/>
  <c r="Z226" i="20"/>
  <c r="BT199" i="20"/>
  <c r="X36" i="20"/>
  <c r="AA36" i="20"/>
  <c r="U30" i="22"/>
  <c r="BJ30" i="22" s="1"/>
  <c r="BC30" i="22" s="1"/>
  <c r="AR30" i="22"/>
  <c r="BF30" i="22"/>
  <c r="BG30" i="22" s="1"/>
  <c r="BB30" i="22"/>
  <c r="BQ30" i="22"/>
  <c r="BK30" i="22"/>
  <c r="BS30" i="22" s="1"/>
  <c r="BM30" i="22"/>
  <c r="AN29" i="22"/>
  <c r="BB29" i="22" s="1"/>
  <c r="BQ29" i="22"/>
  <c r="BV29" i="22" s="1"/>
  <c r="BM29" i="22"/>
  <c r="BH29" i="22"/>
  <c r="BO29" i="22" s="1"/>
  <c r="AA221" i="20"/>
  <c r="X221" i="20"/>
  <c r="Z28" i="22"/>
  <c r="W28" i="22"/>
  <c r="S28" i="22"/>
  <c r="X28" i="22" s="1"/>
  <c r="O28" i="22"/>
  <c r="V28" i="22" s="1"/>
  <c r="K28" i="22"/>
  <c r="H28" i="22"/>
  <c r="V15" i="21"/>
  <c r="N89" i="20"/>
  <c r="AB206" i="20"/>
  <c r="V206" i="20"/>
  <c r="Y206" i="20"/>
  <c r="K206" i="20"/>
  <c r="N81" i="20"/>
  <c r="N88" i="20"/>
  <c r="N87" i="20"/>
  <c r="L122" i="20"/>
  <c r="AQ27" i="22"/>
  <c r="AO27" i="22"/>
  <c r="AL27" i="22"/>
  <c r="AP27" i="22" s="1"/>
  <c r="AI27" i="22"/>
  <c r="Z27" i="22"/>
  <c r="Y27" i="22"/>
  <c r="S27" i="22"/>
  <c r="X27" i="22" s="1"/>
  <c r="O27" i="22"/>
  <c r="V27" i="22" s="1"/>
  <c r="N27" i="22"/>
  <c r="AM27" i="22" s="1"/>
  <c r="K27" i="22"/>
  <c r="H27" i="22"/>
  <c r="I160" i="20"/>
  <c r="I229" i="20"/>
  <c r="L160" i="20"/>
  <c r="AC215" i="20"/>
  <c r="V215" i="20"/>
  <c r="R215" i="20"/>
  <c r="Y215" i="20" s="1"/>
  <c r="N215" i="20"/>
  <c r="K215" i="20"/>
  <c r="AT132" i="20"/>
  <c r="AR132" i="20"/>
  <c r="BK132" i="20" s="1"/>
  <c r="AO132" i="20"/>
  <c r="AS132" i="20" s="1"/>
  <c r="AL132" i="20"/>
  <c r="AC132" i="20"/>
  <c r="V132" i="20"/>
  <c r="R132" i="20"/>
  <c r="Y132" i="20" s="1"/>
  <c r="Q132" i="20"/>
  <c r="AP132" i="20" s="1"/>
  <c r="N132" i="20"/>
  <c r="K173" i="20"/>
  <c r="AS139" i="20"/>
  <c r="AR139" i="20"/>
  <c r="AP139" i="20"/>
  <c r="AL139" i="20"/>
  <c r="AC139" i="20"/>
  <c r="Y139" i="20"/>
  <c r="N139" i="20"/>
  <c r="K139" i="20"/>
  <c r="V128" i="20"/>
  <c r="R128" i="20"/>
  <c r="Y128" i="20" s="1"/>
  <c r="K128" i="20"/>
  <c r="T15" i="21"/>
  <c r="T17" i="21" s="1"/>
  <c r="V116" i="20"/>
  <c r="AA116" i="20" s="1"/>
  <c r="K116" i="20"/>
  <c r="AC116" i="20"/>
  <c r="R116" i="20"/>
  <c r="Y116" i="20" s="1"/>
  <c r="AT225" i="20"/>
  <c r="AR225" i="20"/>
  <c r="AO225" i="20"/>
  <c r="AS225" i="20" s="1"/>
  <c r="AL225" i="20"/>
  <c r="AC225" i="20"/>
  <c r="V225" i="20"/>
  <c r="AA225" i="20" s="1"/>
  <c r="AQ225" i="20" s="1"/>
  <c r="R225" i="20"/>
  <c r="Y225" i="20" s="1"/>
  <c r="Q225" i="20"/>
  <c r="AP225" i="20" s="1"/>
  <c r="N225" i="20"/>
  <c r="K225" i="20"/>
  <c r="AT157" i="20"/>
  <c r="AR157" i="20"/>
  <c r="AO157" i="20"/>
  <c r="AS157" i="20" s="1"/>
  <c r="AL157" i="20"/>
  <c r="AC157" i="20"/>
  <c r="V157" i="20"/>
  <c r="AA157" i="20" s="1"/>
  <c r="AQ157" i="20" s="1"/>
  <c r="R157" i="20"/>
  <c r="Y157" i="20" s="1"/>
  <c r="Q157" i="20"/>
  <c r="AP157" i="20" s="1"/>
  <c r="N157" i="20"/>
  <c r="K157" i="20"/>
  <c r="AR29" i="22" l="1"/>
  <c r="BA29" i="22" s="1"/>
  <c r="BF29" i="22"/>
  <c r="BG29" i="22" s="1"/>
  <c r="BN29" i="22" s="1"/>
  <c r="BP29" i="22" s="1"/>
  <c r="BD29" i="22"/>
  <c r="BT29" i="22" s="1"/>
  <c r="BU29" i="22" s="1"/>
  <c r="BX29" i="22" s="1"/>
  <c r="AN27" i="22"/>
  <c r="AR27" i="22" s="1"/>
  <c r="BC29" i="22"/>
  <c r="BV30" i="22"/>
  <c r="BD30" i="22"/>
  <c r="BT30" i="22" s="1"/>
  <c r="BW30" i="22" s="1"/>
  <c r="BL30" i="22"/>
  <c r="BR30" i="22"/>
  <c r="BN30" i="22"/>
  <c r="BP30" i="22" s="1"/>
  <c r="AZ30" i="22"/>
  <c r="BA30" i="22"/>
  <c r="BR29" i="22"/>
  <c r="BL29" i="22"/>
  <c r="U28" i="22"/>
  <c r="AA206" i="20"/>
  <c r="X206" i="20"/>
  <c r="BM27" i="22"/>
  <c r="BQ27" i="22"/>
  <c r="BF27" i="22"/>
  <c r="U27" i="22"/>
  <c r="AA215" i="20"/>
  <c r="X215" i="20"/>
  <c r="BP132" i="20"/>
  <c r="BT132" i="20"/>
  <c r="X132" i="20"/>
  <c r="AA132" i="20"/>
  <c r="AQ132" i="20" s="1"/>
  <c r="AU132" i="20" s="1"/>
  <c r="BK139" i="20"/>
  <c r="BP139" i="20"/>
  <c r="BT139" i="20"/>
  <c r="U139" i="20"/>
  <c r="V139" i="20" s="1"/>
  <c r="X128" i="20"/>
  <c r="X116" i="20"/>
  <c r="BP225" i="20"/>
  <c r="BT225" i="20"/>
  <c r="AU225" i="20"/>
  <c r="BI225" i="20"/>
  <c r="X225" i="20"/>
  <c r="BT157" i="20"/>
  <c r="BP157" i="20"/>
  <c r="AU157" i="20"/>
  <c r="BI157" i="20"/>
  <c r="X157" i="20"/>
  <c r="BJ26" i="22"/>
  <c r="BI26" i="22"/>
  <c r="AQ26" i="22"/>
  <c r="AO26" i="22"/>
  <c r="BH26" i="22" s="1"/>
  <c r="AL26" i="22"/>
  <c r="AP26" i="22" s="1"/>
  <c r="AI26" i="22"/>
  <c r="Z26" i="22"/>
  <c r="Y26" i="22"/>
  <c r="W26" i="22"/>
  <c r="R26" i="22" s="1"/>
  <c r="S26" i="22" s="1"/>
  <c r="O26" i="22"/>
  <c r="V26" i="22" s="1"/>
  <c r="N26" i="22"/>
  <c r="AM26" i="22" s="1"/>
  <c r="K26" i="22"/>
  <c r="H26" i="22"/>
  <c r="AQ25" i="22"/>
  <c r="AP25" i="22"/>
  <c r="AO25" i="22"/>
  <c r="BH25" i="22" s="1"/>
  <c r="AI25" i="22"/>
  <c r="AF25" i="22"/>
  <c r="Z25" i="22"/>
  <c r="Y25" i="22"/>
  <c r="W25" i="22"/>
  <c r="S25" i="22"/>
  <c r="U25" i="22" s="1"/>
  <c r="O25" i="22"/>
  <c r="V25" i="22" s="1"/>
  <c r="N25" i="22"/>
  <c r="AM25" i="22" s="1"/>
  <c r="H25" i="22"/>
  <c r="AQ24" i="22"/>
  <c r="AP24" i="22"/>
  <c r="AO24" i="22"/>
  <c r="BH24" i="22" s="1"/>
  <c r="AI24" i="22"/>
  <c r="AF24" i="22"/>
  <c r="Z24" i="22"/>
  <c r="W24" i="22"/>
  <c r="S24" i="22"/>
  <c r="X24" i="22" s="1"/>
  <c r="AN24" i="22" s="1"/>
  <c r="O24" i="22"/>
  <c r="V24" i="22" s="1"/>
  <c r="N24" i="22"/>
  <c r="AM24" i="22" s="1"/>
  <c r="K24" i="22"/>
  <c r="H24" i="22"/>
  <c r="AP23" i="22"/>
  <c r="AO23" i="22"/>
  <c r="AM23" i="22"/>
  <c r="AI23" i="22"/>
  <c r="Z23" i="22"/>
  <c r="W23" i="22"/>
  <c r="R23" i="22" s="1"/>
  <c r="S23" i="22" s="1"/>
  <c r="O23" i="22"/>
  <c r="V23" i="22" s="1"/>
  <c r="K23" i="22"/>
  <c r="H23" i="22"/>
  <c r="AP22" i="22"/>
  <c r="AO22" i="22"/>
  <c r="AM22" i="22"/>
  <c r="AI22" i="22"/>
  <c r="Z22" i="22"/>
  <c r="W22" i="22"/>
  <c r="R22" i="22" s="1"/>
  <c r="S22" i="22" s="1"/>
  <c r="O22" i="22"/>
  <c r="V22" i="22" s="1"/>
  <c r="K22" i="22"/>
  <c r="H22" i="22"/>
  <c r="BI21" i="22"/>
  <c r="AP21" i="22"/>
  <c r="AO21" i="22"/>
  <c r="AI21" i="22"/>
  <c r="AF21" i="22"/>
  <c r="Z21" i="22"/>
  <c r="Y21" i="22"/>
  <c r="S21" i="22"/>
  <c r="X21" i="22" s="1"/>
  <c r="O21" i="22"/>
  <c r="N21" i="22"/>
  <c r="AM21" i="22" s="1"/>
  <c r="K21" i="22"/>
  <c r="H21" i="22"/>
  <c r="BW29" i="22" l="1"/>
  <c r="AZ29" i="22"/>
  <c r="BU30" i="22"/>
  <c r="BX30" i="22" s="1"/>
  <c r="BA27" i="22"/>
  <c r="AZ27" i="22"/>
  <c r="BI132" i="20"/>
  <c r="BJ132" i="20" s="1"/>
  <c r="BQ132" i="20" s="1"/>
  <c r="BW132" i="20"/>
  <c r="BD132" i="20"/>
  <c r="BC132" i="20"/>
  <c r="X139" i="20"/>
  <c r="AA139" i="20"/>
  <c r="AQ139" i="20" s="1"/>
  <c r="BD225" i="20"/>
  <c r="BC225" i="20"/>
  <c r="BO26" i="22"/>
  <c r="BD157" i="20"/>
  <c r="BC157" i="20"/>
  <c r="BS26" i="22"/>
  <c r="X26" i="22"/>
  <c r="AN26" i="22" s="1"/>
  <c r="BC26" i="22" s="1"/>
  <c r="U26" i="22"/>
  <c r="BQ26" i="22"/>
  <c r="BM26" i="22"/>
  <c r="U24" i="22"/>
  <c r="X25" i="22"/>
  <c r="AN25" i="22" s="1"/>
  <c r="BM25" i="22"/>
  <c r="BK25" i="22"/>
  <c r="BQ25" i="22"/>
  <c r="AR24" i="22"/>
  <c r="BT24" i="22"/>
  <c r="BF24" i="22"/>
  <c r="BG24" i="22" s="1"/>
  <c r="BQ24" i="22"/>
  <c r="BM24" i="22"/>
  <c r="BK24" i="22"/>
  <c r="BD24" i="22" s="1"/>
  <c r="BH23" i="22"/>
  <c r="BQ23" i="22"/>
  <c r="BM23" i="22"/>
  <c r="BK23" i="22"/>
  <c r="U23" i="22"/>
  <c r="BJ23" i="22" s="1"/>
  <c r="X23" i="22"/>
  <c r="AN23" i="22" s="1"/>
  <c r="BF23" i="22" s="1"/>
  <c r="BI23" i="22"/>
  <c r="BH22" i="22"/>
  <c r="BM22" i="22"/>
  <c r="BK22" i="22"/>
  <c r="BQ22" i="22"/>
  <c r="U22" i="22"/>
  <c r="BJ22" i="22" s="1"/>
  <c r="X22" i="22"/>
  <c r="AN22" i="22" s="1"/>
  <c r="BF22" i="22" s="1"/>
  <c r="BI22" i="22"/>
  <c r="AN21" i="22"/>
  <c r="AR21" i="22" s="1"/>
  <c r="BB21" i="22"/>
  <c r="BG23" i="22" l="1"/>
  <c r="BN23" i="22" s="1"/>
  <c r="BS22" i="22"/>
  <c r="AR26" i="22"/>
  <c r="AZ26" i="22" s="1"/>
  <c r="BF26" i="22"/>
  <c r="BG26" i="22" s="1"/>
  <c r="BN26" i="22" s="1"/>
  <c r="BP26" i="22" s="1"/>
  <c r="BB26" i="22"/>
  <c r="BR26" i="22" s="1"/>
  <c r="BZ132" i="20"/>
  <c r="AU139" i="20"/>
  <c r="BI139" i="20"/>
  <c r="BJ139" i="20" s="1"/>
  <c r="BQ139" i="20" s="1"/>
  <c r="BV26" i="22"/>
  <c r="BT26" i="22"/>
  <c r="BO22" i="22"/>
  <c r="BA26" i="22"/>
  <c r="BF25" i="22"/>
  <c r="BG25" i="22" s="1"/>
  <c r="BN25" i="22" s="1"/>
  <c r="BT25" i="22"/>
  <c r="AR25" i="22"/>
  <c r="BA25" i="22" s="1"/>
  <c r="BD25" i="22"/>
  <c r="BN24" i="22"/>
  <c r="BW24" i="22"/>
  <c r="AZ24" i="22"/>
  <c r="BA24" i="22"/>
  <c r="BS23" i="22"/>
  <c r="AR23" i="22"/>
  <c r="BD23" i="22"/>
  <c r="BT23" i="22" s="1"/>
  <c r="BC23" i="22"/>
  <c r="BB23" i="22"/>
  <c r="BO23" i="22"/>
  <c r="AR22" i="22"/>
  <c r="BD22" i="22"/>
  <c r="BT22" i="22" s="1"/>
  <c r="BB22" i="22"/>
  <c r="BC22" i="22"/>
  <c r="BG22" i="22"/>
  <c r="BN22" i="22" s="1"/>
  <c r="BF21" i="22"/>
  <c r="BR21" i="22"/>
  <c r="AZ21" i="22"/>
  <c r="BP23" i="22" l="1"/>
  <c r="BP22" i="22"/>
  <c r="BL26" i="22"/>
  <c r="BD139" i="20"/>
  <c r="BC139" i="20"/>
  <c r="BW26" i="22"/>
  <c r="BU26" i="22"/>
  <c r="BX26" i="22" s="1"/>
  <c r="BW25" i="22"/>
  <c r="AZ25" i="22"/>
  <c r="BR23" i="22"/>
  <c r="BW23" i="22" s="1"/>
  <c r="BL23" i="22"/>
  <c r="BA23" i="22"/>
  <c r="AZ23" i="22"/>
  <c r="BU23" i="22"/>
  <c r="BA22" i="22"/>
  <c r="AZ22" i="22"/>
  <c r="BU22" i="22"/>
  <c r="BR22" i="22"/>
  <c r="BV22" i="22" s="1"/>
  <c r="BL22" i="22"/>
  <c r="BX23" i="22" l="1"/>
  <c r="BV23" i="22"/>
  <c r="BX22" i="22"/>
  <c r="BW22" i="22"/>
  <c r="BL197" i="20" l="1"/>
  <c r="U197" i="20"/>
  <c r="AC197" i="20"/>
  <c r="R197" i="20"/>
  <c r="Y197" i="20" s="1"/>
  <c r="BT197" i="20" l="1"/>
  <c r="Z120" i="20" l="1"/>
  <c r="AB97" i="20" l="1"/>
  <c r="BJ20" i="22" l="1"/>
  <c r="BI20" i="22"/>
  <c r="AQ20" i="22"/>
  <c r="AO20" i="22"/>
  <c r="BH20" i="22" s="1"/>
  <c r="AL20" i="22"/>
  <c r="AP20" i="22" s="1"/>
  <c r="AI20" i="22"/>
  <c r="Z20" i="22"/>
  <c r="Y20" i="22"/>
  <c r="W20" i="22"/>
  <c r="R20" i="22" s="1"/>
  <c r="S20" i="22" s="1"/>
  <c r="O20" i="22"/>
  <c r="V20" i="22" s="1"/>
  <c r="BM20" i="22" s="1"/>
  <c r="N20" i="22"/>
  <c r="AM20" i="22" s="1"/>
  <c r="K20" i="22"/>
  <c r="H20" i="22"/>
  <c r="BS20" i="22" l="1"/>
  <c r="U21" i="22"/>
  <c r="BJ21" i="22" s="1"/>
  <c r="BC21" i="22" s="1"/>
  <c r="V21" i="22"/>
  <c r="BO20" i="22"/>
  <c r="BQ20" i="22"/>
  <c r="X20" i="22"/>
  <c r="AN20" i="22" s="1"/>
  <c r="BB20" i="22" s="1"/>
  <c r="U20" i="22"/>
  <c r="AR20" i="22"/>
  <c r="BV20" i="22" l="1"/>
  <c r="BF20" i="22"/>
  <c r="BG20" i="22" s="1"/>
  <c r="BN20" i="22" s="1"/>
  <c r="BP20" i="22" s="1"/>
  <c r="BC20" i="22"/>
  <c r="BT20" i="22"/>
  <c r="BW20" i="22" s="1"/>
  <c r="BH21" i="22"/>
  <c r="BM21" i="22"/>
  <c r="BK21" i="22"/>
  <c r="BQ21" i="22"/>
  <c r="BL21" i="22"/>
  <c r="BA21" i="22"/>
  <c r="BA20" i="22"/>
  <c r="AZ20" i="22"/>
  <c r="BL20" i="22"/>
  <c r="BR20" i="22"/>
  <c r="BU20" i="22" l="1"/>
  <c r="BX20" i="22" s="1"/>
  <c r="BO21" i="22"/>
  <c r="BG21" i="22"/>
  <c r="BN21" i="22" s="1"/>
  <c r="BS21" i="22"/>
  <c r="BD21" i="22"/>
  <c r="BT21" i="22" s="1"/>
  <c r="V115" i="20"/>
  <c r="AA115" i="20" s="1"/>
  <c r="N115" i="20"/>
  <c r="K115" i="20"/>
  <c r="AC115" i="20"/>
  <c r="R115" i="20"/>
  <c r="Y115" i="20" s="1"/>
  <c r="U89" i="20"/>
  <c r="U88" i="20"/>
  <c r="BW21" i="22" l="1"/>
  <c r="BP21" i="22"/>
  <c r="BV21" i="22"/>
  <c r="BU21" i="22"/>
  <c r="BX21" i="22" s="1"/>
  <c r="X115" i="20"/>
  <c r="BL65" i="20" l="1"/>
  <c r="U65" i="20" l="1"/>
  <c r="V65" i="20" s="1"/>
  <c r="N65" i="20"/>
  <c r="K65" i="20"/>
  <c r="R65" i="20"/>
  <c r="X65" i="20" l="1"/>
  <c r="BM65" i="20" s="1"/>
  <c r="Y65" i="20"/>
  <c r="V219" i="20"/>
  <c r="N219" i="20"/>
  <c r="K219" i="20"/>
  <c r="AC219" i="20"/>
  <c r="R219" i="20"/>
  <c r="Y219" i="20" s="1"/>
  <c r="V218" i="20"/>
  <c r="N218" i="20"/>
  <c r="K218" i="20"/>
  <c r="AC218" i="20"/>
  <c r="R218" i="20"/>
  <c r="Y218" i="20" s="1"/>
  <c r="AT135" i="20"/>
  <c r="AR135" i="20"/>
  <c r="AP135" i="20"/>
  <c r="AO135" i="20"/>
  <c r="AS135" i="20" s="1"/>
  <c r="AL135" i="20"/>
  <c r="AC135" i="20"/>
  <c r="AB135" i="20"/>
  <c r="V135" i="20"/>
  <c r="R135" i="20"/>
  <c r="Y135" i="20" s="1"/>
  <c r="N135" i="20"/>
  <c r="K135" i="20"/>
  <c r="BJ19" i="22"/>
  <c r="BI19" i="22"/>
  <c r="AQ19" i="22"/>
  <c r="AO19" i="22"/>
  <c r="BH19" i="22" s="1"/>
  <c r="AL19" i="22"/>
  <c r="AP19" i="22" s="1"/>
  <c r="AI19" i="22"/>
  <c r="Z19" i="22"/>
  <c r="Y19" i="22"/>
  <c r="W19" i="22"/>
  <c r="R19" i="22" s="1"/>
  <c r="S19" i="22" s="1"/>
  <c r="O19" i="22"/>
  <c r="V19" i="22" s="1"/>
  <c r="N19" i="22"/>
  <c r="AM19" i="22" s="1"/>
  <c r="K19" i="22"/>
  <c r="H19" i="22"/>
  <c r="V223" i="20"/>
  <c r="N223" i="20"/>
  <c r="K223" i="20"/>
  <c r="AC223" i="20"/>
  <c r="R223" i="20"/>
  <c r="Y223" i="20" s="1"/>
  <c r="AP18" i="22"/>
  <c r="AO18" i="22"/>
  <c r="AI18" i="22"/>
  <c r="AF18" i="22"/>
  <c r="Z18" i="22"/>
  <c r="Y18" i="22"/>
  <c r="S18" i="22"/>
  <c r="X18" i="22" s="1"/>
  <c r="O18" i="22"/>
  <c r="N18" i="22"/>
  <c r="AM18" i="22" s="1"/>
  <c r="K18" i="22"/>
  <c r="H18" i="22"/>
  <c r="AT78" i="20"/>
  <c r="AS78" i="20"/>
  <c r="AR78" i="20"/>
  <c r="BK78" i="20" s="1"/>
  <c r="AL78" i="20"/>
  <c r="AI78" i="20"/>
  <c r="AC78" i="20"/>
  <c r="V78" i="20"/>
  <c r="X78" i="20" s="1"/>
  <c r="R78" i="20"/>
  <c r="Y78" i="20" s="1"/>
  <c r="AP78" i="20"/>
  <c r="N78" i="20"/>
  <c r="K78" i="20"/>
  <c r="H17" i="22"/>
  <c r="K17" i="22"/>
  <c r="N17" i="22"/>
  <c r="AM17" i="22" s="1"/>
  <c r="O17" i="22"/>
  <c r="V17" i="22" s="1"/>
  <c r="S17" i="22"/>
  <c r="U17" i="22" s="1"/>
  <c r="Y17" i="22"/>
  <c r="Z17" i="22"/>
  <c r="AF17" i="22"/>
  <c r="AI17" i="22"/>
  <c r="AO17" i="22"/>
  <c r="AP17" i="22"/>
  <c r="U18" i="22" l="1"/>
  <c r="X219" i="20"/>
  <c r="X218" i="20"/>
  <c r="X135" i="20"/>
  <c r="BT135" i="20"/>
  <c r="BP135" i="20"/>
  <c r="AA135" i="20"/>
  <c r="AQ135" i="20" s="1"/>
  <c r="AU135" i="20" s="1"/>
  <c r="BS19" i="22"/>
  <c r="X223" i="20"/>
  <c r="BO19" i="22"/>
  <c r="BM19" i="22"/>
  <c r="BQ19" i="22"/>
  <c r="X19" i="22"/>
  <c r="AN19" i="22" s="1"/>
  <c r="U19" i="22"/>
  <c r="AA223" i="20"/>
  <c r="AN18" i="22"/>
  <c r="BF18" i="22" s="1"/>
  <c r="V18" i="22"/>
  <c r="BP78" i="20"/>
  <c r="BT78" i="20"/>
  <c r="AA78" i="20"/>
  <c r="AQ78" i="20" s="1"/>
  <c r="AU78" i="20" s="1"/>
  <c r="X17" i="22"/>
  <c r="AN17" i="22" s="1"/>
  <c r="BQ17" i="22"/>
  <c r="BM17" i="22"/>
  <c r="AR19" i="22" l="1"/>
  <c r="BA19" i="22" s="1"/>
  <c r="BT19" i="22"/>
  <c r="BU19" i="22" s="1"/>
  <c r="BX19" i="22" s="1"/>
  <c r="BV19" i="22"/>
  <c r="BI135" i="20"/>
  <c r="BD135" i="20"/>
  <c r="BC135" i="20"/>
  <c r="BF19" i="22"/>
  <c r="BG19" i="22" s="1"/>
  <c r="BN19" i="22" s="1"/>
  <c r="BP19" i="22" s="1"/>
  <c r="BC19" i="22"/>
  <c r="BB19" i="22"/>
  <c r="AR18" i="22"/>
  <c r="AZ18" i="22" s="1"/>
  <c r="BF17" i="22"/>
  <c r="AR17" i="22"/>
  <c r="AZ17" i="22" s="1"/>
  <c r="BM18" i="22"/>
  <c r="BQ18" i="22"/>
  <c r="BW78" i="20"/>
  <c r="BZ78" i="20" s="1"/>
  <c r="BI78" i="20"/>
  <c r="BJ78" i="20" s="1"/>
  <c r="BQ78" i="20" s="1"/>
  <c r="BD78" i="20"/>
  <c r="BC78" i="20"/>
  <c r="AQ16" i="22"/>
  <c r="AO16" i="22"/>
  <c r="AL16" i="22"/>
  <c r="AP16" i="22" s="1"/>
  <c r="AI16" i="22"/>
  <c r="Z16" i="22"/>
  <c r="W16" i="22"/>
  <c r="S16" i="22"/>
  <c r="X16" i="22" s="1"/>
  <c r="AN16" i="22" s="1"/>
  <c r="O16" i="22"/>
  <c r="V16" i="22" s="1"/>
  <c r="N16" i="22"/>
  <c r="AM16" i="22" s="1"/>
  <c r="K16" i="22"/>
  <c r="H16" i="22"/>
  <c r="BW19" i="22" l="1"/>
  <c r="AZ19" i="22"/>
  <c r="BL19" i="22"/>
  <c r="BR19" i="22"/>
  <c r="BA18" i="22"/>
  <c r="BA17" i="22"/>
  <c r="AR16" i="22"/>
  <c r="BF16" i="22"/>
  <c r="BQ16" i="22"/>
  <c r="BM16" i="22"/>
  <c r="U16" i="22"/>
  <c r="U216" i="20"/>
  <c r="V216" i="20" s="1"/>
  <c r="U214" i="20"/>
  <c r="BA16" i="22" l="1"/>
  <c r="AZ16" i="22"/>
  <c r="BL82" i="20" l="1"/>
  <c r="U82" i="20"/>
  <c r="V82" i="20" s="1"/>
  <c r="N82" i="20"/>
  <c r="K82" i="20"/>
  <c r="AC82" i="20"/>
  <c r="AA82" i="20" l="1"/>
  <c r="X82" i="20"/>
  <c r="U60" i="20"/>
  <c r="V60" i="20" s="1"/>
  <c r="U59" i="20"/>
  <c r="V59" i="20" s="1"/>
  <c r="U58" i="20"/>
  <c r="V58" i="20" s="1"/>
  <c r="U54" i="20"/>
  <c r="V54" i="20" s="1"/>
  <c r="U51" i="20"/>
  <c r="V51" i="20" s="1"/>
  <c r="U42" i="20"/>
  <c r="V42" i="20" s="1"/>
  <c r="AA42" i="20" s="1"/>
  <c r="U40" i="20"/>
  <c r="V40" i="20" s="1"/>
  <c r="U16" i="20"/>
  <c r="V16" i="20" s="1"/>
  <c r="U14" i="20"/>
  <c r="V14" i="20" s="1"/>
  <c r="U13" i="20"/>
  <c r="V13" i="20" s="1"/>
  <c r="U12" i="20"/>
  <c r="V12" i="20" s="1"/>
  <c r="U8" i="20"/>
  <c r="V8" i="20" s="1"/>
  <c r="U5" i="20"/>
  <c r="V5" i="20" s="1"/>
  <c r="O15" i="22"/>
  <c r="V15" i="22" s="1"/>
  <c r="BQ15" i="22" s="1"/>
  <c r="Z15" i="22"/>
  <c r="S15" i="22"/>
  <c r="N15" i="22"/>
  <c r="K15" i="22"/>
  <c r="H15" i="22"/>
  <c r="R216" i="20"/>
  <c r="AC216" i="20"/>
  <c r="N216" i="20"/>
  <c r="K216" i="20"/>
  <c r="O14" i="22"/>
  <c r="V14" i="22" s="1"/>
  <c r="BK14" i="22" s="1"/>
  <c r="BI14" i="22"/>
  <c r="N14" i="22"/>
  <c r="AM14" i="22" s="1"/>
  <c r="Y14" i="22"/>
  <c r="S14" i="22"/>
  <c r="X14" i="22" s="1"/>
  <c r="AO14" i="22"/>
  <c r="AL14" i="22"/>
  <c r="AP14" i="22" s="1"/>
  <c r="AQ14" i="22"/>
  <c r="AI14" i="22"/>
  <c r="Z14" i="22"/>
  <c r="K14" i="22"/>
  <c r="H14" i="22"/>
  <c r="U220" i="20"/>
  <c r="V220" i="20" s="1"/>
  <c r="U213" i="20"/>
  <c r="V213" i="20" s="1"/>
  <c r="U205" i="20"/>
  <c r="V205" i="20" s="1"/>
  <c r="AA205" i="20" s="1"/>
  <c r="U200" i="20"/>
  <c r="V200" i="20" s="1"/>
  <c r="U193" i="20"/>
  <c r="V193" i="20" s="1"/>
  <c r="U192" i="20"/>
  <c r="V192" i="20" s="1"/>
  <c r="AA192" i="20" s="1"/>
  <c r="U190" i="20"/>
  <c r="V190" i="20" s="1"/>
  <c r="U177" i="20"/>
  <c r="V177" i="20" s="1"/>
  <c r="AA177" i="20" s="1"/>
  <c r="U176" i="20"/>
  <c r="V176" i="20" s="1"/>
  <c r="U173" i="20"/>
  <c r="U170" i="20"/>
  <c r="U168" i="20"/>
  <c r="V168" i="20" s="1"/>
  <c r="U153" i="20"/>
  <c r="V153" i="20" s="1"/>
  <c r="U140" i="20"/>
  <c r="V140" i="20" s="1"/>
  <c r="U127" i="20"/>
  <c r="O13" i="22"/>
  <c r="V13" i="22" s="1"/>
  <c r="BK13" i="22" s="1"/>
  <c r="BI13" i="22"/>
  <c r="N13" i="22"/>
  <c r="AM13" i="22" s="1"/>
  <c r="S13" i="22"/>
  <c r="AO13" i="22"/>
  <c r="AP13" i="22"/>
  <c r="AI13" i="22"/>
  <c r="AF13" i="22"/>
  <c r="Z13" i="22"/>
  <c r="K13" i="22"/>
  <c r="H13" i="22"/>
  <c r="P13" i="21"/>
  <c r="Q13" i="21" s="1"/>
  <c r="T57" i="20"/>
  <c r="T70" i="20" s="1"/>
  <c r="N12" i="21" s="1"/>
  <c r="N13" i="21"/>
  <c r="R13" i="21" s="1"/>
  <c r="R75" i="20"/>
  <c r="Y75" i="20" s="1"/>
  <c r="R76" i="20"/>
  <c r="Y76" i="20" s="1"/>
  <c r="R77" i="20"/>
  <c r="Y77" i="20" s="1"/>
  <c r="R79" i="20"/>
  <c r="Y79" i="20" s="1"/>
  <c r="BT79" i="20" s="1"/>
  <c r="R80" i="20"/>
  <c r="Y80" i="20" s="1"/>
  <c r="R81" i="20"/>
  <c r="Y81" i="20" s="1"/>
  <c r="R83" i="20"/>
  <c r="R84" i="20"/>
  <c r="Y84" i="20" s="1"/>
  <c r="R85" i="20"/>
  <c r="Y85" i="20" s="1"/>
  <c r="BP85" i="20" s="1"/>
  <c r="R86" i="20"/>
  <c r="Y86" i="20" s="1"/>
  <c r="R87" i="20"/>
  <c r="Y87" i="20" s="1"/>
  <c r="R88" i="20"/>
  <c r="Y88" i="20" s="1"/>
  <c r="R89" i="20"/>
  <c r="R90" i="20"/>
  <c r="Y90" i="20" s="1"/>
  <c r="BT90" i="20" s="1"/>
  <c r="R91" i="20"/>
  <c r="Y91" i="20" s="1"/>
  <c r="BT91" i="20" s="1"/>
  <c r="R92" i="20"/>
  <c r="Y92" i="20" s="1"/>
  <c r="R93" i="20"/>
  <c r="Y93" i="20" s="1"/>
  <c r="R94" i="20"/>
  <c r="Y94" i="20" s="1"/>
  <c r="BP94" i="20" s="1"/>
  <c r="R95" i="20"/>
  <c r="Y95" i="20" s="1"/>
  <c r="BP95" i="20" s="1"/>
  <c r="R96" i="20"/>
  <c r="Y96" i="20" s="1"/>
  <c r="R97" i="20"/>
  <c r="Y97" i="20" s="1"/>
  <c r="R98" i="20"/>
  <c r="Y98" i="20" s="1"/>
  <c r="BT98" i="20" s="1"/>
  <c r="R100" i="20"/>
  <c r="Y100" i="20" s="1"/>
  <c r="BP100" i="20" s="1"/>
  <c r="R2" i="20"/>
  <c r="Y2" i="20" s="1"/>
  <c r="R3" i="20"/>
  <c r="Y3" i="20" s="1"/>
  <c r="R4" i="20"/>
  <c r="Y4" i="20" s="1"/>
  <c r="R5" i="20"/>
  <c r="Y5" i="20" s="1"/>
  <c r="R7" i="20"/>
  <c r="Y7" i="20" s="1"/>
  <c r="R8" i="20"/>
  <c r="Y8" i="20" s="1"/>
  <c r="BT8" i="20" s="1"/>
  <c r="R9" i="20"/>
  <c r="Y9" i="20" s="1"/>
  <c r="R10" i="20"/>
  <c r="Y10" i="20" s="1"/>
  <c r="Y12" i="20"/>
  <c r="BT12" i="20" s="1"/>
  <c r="R13" i="20"/>
  <c r="Y13" i="20" s="1"/>
  <c r="BP13" i="20" s="1"/>
  <c r="R14" i="20"/>
  <c r="Y14" i="20" s="1"/>
  <c r="BT14" i="20" s="1"/>
  <c r="R16" i="20"/>
  <c r="Y16" i="20" s="1"/>
  <c r="BP16" i="20" s="1"/>
  <c r="R17" i="20"/>
  <c r="Y17" i="20" s="1"/>
  <c r="BP17" i="20" s="1"/>
  <c r="R18" i="20"/>
  <c r="Y18" i="20" s="1"/>
  <c r="R19" i="20"/>
  <c r="Y19" i="20" s="1"/>
  <c r="BT19" i="20" s="1"/>
  <c r="R20" i="20"/>
  <c r="Y20" i="20" s="1"/>
  <c r="BP20" i="20" s="1"/>
  <c r="R21" i="20"/>
  <c r="Y21" i="20" s="1"/>
  <c r="R25" i="20"/>
  <c r="R26" i="20"/>
  <c r="Y26" i="20" s="1"/>
  <c r="BT26" i="20" s="1"/>
  <c r="R27" i="20"/>
  <c r="Y27" i="20" s="1"/>
  <c r="R28" i="20"/>
  <c r="Y28" i="20" s="1"/>
  <c r="BP28" i="20" s="1"/>
  <c r="R29" i="20"/>
  <c r="Y29" i="20" s="1"/>
  <c r="R31" i="20"/>
  <c r="R33" i="20"/>
  <c r="Y33" i="20" s="1"/>
  <c r="BT33" i="20" s="1"/>
  <c r="R34" i="20"/>
  <c r="Y34" i="20" s="1"/>
  <c r="BP34" i="20" s="1"/>
  <c r="R37" i="20"/>
  <c r="R38" i="20"/>
  <c r="Y38" i="20" s="1"/>
  <c r="BT38" i="20" s="1"/>
  <c r="R39" i="20"/>
  <c r="Y39" i="20" s="1"/>
  <c r="R40" i="20"/>
  <c r="Y40" i="20" s="1"/>
  <c r="BP40" i="20" s="1"/>
  <c r="R41" i="20"/>
  <c r="Y41" i="20" s="1"/>
  <c r="R42" i="20"/>
  <c r="Y42" i="20" s="1"/>
  <c r="R43" i="20"/>
  <c r="Y43" i="20" s="1"/>
  <c r="BT43" i="20" s="1"/>
  <c r="R44" i="20"/>
  <c r="Y44" i="20" s="1"/>
  <c r="BT44" i="20" s="1"/>
  <c r="R45" i="20"/>
  <c r="Y45" i="20" s="1"/>
  <c r="BT45" i="20" s="1"/>
  <c r="R46" i="20"/>
  <c r="R47" i="20"/>
  <c r="Y47" i="20" s="1"/>
  <c r="BT47" i="20" s="1"/>
  <c r="R48" i="20"/>
  <c r="Y48" i="20" s="1"/>
  <c r="R49" i="20"/>
  <c r="Y49" i="20" s="1"/>
  <c r="R51" i="20"/>
  <c r="Y51" i="20" s="1"/>
  <c r="R52" i="20"/>
  <c r="Y52" i="20" s="1"/>
  <c r="BP52" i="20" s="1"/>
  <c r="R53" i="20"/>
  <c r="Y53" i="20" s="1"/>
  <c r="BP53" i="20" s="1"/>
  <c r="R54" i="20"/>
  <c r="Y54" i="20" s="1"/>
  <c r="BT54" i="20" s="1"/>
  <c r="R55" i="20"/>
  <c r="Y55" i="20" s="1"/>
  <c r="R56" i="20"/>
  <c r="Y56" i="20" s="1"/>
  <c r="BP56" i="20" s="1"/>
  <c r="R57" i="20"/>
  <c r="R58" i="20"/>
  <c r="Y58" i="20" s="1"/>
  <c r="R59" i="20"/>
  <c r="Y59" i="20" s="1"/>
  <c r="R60" i="20"/>
  <c r="Y60" i="20" s="1"/>
  <c r="BT60" i="20" s="1"/>
  <c r="R64" i="20"/>
  <c r="Y64" i="20" s="1"/>
  <c r="BP64" i="20" s="1"/>
  <c r="R68" i="20"/>
  <c r="Y68" i="20" s="1"/>
  <c r="BT68" i="20" s="1"/>
  <c r="R69" i="20"/>
  <c r="Y69" i="20" s="1"/>
  <c r="BT69" i="20" s="1"/>
  <c r="R126" i="20"/>
  <c r="Y126" i="20" s="1"/>
  <c r="R127" i="20"/>
  <c r="Y127" i="20" s="1"/>
  <c r="BP127" i="20" s="1"/>
  <c r="R131" i="20"/>
  <c r="Y131" i="20" s="1"/>
  <c r="R133" i="20"/>
  <c r="Y133" i="20" s="1"/>
  <c r="R134" i="20"/>
  <c r="R138" i="20"/>
  <c r="Y138" i="20" s="1"/>
  <c r="BP138" i="20" s="1"/>
  <c r="R140" i="20"/>
  <c r="Y140" i="20" s="1"/>
  <c r="BT140" i="20" s="1"/>
  <c r="R141" i="20"/>
  <c r="Y141" i="20" s="1"/>
  <c r="BP141" i="20" s="1"/>
  <c r="R143" i="20"/>
  <c r="Y143" i="20" s="1"/>
  <c r="BP143" i="20" s="1"/>
  <c r="R144" i="20"/>
  <c r="Y144" i="20" s="1"/>
  <c r="R145" i="20"/>
  <c r="Y145" i="20" s="1"/>
  <c r="R146" i="20"/>
  <c r="Y146" i="20" s="1"/>
  <c r="BP146" i="20" s="1"/>
  <c r="R147" i="20"/>
  <c r="Y147" i="20" s="1"/>
  <c r="R148" i="20"/>
  <c r="Y148" i="20" s="1"/>
  <c r="BP148" i="20" s="1"/>
  <c r="R149" i="20"/>
  <c r="Y149" i="20" s="1"/>
  <c r="R150" i="20"/>
  <c r="R151" i="20"/>
  <c r="Y151" i="20" s="1"/>
  <c r="BT151" i="20" s="1"/>
  <c r="R152" i="20"/>
  <c r="Y152" i="20" s="1"/>
  <c r="BT152" i="20" s="1"/>
  <c r="R153" i="20"/>
  <c r="Y153" i="20" s="1"/>
  <c r="R154" i="20"/>
  <c r="Y154" i="20" s="1"/>
  <c r="BT154" i="20" s="1"/>
  <c r="R155" i="20"/>
  <c r="Y155" i="20" s="1"/>
  <c r="BT155" i="20" s="1"/>
  <c r="R156" i="20"/>
  <c r="Y156" i="20" s="1"/>
  <c r="R173" i="20"/>
  <c r="Y173" i="20" s="1"/>
  <c r="R174" i="20"/>
  <c r="Y174" i="20" s="1"/>
  <c r="BT174" i="20" s="1"/>
  <c r="R175" i="20"/>
  <c r="Y175" i="20" s="1"/>
  <c r="R176" i="20"/>
  <c r="Y176" i="20" s="1"/>
  <c r="R177" i="20"/>
  <c r="Y177" i="20" s="1"/>
  <c r="R178" i="20"/>
  <c r="Y178" i="20" s="1"/>
  <c r="BT178" i="20" s="1"/>
  <c r="R179" i="20"/>
  <c r="Y179" i="20" s="1"/>
  <c r="R180" i="20"/>
  <c r="Y180" i="20" s="1"/>
  <c r="Y181" i="20"/>
  <c r="Y182" i="20"/>
  <c r="Y184" i="20"/>
  <c r="Y185" i="20"/>
  <c r="R187" i="20"/>
  <c r="Y187" i="20" s="1"/>
  <c r="R188" i="20"/>
  <c r="Y188" i="20" s="1"/>
  <c r="BP188" i="20" s="1"/>
  <c r="R189" i="20"/>
  <c r="Y189" i="20" s="1"/>
  <c r="R190" i="20"/>
  <c r="Y190" i="20" s="1"/>
  <c r="BP190" i="20" s="1"/>
  <c r="R191" i="20"/>
  <c r="Y191" i="20" s="1"/>
  <c r="BP191" i="20" s="1"/>
  <c r="R192" i="20"/>
  <c r="R193" i="20"/>
  <c r="Y193" i="20" s="1"/>
  <c r="R194" i="20"/>
  <c r="Y194" i="20" s="1"/>
  <c r="BP194" i="20" s="1"/>
  <c r="R195" i="20"/>
  <c r="R196" i="20"/>
  <c r="Y196" i="20" s="1"/>
  <c r="R198" i="20"/>
  <c r="Y198" i="20" s="1"/>
  <c r="BT198" i="20" s="1"/>
  <c r="R200" i="20"/>
  <c r="Y200" i="20" s="1"/>
  <c r="R201" i="20"/>
  <c r="Y201" i="20" s="1"/>
  <c r="BT201" i="20" s="1"/>
  <c r="R202" i="20"/>
  <c r="Y202" i="20" s="1"/>
  <c r="R203" i="20"/>
  <c r="Y203" i="20" s="1"/>
  <c r="R204" i="20"/>
  <c r="Y204" i="20" s="1"/>
  <c r="BT204" i="20" s="1"/>
  <c r="R205" i="20"/>
  <c r="Y205" i="20" s="1"/>
  <c r="BT205" i="20" s="1"/>
  <c r="R210" i="20"/>
  <c r="Y210" i="20" s="1"/>
  <c r="U169" i="20"/>
  <c r="P9" i="21" s="1"/>
  <c r="Q9" i="21" s="1"/>
  <c r="U217" i="20"/>
  <c r="V217" i="20" s="1"/>
  <c r="AA217" i="20" s="1"/>
  <c r="U174" i="20"/>
  <c r="V174" i="20" s="1"/>
  <c r="U178" i="20"/>
  <c r="V178" i="20" s="1"/>
  <c r="AA178" i="20" s="1"/>
  <c r="U191" i="20"/>
  <c r="V191" i="20" s="1"/>
  <c r="U196" i="20"/>
  <c r="V196" i="20" s="1"/>
  <c r="AA196" i="20" s="1"/>
  <c r="U198" i="20"/>
  <c r="V198" i="20" s="1"/>
  <c r="U203" i="20"/>
  <c r="V203" i="20" s="1"/>
  <c r="U211" i="20"/>
  <c r="V211" i="20" s="1"/>
  <c r="AA211" i="20" s="1"/>
  <c r="U212" i="20"/>
  <c r="V212" i="20" s="1"/>
  <c r="O12" i="22"/>
  <c r="V12" i="22" s="1"/>
  <c r="BI12" i="22"/>
  <c r="N12" i="22"/>
  <c r="AM12" i="22" s="1"/>
  <c r="Y12" i="22"/>
  <c r="S12" i="22"/>
  <c r="U12" i="22" s="1"/>
  <c r="BJ12" i="22" s="1"/>
  <c r="AO12" i="22"/>
  <c r="AP12" i="22"/>
  <c r="AI12" i="22"/>
  <c r="AF12" i="22"/>
  <c r="Z12" i="22"/>
  <c r="K12" i="22"/>
  <c r="H12" i="22"/>
  <c r="O11" i="22"/>
  <c r="Q11" i="22"/>
  <c r="S11" i="22" s="1"/>
  <c r="BI11" i="22"/>
  <c r="N11" i="22"/>
  <c r="AM11" i="22" s="1"/>
  <c r="Y11" i="22"/>
  <c r="AO11" i="22"/>
  <c r="AL11" i="22"/>
  <c r="AP11" i="22" s="1"/>
  <c r="AQ11" i="22"/>
  <c r="AI11" i="22"/>
  <c r="Z11" i="22"/>
  <c r="K11" i="22"/>
  <c r="H11" i="22"/>
  <c r="O10" i="22"/>
  <c r="V10" i="22" s="1"/>
  <c r="BK10" i="22" s="1"/>
  <c r="BI10" i="22"/>
  <c r="N10" i="22"/>
  <c r="AM10" i="22" s="1"/>
  <c r="Y10" i="22"/>
  <c r="S10" i="22"/>
  <c r="AO10" i="22"/>
  <c r="AP10" i="22"/>
  <c r="AQ10" i="22"/>
  <c r="AI10" i="22"/>
  <c r="AF10" i="22"/>
  <c r="Z10" i="22"/>
  <c r="K10" i="22"/>
  <c r="H10" i="22"/>
  <c r="R114" i="20"/>
  <c r="Y114" i="20" s="1"/>
  <c r="Q114" i="20"/>
  <c r="AP114" i="20" s="1"/>
  <c r="V114" i="20"/>
  <c r="AA114" i="20" s="1"/>
  <c r="AQ114" i="20" s="1"/>
  <c r="AR114" i="20"/>
  <c r="AO114" i="20"/>
  <c r="AS114" i="20" s="1"/>
  <c r="AT114" i="20"/>
  <c r="AL114" i="20"/>
  <c r="AC114" i="20"/>
  <c r="N114" i="20"/>
  <c r="K114" i="20"/>
  <c r="V181" i="20"/>
  <c r="V182" i="20"/>
  <c r="AA182" i="20" s="1"/>
  <c r="R211" i="20"/>
  <c r="Y211" i="20" s="1"/>
  <c r="R212" i="20"/>
  <c r="Y212" i="20" s="1"/>
  <c r="R213" i="20"/>
  <c r="Y213" i="20" s="1"/>
  <c r="R214" i="20"/>
  <c r="Y214" i="20" s="1"/>
  <c r="R217" i="20"/>
  <c r="Y217" i="20" s="1"/>
  <c r="R220" i="20"/>
  <c r="Y220" i="20" s="1"/>
  <c r="V204" i="20"/>
  <c r="AA204" i="20" s="1"/>
  <c r="V210" i="20"/>
  <c r="V214" i="20"/>
  <c r="V185" i="20"/>
  <c r="K181" i="20"/>
  <c r="Q149" i="20"/>
  <c r="AP149" i="20" s="1"/>
  <c r="V149" i="20"/>
  <c r="AA149" i="20" s="1"/>
  <c r="AQ149" i="20" s="1"/>
  <c r="AR149" i="20"/>
  <c r="AS149" i="20"/>
  <c r="AL149" i="20"/>
  <c r="AI149" i="20"/>
  <c r="AC149" i="20"/>
  <c r="N149" i="20"/>
  <c r="K149" i="20"/>
  <c r="AC46" i="20"/>
  <c r="V46" i="20"/>
  <c r="AA46" i="20" s="1"/>
  <c r="N46" i="20"/>
  <c r="K46" i="20"/>
  <c r="AC44" i="20"/>
  <c r="V44" i="20"/>
  <c r="N44" i="20"/>
  <c r="K44" i="20"/>
  <c r="AC45" i="20"/>
  <c r="V45" i="20"/>
  <c r="N45" i="20"/>
  <c r="K45" i="20"/>
  <c r="K185" i="20"/>
  <c r="AC217" i="20"/>
  <c r="N217" i="20"/>
  <c r="K217" i="20"/>
  <c r="V47" i="20"/>
  <c r="X47" i="20" s="1"/>
  <c r="N47" i="20"/>
  <c r="K47" i="20"/>
  <c r="AC47" i="20"/>
  <c r="AC214" i="20"/>
  <c r="N214" i="20"/>
  <c r="K214" i="20"/>
  <c r="BM193" i="20"/>
  <c r="BL193" i="20"/>
  <c r="AT193" i="20"/>
  <c r="AR193" i="20"/>
  <c r="BK193" i="20" s="1"/>
  <c r="AP193" i="20"/>
  <c r="AO193" i="20"/>
  <c r="AS193" i="20" s="1"/>
  <c r="AL193" i="20"/>
  <c r="AC193" i="20"/>
  <c r="AB193" i="20"/>
  <c r="N193" i="20"/>
  <c r="K193" i="20"/>
  <c r="AS148" i="20"/>
  <c r="AR148" i="20"/>
  <c r="AL148" i="20"/>
  <c r="AI148" i="20"/>
  <c r="AC148" i="20"/>
  <c r="V148" i="20"/>
  <c r="AP148" i="20"/>
  <c r="N148" i="20"/>
  <c r="K148" i="20"/>
  <c r="AC213" i="20"/>
  <c r="N213" i="20"/>
  <c r="K213" i="20"/>
  <c r="AT192" i="20"/>
  <c r="AR192" i="20"/>
  <c r="BK192" i="20" s="1"/>
  <c r="AO192" i="20"/>
  <c r="AS192" i="20" s="1"/>
  <c r="AL192" i="20"/>
  <c r="AC192" i="20"/>
  <c r="AB192" i="20"/>
  <c r="AP192" i="20"/>
  <c r="N192" i="20"/>
  <c r="K192" i="20"/>
  <c r="AC212" i="20"/>
  <c r="N212" i="20"/>
  <c r="K212" i="20"/>
  <c r="V184" i="20"/>
  <c r="K184" i="20"/>
  <c r="AS176" i="20"/>
  <c r="AR176" i="20"/>
  <c r="BK176" i="20" s="1"/>
  <c r="AL176" i="20"/>
  <c r="AI176" i="20"/>
  <c r="AC176" i="20"/>
  <c r="AB176" i="20"/>
  <c r="Q176" i="20"/>
  <c r="AP176" i="20" s="1"/>
  <c r="N176" i="20"/>
  <c r="K176" i="20"/>
  <c r="AQ9" i="22"/>
  <c r="AO9" i="22"/>
  <c r="AL9" i="22"/>
  <c r="AP9" i="22" s="1"/>
  <c r="AI9" i="22"/>
  <c r="Z9" i="22"/>
  <c r="Y9" i="22"/>
  <c r="S9" i="22"/>
  <c r="X9" i="22" s="1"/>
  <c r="O9" i="22"/>
  <c r="V9" i="22" s="1"/>
  <c r="N9" i="22"/>
  <c r="AM9" i="22" s="1"/>
  <c r="K9" i="22"/>
  <c r="H9" i="22"/>
  <c r="AP8" i="22"/>
  <c r="AO8" i="22"/>
  <c r="AI8" i="22"/>
  <c r="AF8" i="22"/>
  <c r="Z8" i="22"/>
  <c r="Y8" i="22"/>
  <c r="S8" i="22"/>
  <c r="X8" i="22" s="1"/>
  <c r="O8" i="22"/>
  <c r="V8" i="22" s="1"/>
  <c r="N8" i="22"/>
  <c r="AM8" i="22" s="1"/>
  <c r="K8" i="22"/>
  <c r="H8" i="22"/>
  <c r="AQ7" i="22"/>
  <c r="AO7" i="22"/>
  <c r="AL7" i="22"/>
  <c r="AP7" i="22" s="1"/>
  <c r="AI7" i="22"/>
  <c r="Z7" i="22"/>
  <c r="Y7" i="22"/>
  <c r="S7" i="22"/>
  <c r="U7" i="22" s="1"/>
  <c r="O7" i="22"/>
  <c r="V7" i="22" s="1"/>
  <c r="N7" i="22"/>
  <c r="AM7" i="22" s="1"/>
  <c r="K7" i="22"/>
  <c r="H7" i="22"/>
  <c r="AP6" i="22"/>
  <c r="AO6" i="22"/>
  <c r="AI6" i="22"/>
  <c r="AF6" i="22"/>
  <c r="Z6" i="22"/>
  <c r="Y6" i="22"/>
  <c r="S6" i="22"/>
  <c r="X6" i="22" s="1"/>
  <c r="O6" i="22"/>
  <c r="V6" i="22" s="1"/>
  <c r="N6" i="22"/>
  <c r="AM6" i="22" s="1"/>
  <c r="H6" i="22"/>
  <c r="AQ5" i="22"/>
  <c r="AO5" i="22"/>
  <c r="AL5" i="22"/>
  <c r="AP5" i="22" s="1"/>
  <c r="AI5" i="22"/>
  <c r="Z5" i="22"/>
  <c r="Y5" i="22"/>
  <c r="S5" i="22"/>
  <c r="O5" i="22"/>
  <c r="V5" i="22" s="1"/>
  <c r="BM5" i="22" s="1"/>
  <c r="N5" i="22"/>
  <c r="AM5" i="22" s="1"/>
  <c r="H5" i="22"/>
  <c r="AQ4" i="22"/>
  <c r="AP4" i="22"/>
  <c r="AO4" i="22"/>
  <c r="AI4" i="22"/>
  <c r="AF4" i="22"/>
  <c r="Z4" i="22"/>
  <c r="S4" i="22"/>
  <c r="X4" i="22" s="1"/>
  <c r="AN4" i="22" s="1"/>
  <c r="O4" i="22"/>
  <c r="V4" i="22" s="1"/>
  <c r="N4" i="22"/>
  <c r="AM4" i="22" s="1"/>
  <c r="K4" i="22"/>
  <c r="H4" i="22"/>
  <c r="AD1" i="22"/>
  <c r="X1" i="22"/>
  <c r="U152" i="20"/>
  <c r="V152" i="20" s="1"/>
  <c r="U131" i="20"/>
  <c r="U102" i="20"/>
  <c r="V102" i="20" s="1"/>
  <c r="X102" i="20" s="1"/>
  <c r="U101" i="20"/>
  <c r="V101" i="20" s="1"/>
  <c r="U97" i="20"/>
  <c r="V97" i="20" s="1"/>
  <c r="AA97" i="20" s="1"/>
  <c r="U96" i="20"/>
  <c r="V96" i="20" s="1"/>
  <c r="U95" i="20"/>
  <c r="V95" i="20" s="1"/>
  <c r="AA95" i="20" s="1"/>
  <c r="AQ95" i="20" s="1"/>
  <c r="U94" i="20"/>
  <c r="V94" i="20" s="1"/>
  <c r="U92" i="20"/>
  <c r="V92" i="20" s="1"/>
  <c r="U91" i="20"/>
  <c r="V91" i="20" s="1"/>
  <c r="U90" i="20"/>
  <c r="V90" i="20" s="1"/>
  <c r="U85" i="20"/>
  <c r="V85" i="20" s="1"/>
  <c r="U84" i="20"/>
  <c r="V84" i="20" s="1"/>
  <c r="U83" i="20"/>
  <c r="V83" i="20" s="1"/>
  <c r="AA83" i="20" s="1"/>
  <c r="U81" i="20"/>
  <c r="V81" i="20" s="1"/>
  <c r="U76" i="20"/>
  <c r="U75" i="20"/>
  <c r="V75" i="20" s="1"/>
  <c r="V18" i="20"/>
  <c r="AC220" i="20"/>
  <c r="Q220" i="20"/>
  <c r="N220" i="20"/>
  <c r="K220" i="20"/>
  <c r="AC211" i="20"/>
  <c r="Q211" i="20"/>
  <c r="N211" i="20"/>
  <c r="K211" i="20"/>
  <c r="AC147" i="20"/>
  <c r="V147" i="20"/>
  <c r="N147" i="20"/>
  <c r="K147" i="20"/>
  <c r="AT68" i="20"/>
  <c r="AS68" i="20"/>
  <c r="AR68" i="20"/>
  <c r="AL68" i="20"/>
  <c r="AI68" i="20"/>
  <c r="AC68" i="20"/>
  <c r="AB68" i="20"/>
  <c r="V68" i="20"/>
  <c r="Q68" i="20"/>
  <c r="AP68" i="20" s="1"/>
  <c r="N68" i="20"/>
  <c r="K68" i="20"/>
  <c r="I228" i="20"/>
  <c r="I230" i="20"/>
  <c r="L229" i="20"/>
  <c r="AI158" i="20"/>
  <c r="AJ158" i="20"/>
  <c r="AK158" i="20"/>
  <c r="AM158" i="20"/>
  <c r="K164" i="20"/>
  <c r="N164" i="20"/>
  <c r="Q164" i="20"/>
  <c r="AP164" i="20" s="1"/>
  <c r="R164" i="20"/>
  <c r="Y164" i="20" s="1"/>
  <c r="BT164" i="20" s="1"/>
  <c r="V164" i="20"/>
  <c r="AA164" i="20" s="1"/>
  <c r="AB164" i="20"/>
  <c r="AC164" i="20"/>
  <c r="AI164" i="20"/>
  <c r="AL164" i="20"/>
  <c r="AR164" i="20"/>
  <c r="AS164" i="20"/>
  <c r="K165" i="20"/>
  <c r="N165" i="20"/>
  <c r="Q165" i="20"/>
  <c r="AP165" i="20" s="1"/>
  <c r="R165" i="20"/>
  <c r="Y165" i="20" s="1"/>
  <c r="BT165" i="20" s="1"/>
  <c r="AB165" i="20"/>
  <c r="AC165" i="20"/>
  <c r="AL165" i="20"/>
  <c r="AO165" i="20"/>
  <c r="AS165" i="20" s="1"/>
  <c r="AR165" i="20"/>
  <c r="BK165" i="20" s="1"/>
  <c r="AT165" i="20"/>
  <c r="T166" i="20"/>
  <c r="AI166" i="20"/>
  <c r="AJ166" i="20"/>
  <c r="AK166" i="20"/>
  <c r="AM166" i="20"/>
  <c r="I161" i="20"/>
  <c r="I159" i="20"/>
  <c r="I123" i="20"/>
  <c r="I122" i="20"/>
  <c r="I72" i="20"/>
  <c r="L71" i="20"/>
  <c r="L74" i="20" s="1"/>
  <c r="U12" i="21" s="1"/>
  <c r="W12" i="21" s="1"/>
  <c r="I71" i="20"/>
  <c r="M11" i="21"/>
  <c r="M15" i="21" s="1"/>
  <c r="Q204" i="20"/>
  <c r="AP204" i="20" s="1"/>
  <c r="Q210" i="20"/>
  <c r="K210" i="20"/>
  <c r="Q18" i="20"/>
  <c r="Q19" i="20"/>
  <c r="K18" i="20"/>
  <c r="AC18" i="20"/>
  <c r="BL169" i="20"/>
  <c r="AT169" i="20"/>
  <c r="AR169" i="20"/>
  <c r="BK169" i="20" s="1"/>
  <c r="AO169" i="20"/>
  <c r="AS169" i="20" s="1"/>
  <c r="AL169" i="20"/>
  <c r="AC169" i="20"/>
  <c r="AB169" i="20"/>
  <c r="R169" i="20"/>
  <c r="Y169" i="20" s="1"/>
  <c r="Q169" i="20"/>
  <c r="AP169" i="20" s="1"/>
  <c r="N169" i="20"/>
  <c r="K169" i="20"/>
  <c r="BL168" i="20"/>
  <c r="AT168" i="20"/>
  <c r="AR168" i="20"/>
  <c r="BK168" i="20" s="1"/>
  <c r="AO168" i="20"/>
  <c r="AS168" i="20" s="1"/>
  <c r="AL168" i="20"/>
  <c r="AC168" i="20"/>
  <c r="AB168" i="20"/>
  <c r="R168" i="20"/>
  <c r="Y168" i="20" s="1"/>
  <c r="Q168" i="20"/>
  <c r="AP168" i="20" s="1"/>
  <c r="N168" i="20"/>
  <c r="K168" i="20"/>
  <c r="Z9" i="21"/>
  <c r="Z10" i="21"/>
  <c r="Z11" i="21"/>
  <c r="Z12" i="21"/>
  <c r="Z13" i="21"/>
  <c r="Z14" i="21"/>
  <c r="Z8" i="21"/>
  <c r="S9" i="21"/>
  <c r="S10" i="21"/>
  <c r="S8" i="21"/>
  <c r="AC210" i="20"/>
  <c r="D11" i="21"/>
  <c r="D8" i="21"/>
  <c r="G11" i="21"/>
  <c r="I11" i="21"/>
  <c r="I8" i="21"/>
  <c r="G14" i="21"/>
  <c r="G12" i="21"/>
  <c r="G9" i="21"/>
  <c r="G10" i="21"/>
  <c r="G8" i="21"/>
  <c r="B14" i="21"/>
  <c r="B12" i="21"/>
  <c r="B11" i="21"/>
  <c r="B9" i="21"/>
  <c r="B10" i="21"/>
  <c r="B8" i="21"/>
  <c r="R9" i="21"/>
  <c r="R10" i="21"/>
  <c r="R8" i="21"/>
  <c r="K15" i="21"/>
  <c r="N210" i="20"/>
  <c r="V19" i="20"/>
  <c r="AA19" i="20" s="1"/>
  <c r="K19" i="20"/>
  <c r="AC19" i="20"/>
  <c r="AT205" i="20"/>
  <c r="AR205" i="20"/>
  <c r="BK205" i="20" s="1"/>
  <c r="AO205" i="20"/>
  <c r="AS205" i="20" s="1"/>
  <c r="AL205" i="20"/>
  <c r="AC205" i="20"/>
  <c r="AB205" i="20"/>
  <c r="Q205" i="20"/>
  <c r="AP205" i="20" s="1"/>
  <c r="N205" i="20"/>
  <c r="K205" i="20"/>
  <c r="AT204" i="20"/>
  <c r="AR204" i="20"/>
  <c r="AO204" i="20"/>
  <c r="AS204" i="20" s="1"/>
  <c r="AL204" i="20"/>
  <c r="AC204" i="20"/>
  <c r="AB204" i="20"/>
  <c r="K204" i="20"/>
  <c r="AT202" i="20"/>
  <c r="AR202" i="20"/>
  <c r="AO202" i="20"/>
  <c r="AS202" i="20" s="1"/>
  <c r="AL202" i="20"/>
  <c r="AC202" i="20"/>
  <c r="AB202" i="20"/>
  <c r="V202" i="20"/>
  <c r="Q202" i="20"/>
  <c r="AP202" i="20" s="1"/>
  <c r="K202" i="20"/>
  <c r="AT201" i="20"/>
  <c r="AR201" i="20"/>
  <c r="AO201" i="20"/>
  <c r="AS201" i="20" s="1"/>
  <c r="AL201" i="20"/>
  <c r="AC201" i="20"/>
  <c r="AB201" i="20"/>
  <c r="Q201" i="20"/>
  <c r="AP201" i="20" s="1"/>
  <c r="N201" i="20"/>
  <c r="K201" i="20"/>
  <c r="BL200" i="20"/>
  <c r="AT200" i="20"/>
  <c r="AR200" i="20"/>
  <c r="BK200" i="20" s="1"/>
  <c r="AO200" i="20"/>
  <c r="AS200" i="20" s="1"/>
  <c r="AL200" i="20"/>
  <c r="AC200" i="20"/>
  <c r="AB200" i="20"/>
  <c r="Q200" i="20"/>
  <c r="AP200" i="20" s="1"/>
  <c r="K200" i="20"/>
  <c r="V201" i="20"/>
  <c r="BM200" i="20"/>
  <c r="N77" i="20"/>
  <c r="Q195" i="20"/>
  <c r="AP195" i="20" s="1"/>
  <c r="N195" i="20"/>
  <c r="AT156" i="20"/>
  <c r="AR156" i="20"/>
  <c r="AO156" i="20"/>
  <c r="AS156" i="20" s="1"/>
  <c r="AL156" i="20"/>
  <c r="AC156" i="20"/>
  <c r="AB156" i="20"/>
  <c r="V156" i="20"/>
  <c r="AA156" i="20" s="1"/>
  <c r="Q156" i="20"/>
  <c r="AP156" i="20" s="1"/>
  <c r="Q188" i="20"/>
  <c r="AP188" i="20" s="1"/>
  <c r="AB187" i="20"/>
  <c r="Q187" i="20"/>
  <c r="AP187" i="20" s="1"/>
  <c r="Q180" i="20"/>
  <c r="AP180" i="20" s="1"/>
  <c r="Q179" i="20"/>
  <c r="AP179" i="20" s="1"/>
  <c r="AB180" i="20"/>
  <c r="AT198" i="20"/>
  <c r="AR198" i="20"/>
  <c r="BK198" i="20" s="1"/>
  <c r="AO198" i="20"/>
  <c r="AS198" i="20" s="1"/>
  <c r="AL198" i="20"/>
  <c r="AC198" i="20"/>
  <c r="AB198" i="20"/>
  <c r="Q198" i="20"/>
  <c r="AP198" i="20" s="1"/>
  <c r="N198" i="20"/>
  <c r="AT196" i="20"/>
  <c r="AR196" i="20"/>
  <c r="BK196" i="20" s="1"/>
  <c r="AO196" i="20"/>
  <c r="AS196" i="20" s="1"/>
  <c r="AL196" i="20"/>
  <c r="AC196" i="20"/>
  <c r="AB196" i="20"/>
  <c r="Q196" i="20"/>
  <c r="AP196" i="20" s="1"/>
  <c r="K196" i="20"/>
  <c r="AT195" i="20"/>
  <c r="AR195" i="20"/>
  <c r="AO195" i="20"/>
  <c r="AS195" i="20" s="1"/>
  <c r="AL195" i="20"/>
  <c r="AC195" i="20"/>
  <c r="AB195" i="20"/>
  <c r="V195" i="20"/>
  <c r="AA195" i="20" s="1"/>
  <c r="K195" i="20"/>
  <c r="AM226" i="20"/>
  <c r="AK226" i="20"/>
  <c r="AJ226" i="20"/>
  <c r="Q191" i="20"/>
  <c r="AP191" i="20" s="1"/>
  <c r="Q190" i="20"/>
  <c r="AP190" i="20" s="1"/>
  <c r="Q194" i="20"/>
  <c r="AP194" i="20" s="1"/>
  <c r="AT194" i="20"/>
  <c r="AR194" i="20"/>
  <c r="AO194" i="20"/>
  <c r="AS194" i="20" s="1"/>
  <c r="AL194" i="20"/>
  <c r="AC194" i="20"/>
  <c r="AB194" i="20"/>
  <c r="V194" i="20"/>
  <c r="X194" i="20" s="1"/>
  <c r="N194" i="20"/>
  <c r="K194" i="20"/>
  <c r="AT190" i="20"/>
  <c r="AR190" i="20"/>
  <c r="BK190" i="20" s="1"/>
  <c r="AO190" i="20"/>
  <c r="AS190" i="20" s="1"/>
  <c r="AL190" i="20"/>
  <c r="AC190" i="20"/>
  <c r="AB190" i="20"/>
  <c r="N190" i="20"/>
  <c r="K190" i="20"/>
  <c r="N188" i="20"/>
  <c r="N12" i="20"/>
  <c r="N10" i="20"/>
  <c r="N8" i="20"/>
  <c r="AB173" i="20"/>
  <c r="Q189" i="20"/>
  <c r="AP189" i="20" s="1"/>
  <c r="AC189" i="20"/>
  <c r="AB189" i="20"/>
  <c r="V189" i="20"/>
  <c r="N189" i="20"/>
  <c r="K189" i="20"/>
  <c r="AT191" i="20"/>
  <c r="AR191" i="20"/>
  <c r="BK191" i="20" s="1"/>
  <c r="AO191" i="20"/>
  <c r="AS191" i="20" s="1"/>
  <c r="AL191" i="20"/>
  <c r="AC191" i="20"/>
  <c r="AB191" i="20"/>
  <c r="N191" i="20"/>
  <c r="K191" i="20"/>
  <c r="AT189" i="20"/>
  <c r="AR189" i="20"/>
  <c r="BK189" i="20" s="1"/>
  <c r="AO189" i="20"/>
  <c r="AS189" i="20" s="1"/>
  <c r="AL189" i="20"/>
  <c r="Q175" i="20"/>
  <c r="AP175" i="20" s="1"/>
  <c r="Q177" i="20"/>
  <c r="AP177" i="20" s="1"/>
  <c r="AB179" i="20"/>
  <c r="AT188" i="20"/>
  <c r="AR188" i="20"/>
  <c r="AO188" i="20"/>
  <c r="AS188" i="20" s="1"/>
  <c r="AL188" i="20"/>
  <c r="AC188" i="20"/>
  <c r="AB188" i="20"/>
  <c r="V188" i="20"/>
  <c r="AA188" i="20" s="1"/>
  <c r="K188" i="20"/>
  <c r="AT187" i="20"/>
  <c r="AR187" i="20"/>
  <c r="AO187" i="20"/>
  <c r="AS187" i="20" s="1"/>
  <c r="AL187" i="20"/>
  <c r="AC187" i="20"/>
  <c r="V187" i="20"/>
  <c r="AA187" i="20" s="1"/>
  <c r="N187" i="20"/>
  <c r="K187" i="20"/>
  <c r="K180" i="20"/>
  <c r="K179" i="20"/>
  <c r="Q178" i="20"/>
  <c r="AP178" i="20" s="1"/>
  <c r="AB177" i="20"/>
  <c r="AT180" i="20"/>
  <c r="AR180" i="20"/>
  <c r="AO180" i="20"/>
  <c r="AS180" i="20" s="1"/>
  <c r="AL180" i="20"/>
  <c r="AC180" i="20"/>
  <c r="N180" i="20"/>
  <c r="AT179" i="20"/>
  <c r="AR179" i="20"/>
  <c r="AO179" i="20"/>
  <c r="AS179" i="20" s="1"/>
  <c r="AL179" i="20"/>
  <c r="AC179" i="20"/>
  <c r="V179" i="20"/>
  <c r="N179" i="20"/>
  <c r="AT178" i="20"/>
  <c r="AR178" i="20"/>
  <c r="BK178" i="20" s="1"/>
  <c r="AO178" i="20"/>
  <c r="AS178" i="20" s="1"/>
  <c r="AL178" i="20"/>
  <c r="AC178" i="20"/>
  <c r="AB178" i="20"/>
  <c r="N178" i="20"/>
  <c r="K178" i="20"/>
  <c r="AT177" i="20"/>
  <c r="AR177" i="20"/>
  <c r="AO177" i="20"/>
  <c r="AS177" i="20" s="1"/>
  <c r="AL177" i="20"/>
  <c r="AC177" i="20"/>
  <c r="N177" i="20"/>
  <c r="K177" i="20"/>
  <c r="AT152" i="20"/>
  <c r="AR152" i="20"/>
  <c r="BK152" i="20" s="1"/>
  <c r="AO152" i="20"/>
  <c r="AS152" i="20" s="1"/>
  <c r="AL152" i="20"/>
  <c r="AC152" i="20"/>
  <c r="AB152" i="20"/>
  <c r="Q152" i="20"/>
  <c r="AP152" i="20" s="1"/>
  <c r="N152" i="20"/>
  <c r="K152" i="20"/>
  <c r="N153" i="20"/>
  <c r="AP150" i="20"/>
  <c r="Q146" i="20"/>
  <c r="AP146" i="20" s="1"/>
  <c r="Q93" i="20"/>
  <c r="AP93" i="20" s="1"/>
  <c r="V180" i="20"/>
  <c r="AB175" i="20"/>
  <c r="AB174" i="20"/>
  <c r="Q173" i="20"/>
  <c r="AP173" i="20" s="1"/>
  <c r="AS175" i="20"/>
  <c r="AR175" i="20"/>
  <c r="BK175" i="20" s="1"/>
  <c r="AL175" i="20"/>
  <c r="AI175" i="20"/>
  <c r="AC175" i="20"/>
  <c r="N175" i="20"/>
  <c r="K175" i="20"/>
  <c r="AS150" i="20"/>
  <c r="AR150" i="20"/>
  <c r="AL150" i="20"/>
  <c r="AI150" i="20"/>
  <c r="AC150" i="20"/>
  <c r="V150" i="20"/>
  <c r="AA150" i="20" s="1"/>
  <c r="AQ150" i="20" s="1"/>
  <c r="N150" i="20"/>
  <c r="K150" i="20"/>
  <c r="AT134" i="20"/>
  <c r="AR134" i="20"/>
  <c r="AO134" i="20"/>
  <c r="AS134" i="20" s="1"/>
  <c r="AL134" i="20"/>
  <c r="AC134" i="20"/>
  <c r="AB134" i="20"/>
  <c r="V134" i="20"/>
  <c r="AA134" i="20" s="1"/>
  <c r="AP134" i="20"/>
  <c r="N134" i="20"/>
  <c r="K134" i="20"/>
  <c r="AS174" i="20"/>
  <c r="AR174" i="20"/>
  <c r="AL174" i="20"/>
  <c r="AI174" i="20"/>
  <c r="AC174" i="20"/>
  <c r="AP174" i="20"/>
  <c r="N174" i="20"/>
  <c r="AI226" i="20"/>
  <c r="AT203" i="20"/>
  <c r="AR203" i="20"/>
  <c r="BK203" i="20" s="1"/>
  <c r="AO203" i="20"/>
  <c r="AS203" i="20" s="1"/>
  <c r="AL203" i="20"/>
  <c r="AC203" i="20"/>
  <c r="AB203" i="20"/>
  <c r="Q203" i="20"/>
  <c r="AP203" i="20" s="1"/>
  <c r="K203" i="20"/>
  <c r="AS173" i="20"/>
  <c r="AR173" i="20"/>
  <c r="BK173" i="20" s="1"/>
  <c r="AC173" i="20"/>
  <c r="N173" i="20"/>
  <c r="AB154" i="20"/>
  <c r="Q154" i="20"/>
  <c r="AP154" i="20" s="1"/>
  <c r="AS154" i="20"/>
  <c r="AR154" i="20"/>
  <c r="AL154" i="20"/>
  <c r="AI154" i="20"/>
  <c r="AC154" i="20"/>
  <c r="V154" i="20"/>
  <c r="AA154" i="20" s="1"/>
  <c r="N154" i="20"/>
  <c r="K154" i="20"/>
  <c r="AB155" i="20"/>
  <c r="Q155" i="20"/>
  <c r="AP155" i="20" s="1"/>
  <c r="AS155" i="20"/>
  <c r="AR155" i="20"/>
  <c r="AL155" i="20"/>
  <c r="AI155" i="20"/>
  <c r="AC155" i="20"/>
  <c r="V155" i="20"/>
  <c r="AA155" i="20" s="1"/>
  <c r="N155" i="20"/>
  <c r="K155" i="20"/>
  <c r="AS146" i="20"/>
  <c r="AR146" i="20"/>
  <c r="AL146" i="20"/>
  <c r="AI146" i="20"/>
  <c r="AC146" i="20"/>
  <c r="V146" i="20"/>
  <c r="N146" i="20"/>
  <c r="K146" i="20"/>
  <c r="K3" i="20"/>
  <c r="N3" i="20"/>
  <c r="Q3" i="20"/>
  <c r="AP3" i="20" s="1"/>
  <c r="V3" i="20"/>
  <c r="AB3" i="20"/>
  <c r="AC3" i="20"/>
  <c r="AI3" i="20"/>
  <c r="AL3" i="20"/>
  <c r="AR3" i="20"/>
  <c r="AS3" i="20"/>
  <c r="AB112" i="20"/>
  <c r="AB109" i="20"/>
  <c r="AT118" i="20"/>
  <c r="AR118" i="20"/>
  <c r="AO118" i="20"/>
  <c r="AS118" i="20" s="1"/>
  <c r="AL118" i="20"/>
  <c r="AC118" i="20"/>
  <c r="AB118" i="20"/>
  <c r="V118" i="20"/>
  <c r="AA118" i="20" s="1"/>
  <c r="R118" i="20"/>
  <c r="Q118" i="20"/>
  <c r="AP118" i="20" s="1"/>
  <c r="N118" i="20"/>
  <c r="K118" i="20"/>
  <c r="Q145" i="20"/>
  <c r="AP145" i="20" s="1"/>
  <c r="V145" i="20"/>
  <c r="N145" i="20"/>
  <c r="K145" i="20"/>
  <c r="AS145" i="20"/>
  <c r="AR145" i="20"/>
  <c r="AL145" i="20"/>
  <c r="AI145" i="20"/>
  <c r="AC145" i="20"/>
  <c r="Q144" i="20"/>
  <c r="AP144" i="20" s="1"/>
  <c r="AB143" i="20"/>
  <c r="Q143" i="20"/>
  <c r="AP143" i="20" s="1"/>
  <c r="AB131" i="20"/>
  <c r="AB153" i="20"/>
  <c r="Q153" i="20"/>
  <c r="AP153" i="20" s="1"/>
  <c r="AT153" i="20"/>
  <c r="AR153" i="20"/>
  <c r="AO153" i="20"/>
  <c r="AS153" i="20" s="1"/>
  <c r="AL153" i="20"/>
  <c r="AC153" i="20"/>
  <c r="K153" i="20"/>
  <c r="AS144" i="20"/>
  <c r="AR144" i="20"/>
  <c r="AL144" i="20"/>
  <c r="AI144" i="20"/>
  <c r="AC144" i="20"/>
  <c r="V144" i="20"/>
  <c r="N144" i="20"/>
  <c r="K144" i="20"/>
  <c r="AS143" i="20"/>
  <c r="AR143" i="20"/>
  <c r="AL143" i="20"/>
  <c r="AI143" i="20"/>
  <c r="AC143" i="20"/>
  <c r="V143" i="20"/>
  <c r="N143" i="20"/>
  <c r="K143" i="20"/>
  <c r="AB151" i="20"/>
  <c r="AC151" i="20"/>
  <c r="V151" i="20"/>
  <c r="AA151" i="20" s="1"/>
  <c r="Q151" i="20"/>
  <c r="AP151" i="20" s="1"/>
  <c r="AB141" i="20"/>
  <c r="Q141" i="20"/>
  <c r="AP141" i="20" s="1"/>
  <c r="V89" i="20"/>
  <c r="AA89" i="20" s="1"/>
  <c r="AB52" i="20"/>
  <c r="Q52" i="20"/>
  <c r="AP52" i="20" s="1"/>
  <c r="AT151" i="20"/>
  <c r="AR151" i="20"/>
  <c r="AO151" i="20"/>
  <c r="AS151" i="20" s="1"/>
  <c r="AL151" i="20"/>
  <c r="N151" i="20"/>
  <c r="K151" i="20"/>
  <c r="AS141" i="20"/>
  <c r="AR141" i="20"/>
  <c r="AL141" i="20"/>
  <c r="AI141" i="20"/>
  <c r="AC141" i="20"/>
  <c r="V141" i="20"/>
  <c r="N141" i="20"/>
  <c r="K141" i="20"/>
  <c r="Q113" i="20"/>
  <c r="AP113" i="20" s="1"/>
  <c r="AT26" i="20"/>
  <c r="AT27" i="20"/>
  <c r="AB27" i="20"/>
  <c r="Q27" i="20"/>
  <c r="AP27" i="20" s="1"/>
  <c r="AB26" i="20"/>
  <c r="Q26" i="20"/>
  <c r="AP26" i="20" s="1"/>
  <c r="V88" i="20"/>
  <c r="AB113" i="20"/>
  <c r="Q95" i="20"/>
  <c r="AP95" i="20" s="1"/>
  <c r="AT95" i="20"/>
  <c r="AR95" i="20"/>
  <c r="BK95" i="20" s="1"/>
  <c r="AO95" i="20"/>
  <c r="AS95" i="20" s="1"/>
  <c r="AL95" i="20"/>
  <c r="AC95" i="20"/>
  <c r="N95" i="20"/>
  <c r="K95" i="20"/>
  <c r="Q138" i="20"/>
  <c r="AP138" i="20" s="1"/>
  <c r="Q140" i="20"/>
  <c r="AP140" i="20" s="1"/>
  <c r="N140" i="20"/>
  <c r="AO9" i="20"/>
  <c r="AS9" i="20" s="1"/>
  <c r="AT9" i="20"/>
  <c r="Q9" i="20"/>
  <c r="AP9" i="20" s="1"/>
  <c r="K140" i="20"/>
  <c r="AB34" i="20"/>
  <c r="AS34" i="20"/>
  <c r="AR34" i="20"/>
  <c r="AL34" i="20"/>
  <c r="AI34" i="20"/>
  <c r="AC34" i="20"/>
  <c r="Q34" i="20"/>
  <c r="AP34" i="20" s="1"/>
  <c r="V34" i="20"/>
  <c r="X34" i="20" s="1"/>
  <c r="N34" i="20"/>
  <c r="K34" i="20"/>
  <c r="Q109" i="20"/>
  <c r="AP109" i="20" s="1"/>
  <c r="AF51" i="20"/>
  <c r="AR51" i="20" s="1"/>
  <c r="Q51" i="20"/>
  <c r="AP51" i="20" s="1"/>
  <c r="AS51" i="20"/>
  <c r="AL51" i="20"/>
  <c r="AC51" i="20"/>
  <c r="AB51" i="20"/>
  <c r="N51" i="20"/>
  <c r="K51" i="20"/>
  <c r="AM171" i="20"/>
  <c r="AK171" i="20"/>
  <c r="AJ171" i="20"/>
  <c r="AS27" i="20"/>
  <c r="AR27" i="20"/>
  <c r="AL27" i="20"/>
  <c r="AI27" i="20"/>
  <c r="AC27" i="20"/>
  <c r="AS26" i="20"/>
  <c r="AR26" i="20"/>
  <c r="AL26" i="20"/>
  <c r="AI26" i="20"/>
  <c r="AC26" i="20"/>
  <c r="V27" i="20"/>
  <c r="N27" i="20"/>
  <c r="K27" i="20"/>
  <c r="V26" i="20"/>
  <c r="AA26" i="20" s="1"/>
  <c r="N26" i="20"/>
  <c r="K26" i="20"/>
  <c r="Q49" i="20"/>
  <c r="AP49" i="20" s="1"/>
  <c r="AS49" i="20"/>
  <c r="AR49" i="20"/>
  <c r="AL49" i="20"/>
  <c r="AB49" i="20"/>
  <c r="V49" i="20"/>
  <c r="AA49" i="20" s="1"/>
  <c r="AB138" i="20"/>
  <c r="AT140" i="20"/>
  <c r="AR140" i="20"/>
  <c r="AO140" i="20"/>
  <c r="AS140" i="20" s="1"/>
  <c r="AL140" i="20"/>
  <c r="AC140" i="20"/>
  <c r="AB140" i="20"/>
  <c r="AT138" i="20"/>
  <c r="AR138" i="20"/>
  <c r="BK138" i="20" s="1"/>
  <c r="AO138" i="20"/>
  <c r="AS138" i="20" s="1"/>
  <c r="AL138" i="20"/>
  <c r="AC138" i="20"/>
  <c r="N138" i="20"/>
  <c r="K138" i="20"/>
  <c r="N49" i="20"/>
  <c r="K49" i="20"/>
  <c r="AC49" i="20"/>
  <c r="AB16" i="20"/>
  <c r="Q16" i="20"/>
  <c r="AP16" i="20" s="1"/>
  <c r="AT89" i="20"/>
  <c r="AR89" i="20"/>
  <c r="AO89" i="20"/>
  <c r="AS89" i="20" s="1"/>
  <c r="AI89" i="20"/>
  <c r="AC89" i="20"/>
  <c r="AB89" i="20"/>
  <c r="Q89" i="20"/>
  <c r="AP89" i="20" s="1"/>
  <c r="AT88" i="20"/>
  <c r="AR88" i="20"/>
  <c r="AO88" i="20"/>
  <c r="AS88" i="20" s="1"/>
  <c r="AC88" i="20"/>
  <c r="AB88" i="20"/>
  <c r="Q88" i="20"/>
  <c r="AP88" i="20" s="1"/>
  <c r="AB133" i="20"/>
  <c r="Q133" i="20"/>
  <c r="AP133" i="20" s="1"/>
  <c r="AT133" i="20"/>
  <c r="AR133" i="20"/>
  <c r="AO133" i="20"/>
  <c r="AS133" i="20" s="1"/>
  <c r="AL133" i="20"/>
  <c r="AC133" i="20"/>
  <c r="V133" i="20"/>
  <c r="AA133" i="20" s="1"/>
  <c r="N133" i="20"/>
  <c r="K133" i="20"/>
  <c r="Q64" i="20"/>
  <c r="AP64" i="20" s="1"/>
  <c r="AF83" i="20"/>
  <c r="AR83" i="20" s="1"/>
  <c r="BK83" i="20" s="1"/>
  <c r="AB83" i="20"/>
  <c r="AB119" i="20"/>
  <c r="Q119" i="20"/>
  <c r="AP119" i="20" s="1"/>
  <c r="Q112" i="20"/>
  <c r="AP112" i="20" s="1"/>
  <c r="Q110" i="20"/>
  <c r="AP110" i="20" s="1"/>
  <c r="Q108" i="20"/>
  <c r="AP108" i="20" s="1"/>
  <c r="AT119" i="20"/>
  <c r="AR119" i="20"/>
  <c r="AO119" i="20"/>
  <c r="AS119" i="20" s="1"/>
  <c r="AL119" i="20"/>
  <c r="AC119" i="20"/>
  <c r="V119" i="20"/>
  <c r="R119" i="20"/>
  <c r="Y119" i="20" s="1"/>
  <c r="BP119" i="20" s="1"/>
  <c r="N119" i="20"/>
  <c r="K119" i="20"/>
  <c r="AB110" i="20"/>
  <c r="AT112" i="20"/>
  <c r="AR112" i="20"/>
  <c r="AO112" i="20"/>
  <c r="AS112" i="20" s="1"/>
  <c r="AL112" i="20"/>
  <c r="AC112" i="20"/>
  <c r="AT110" i="20"/>
  <c r="AR110" i="20"/>
  <c r="AO110" i="20"/>
  <c r="AS110" i="20" s="1"/>
  <c r="AL110" i="20"/>
  <c r="AC110" i="20"/>
  <c r="V112" i="20"/>
  <c r="R112" i="20"/>
  <c r="Y112" i="20" s="1"/>
  <c r="N112" i="20"/>
  <c r="K112" i="20"/>
  <c r="V110" i="20"/>
  <c r="R110" i="20"/>
  <c r="Y110" i="20" s="1"/>
  <c r="BT110" i="20" s="1"/>
  <c r="N110" i="20"/>
  <c r="K110" i="20"/>
  <c r="AT113" i="20"/>
  <c r="AR113" i="20"/>
  <c r="AO113" i="20"/>
  <c r="AS113" i="20" s="1"/>
  <c r="AL113" i="20"/>
  <c r="AC113" i="20"/>
  <c r="V113" i="20"/>
  <c r="R113" i="20"/>
  <c r="Y113" i="20" s="1"/>
  <c r="N113" i="20"/>
  <c r="K113" i="20"/>
  <c r="AT109" i="20"/>
  <c r="AR109" i="20"/>
  <c r="AO109" i="20"/>
  <c r="AS109" i="20" s="1"/>
  <c r="AL109" i="20"/>
  <c r="AC109" i="20"/>
  <c r="V109" i="20"/>
  <c r="AA109" i="20" s="1"/>
  <c r="R109" i="20"/>
  <c r="Y109" i="20" s="1"/>
  <c r="BT109" i="20" s="1"/>
  <c r="N109" i="20"/>
  <c r="K109" i="20"/>
  <c r="AO131" i="20"/>
  <c r="AS131" i="20" s="1"/>
  <c r="Q131" i="20"/>
  <c r="AP131" i="20" s="1"/>
  <c r="AT108" i="20"/>
  <c r="AR108" i="20"/>
  <c r="AO108" i="20"/>
  <c r="AS108" i="20" s="1"/>
  <c r="AL108" i="20"/>
  <c r="AC108" i="20"/>
  <c r="AB108" i="20"/>
  <c r="R108" i="20"/>
  <c r="N108" i="20"/>
  <c r="K108" i="20"/>
  <c r="AT107" i="20"/>
  <c r="Q107" i="20"/>
  <c r="AP107" i="20" s="1"/>
  <c r="AT102" i="20"/>
  <c r="AB102" i="20"/>
  <c r="Q102" i="20"/>
  <c r="AP102" i="20" s="1"/>
  <c r="AT101" i="20"/>
  <c r="AB101" i="20"/>
  <c r="Q101" i="20"/>
  <c r="AP101" i="20" s="1"/>
  <c r="N131" i="20"/>
  <c r="AR107" i="20"/>
  <c r="AO107" i="20"/>
  <c r="AS107" i="20" s="1"/>
  <c r="AL107" i="20"/>
  <c r="AC107" i="20"/>
  <c r="AB107" i="20"/>
  <c r="V107" i="20"/>
  <c r="R107" i="20"/>
  <c r="Y107" i="20" s="1"/>
  <c r="BT107" i="20" s="1"/>
  <c r="N107" i="20"/>
  <c r="K107" i="20"/>
  <c r="AR102" i="20"/>
  <c r="BK102" i="20" s="1"/>
  <c r="AO102" i="20"/>
  <c r="AS102" i="20" s="1"/>
  <c r="AL102" i="20"/>
  <c r="AC102" i="20"/>
  <c r="R102" i="20"/>
  <c r="Y102" i="20" s="1"/>
  <c r="BT102" i="20" s="1"/>
  <c r="N102" i="20"/>
  <c r="K102" i="20"/>
  <c r="AR101" i="20"/>
  <c r="BK101" i="20" s="1"/>
  <c r="AO101" i="20"/>
  <c r="AS101" i="20" s="1"/>
  <c r="AL101" i="20"/>
  <c r="AC101" i="20"/>
  <c r="R101" i="20"/>
  <c r="Y101" i="20" s="1"/>
  <c r="N101" i="20"/>
  <c r="K101" i="20"/>
  <c r="AT131" i="20"/>
  <c r="AR131" i="20"/>
  <c r="AL131" i="20"/>
  <c r="AC131" i="20"/>
  <c r="BL131" i="20"/>
  <c r="BL170" i="20"/>
  <c r="AT170" i="20"/>
  <c r="AR170" i="20"/>
  <c r="BK170" i="20" s="1"/>
  <c r="AO170" i="20"/>
  <c r="AS170" i="20" s="1"/>
  <c r="AL170" i="20"/>
  <c r="AL171" i="20" s="1"/>
  <c r="AC170" i="20"/>
  <c r="AB170" i="20"/>
  <c r="R170" i="20"/>
  <c r="Y170" i="20" s="1"/>
  <c r="BT170" i="20" s="1"/>
  <c r="Q170" i="20"/>
  <c r="AP170" i="20" s="1"/>
  <c r="N170" i="20"/>
  <c r="AI171" i="20"/>
  <c r="K170" i="20"/>
  <c r="K131" i="20"/>
  <c r="AS81" i="20"/>
  <c r="AR81" i="20"/>
  <c r="BK81" i="20" s="1"/>
  <c r="AL81" i="20"/>
  <c r="AC81" i="20"/>
  <c r="Q81" i="20"/>
  <c r="AP81" i="20" s="1"/>
  <c r="K81" i="20"/>
  <c r="AB48" i="20"/>
  <c r="Q48" i="20"/>
  <c r="AP48" i="20" s="1"/>
  <c r="AB12" i="20"/>
  <c r="Q7" i="20"/>
  <c r="AP7" i="20" s="1"/>
  <c r="AB7" i="20"/>
  <c r="Q5" i="20"/>
  <c r="AP5" i="20" s="1"/>
  <c r="AT64" i="20"/>
  <c r="AB64" i="20"/>
  <c r="Q12" i="20"/>
  <c r="AP12" i="20" s="1"/>
  <c r="AS48" i="20"/>
  <c r="AR48" i="20"/>
  <c r="AL48" i="20"/>
  <c r="AC48" i="20"/>
  <c r="V48" i="20"/>
  <c r="N48" i="20"/>
  <c r="K48" i="20"/>
  <c r="N90" i="20"/>
  <c r="N85" i="20"/>
  <c r="N84" i="20"/>
  <c r="AL57" i="20"/>
  <c r="AI57" i="20"/>
  <c r="AI55" i="20"/>
  <c r="AM70" i="20"/>
  <c r="AK70" i="20"/>
  <c r="AJ70" i="20"/>
  <c r="AM120" i="20"/>
  <c r="AK120" i="20"/>
  <c r="AJ120" i="20"/>
  <c r="AI120" i="20"/>
  <c r="AI70" i="20"/>
  <c r="Q13" i="20"/>
  <c r="AP13" i="20" s="1"/>
  <c r="AO126" i="20"/>
  <c r="AS126" i="20" s="1"/>
  <c r="AO86" i="20"/>
  <c r="AS86" i="20" s="1"/>
  <c r="AO69" i="20"/>
  <c r="AS69" i="20" s="1"/>
  <c r="AO127" i="20"/>
  <c r="AS127" i="20" s="1"/>
  <c r="AO100" i="20"/>
  <c r="AS100" i="20" s="1"/>
  <c r="AO98" i="20"/>
  <c r="AS98" i="20" s="1"/>
  <c r="AO97" i="20"/>
  <c r="AS97" i="20" s="1"/>
  <c r="AO96" i="20"/>
  <c r="AS96" i="20" s="1"/>
  <c r="AO94" i="20"/>
  <c r="AS94" i="20" s="1"/>
  <c r="AO93" i="20"/>
  <c r="AS93" i="20" s="1"/>
  <c r="AO92" i="20"/>
  <c r="AS92" i="20" s="1"/>
  <c r="AO91" i="20"/>
  <c r="AS91" i="20" s="1"/>
  <c r="AO90" i="20"/>
  <c r="AS90" i="20" s="1"/>
  <c r="AI126" i="20"/>
  <c r="Q126" i="20"/>
  <c r="AP126" i="20" s="1"/>
  <c r="AT86" i="20"/>
  <c r="AT69" i="20"/>
  <c r="AT91" i="20"/>
  <c r="AT92" i="20"/>
  <c r="AT93" i="20"/>
  <c r="AT94" i="20"/>
  <c r="AT126" i="20"/>
  <c r="AT97" i="20"/>
  <c r="AT96" i="20"/>
  <c r="AT127" i="20"/>
  <c r="AB127" i="20"/>
  <c r="Q127" i="20"/>
  <c r="AP127" i="20" s="1"/>
  <c r="AR126" i="20"/>
  <c r="BK126" i="20" s="1"/>
  <c r="AL126" i="20"/>
  <c r="AC126" i="20"/>
  <c r="AB126" i="20"/>
  <c r="N126" i="20"/>
  <c r="K126" i="20"/>
  <c r="AR127" i="20"/>
  <c r="BK127" i="20" s="1"/>
  <c r="AL127" i="20"/>
  <c r="AC127" i="20"/>
  <c r="N127" i="20"/>
  <c r="K127" i="20"/>
  <c r="AB20" i="20"/>
  <c r="V126" i="20"/>
  <c r="AT29" i="20"/>
  <c r="AB29" i="20"/>
  <c r="AS29" i="20"/>
  <c r="AR29" i="20"/>
  <c r="AL29" i="20"/>
  <c r="AI29" i="20"/>
  <c r="AC29" i="20"/>
  <c r="Q29" i="20"/>
  <c r="AP29" i="20" s="1"/>
  <c r="V29" i="20"/>
  <c r="N29" i="20"/>
  <c r="K29" i="20"/>
  <c r="Q97" i="20"/>
  <c r="AP97" i="20" s="1"/>
  <c r="Q87" i="20"/>
  <c r="AP87" i="20" s="1"/>
  <c r="Q85" i="20"/>
  <c r="AP85" i="20" s="1"/>
  <c r="Q96" i="20"/>
  <c r="AP96" i="20" s="1"/>
  <c r="AT20" i="20"/>
  <c r="AS20" i="20"/>
  <c r="AR20" i="20"/>
  <c r="AL20" i="20"/>
  <c r="AI20" i="20"/>
  <c r="AC20" i="20"/>
  <c r="Q20" i="20"/>
  <c r="AP20" i="20" s="1"/>
  <c r="AT100" i="20"/>
  <c r="Q100" i="20"/>
  <c r="AP100" i="20" s="1"/>
  <c r="AR100" i="20"/>
  <c r="AL100" i="20"/>
  <c r="AC100" i="20"/>
  <c r="AB100" i="20"/>
  <c r="V100" i="20"/>
  <c r="N100" i="20"/>
  <c r="K100" i="20"/>
  <c r="V20" i="20"/>
  <c r="N20" i="20"/>
  <c r="K20" i="20"/>
  <c r="AB75" i="20"/>
  <c r="AB76" i="20"/>
  <c r="AC94" i="20"/>
  <c r="AT98" i="20"/>
  <c r="AB98" i="20"/>
  <c r="Q98" i="20"/>
  <c r="AP98" i="20" s="1"/>
  <c r="AR98" i="20"/>
  <c r="AL98" i="20"/>
  <c r="AC98" i="20"/>
  <c r="V98" i="20"/>
  <c r="AA98" i="20" s="1"/>
  <c r="N98" i="20"/>
  <c r="K98" i="20"/>
  <c r="AT43" i="20"/>
  <c r="AB43" i="20"/>
  <c r="Q43" i="20"/>
  <c r="AP43" i="20" s="1"/>
  <c r="AR43" i="20"/>
  <c r="AS43" i="20"/>
  <c r="AL43" i="20"/>
  <c r="AC43" i="20"/>
  <c r="V43" i="20"/>
  <c r="N43" i="20"/>
  <c r="K43" i="20"/>
  <c r="AL76" i="20"/>
  <c r="AI76" i="20"/>
  <c r="Q76" i="20"/>
  <c r="AP76" i="20" s="1"/>
  <c r="AR76" i="20"/>
  <c r="BK76" i="20" s="1"/>
  <c r="AS76" i="20"/>
  <c r="AC76" i="20"/>
  <c r="BL76" i="20"/>
  <c r="N76" i="20"/>
  <c r="AS23" i="20"/>
  <c r="AR23" i="20"/>
  <c r="AL23" i="20"/>
  <c r="AI23" i="20"/>
  <c r="AC23" i="20"/>
  <c r="AP23" i="20"/>
  <c r="AA23" i="20"/>
  <c r="BM76" i="20"/>
  <c r="AI14" i="20"/>
  <c r="AI13" i="20"/>
  <c r="AP91" i="20"/>
  <c r="AR91" i="20"/>
  <c r="BK91" i="20" s="1"/>
  <c r="AB9" i="20"/>
  <c r="AT13" i="20"/>
  <c r="AB13" i="20"/>
  <c r="Q55" i="20"/>
  <c r="AP55" i="20" s="1"/>
  <c r="AT17" i="20"/>
  <c r="Q17" i="20"/>
  <c r="AP17" i="20" s="1"/>
  <c r="AT16" i="20"/>
  <c r="AT10" i="20"/>
  <c r="AT8" i="20"/>
  <c r="Q8" i="20"/>
  <c r="AP8" i="20" s="1"/>
  <c r="AT7" i="20"/>
  <c r="Q92" i="20"/>
  <c r="AP92" i="20" s="1"/>
  <c r="AR93" i="20"/>
  <c r="BK93" i="20" s="1"/>
  <c r="AL93" i="20"/>
  <c r="AC93" i="20"/>
  <c r="N93" i="20"/>
  <c r="K93" i="20"/>
  <c r="AR96" i="20"/>
  <c r="AL96" i="20"/>
  <c r="AC96" i="20"/>
  <c r="AB96" i="20"/>
  <c r="N96" i="20"/>
  <c r="K96" i="20"/>
  <c r="N94" i="20"/>
  <c r="K94" i="20"/>
  <c r="N92" i="20"/>
  <c r="K92" i="20"/>
  <c r="AR94" i="20"/>
  <c r="BK94" i="20" s="1"/>
  <c r="AP94" i="20"/>
  <c r="AL94" i="20"/>
  <c r="AR92" i="20"/>
  <c r="BK92" i="20" s="1"/>
  <c r="AL92" i="20"/>
  <c r="AC92" i="20"/>
  <c r="AL91" i="20"/>
  <c r="AC91" i="20"/>
  <c r="N91" i="20"/>
  <c r="K91" i="20"/>
  <c r="BL91" i="20"/>
  <c r="AT42" i="20"/>
  <c r="AB42" i="20"/>
  <c r="Q42" i="20"/>
  <c r="AP42" i="20" s="1"/>
  <c r="AR42" i="20"/>
  <c r="BK42" i="20" s="1"/>
  <c r="AS42" i="20"/>
  <c r="AL42" i="20"/>
  <c r="AC42" i="20"/>
  <c r="N42" i="20"/>
  <c r="K42" i="20"/>
  <c r="AT83" i="20"/>
  <c r="Q83" i="20"/>
  <c r="AP83" i="20" s="1"/>
  <c r="AT54" i="20"/>
  <c r="Q54" i="20"/>
  <c r="AP54" i="20" s="1"/>
  <c r="AB87" i="20"/>
  <c r="AT87" i="20"/>
  <c r="AT2" i="20"/>
  <c r="Q2" i="20"/>
  <c r="AP2" i="20" s="1"/>
  <c r="AT90" i="20"/>
  <c r="Q90" i="20"/>
  <c r="AP90" i="20" s="1"/>
  <c r="AL90" i="20"/>
  <c r="AB90" i="20"/>
  <c r="AR97" i="20"/>
  <c r="BK97" i="20" s="1"/>
  <c r="AL97" i="20"/>
  <c r="AC97" i="20"/>
  <c r="N97" i="20"/>
  <c r="K97" i="20"/>
  <c r="AR90" i="20"/>
  <c r="BK90" i="20" s="1"/>
  <c r="AC90" i="20"/>
  <c r="K90" i="20"/>
  <c r="AT41" i="20"/>
  <c r="AB41" i="20"/>
  <c r="Q41" i="20"/>
  <c r="AP41" i="20" s="1"/>
  <c r="AB28" i="20"/>
  <c r="Q28" i="20"/>
  <c r="AP28" i="20" s="1"/>
  <c r="AB40" i="20"/>
  <c r="Q40" i="20"/>
  <c r="AP40" i="20" s="1"/>
  <c r="AR41" i="20"/>
  <c r="AS41" i="20"/>
  <c r="AR40" i="20"/>
  <c r="AS40" i="20"/>
  <c r="AO87" i="20"/>
  <c r="AS87" i="20" s="1"/>
  <c r="AL41" i="20"/>
  <c r="AL40" i="20"/>
  <c r="AL86" i="20"/>
  <c r="AC41" i="20"/>
  <c r="V41" i="20"/>
  <c r="N41" i="20"/>
  <c r="K41" i="20"/>
  <c r="AC40" i="20"/>
  <c r="N40" i="20"/>
  <c r="K40" i="20"/>
  <c r="BL85" i="20"/>
  <c r="BL84" i="20"/>
  <c r="AR87" i="20"/>
  <c r="AL87" i="20"/>
  <c r="AI87" i="20"/>
  <c r="AC87" i="20"/>
  <c r="V87" i="20"/>
  <c r="K87" i="20"/>
  <c r="AT60" i="20"/>
  <c r="Q60" i="20"/>
  <c r="AP60" i="20" s="1"/>
  <c r="AT33" i="20"/>
  <c r="AS33" i="20"/>
  <c r="AR33" i="20"/>
  <c r="AL33" i="20"/>
  <c r="AI33" i="20"/>
  <c r="AC33" i="20"/>
  <c r="AB33" i="20"/>
  <c r="Q33" i="20"/>
  <c r="AP33" i="20" s="1"/>
  <c r="V33" i="20"/>
  <c r="N33" i="20"/>
  <c r="K33" i="20"/>
  <c r="AR59" i="20"/>
  <c r="BK59" i="20" s="1"/>
  <c r="AR86" i="20"/>
  <c r="AC86" i="20"/>
  <c r="V86" i="20"/>
  <c r="Q86" i="20"/>
  <c r="AP86" i="20" s="1"/>
  <c r="K86" i="20"/>
  <c r="AR69" i="20"/>
  <c r="AL69" i="20"/>
  <c r="AC69" i="20"/>
  <c r="V69" i="20"/>
  <c r="Q69" i="20"/>
  <c r="AP69" i="20" s="1"/>
  <c r="N69" i="20"/>
  <c r="K69" i="20"/>
  <c r="AB85" i="20"/>
  <c r="AB84" i="20"/>
  <c r="AT84" i="20"/>
  <c r="Q84" i="20"/>
  <c r="AP84" i="20" s="1"/>
  <c r="AT5" i="20"/>
  <c r="AB5" i="20"/>
  <c r="Q37" i="20"/>
  <c r="AP37" i="20" s="1"/>
  <c r="AS83" i="20"/>
  <c r="AL83" i="20"/>
  <c r="AI83" i="20"/>
  <c r="AC83" i="20"/>
  <c r="N83" i="20"/>
  <c r="K83" i="20"/>
  <c r="AR84" i="20"/>
  <c r="AS84" i="20"/>
  <c r="AL84" i="20"/>
  <c r="AI84" i="20"/>
  <c r="AC84" i="20"/>
  <c r="K84" i="20"/>
  <c r="AT85" i="20"/>
  <c r="AS37" i="20"/>
  <c r="AS85" i="20"/>
  <c r="AR85" i="20"/>
  <c r="AL85" i="20"/>
  <c r="AI85" i="20"/>
  <c r="AC85" i="20"/>
  <c r="K85" i="20"/>
  <c r="AT80" i="20"/>
  <c r="AO80" i="20"/>
  <c r="AS80" i="20" s="1"/>
  <c r="AI31" i="20"/>
  <c r="AI25" i="20"/>
  <c r="AI21" i="20"/>
  <c r="AI28" i="20"/>
  <c r="AI17" i="20"/>
  <c r="AI16" i="20"/>
  <c r="AI12" i="20"/>
  <c r="AI10" i="20"/>
  <c r="AI9" i="20"/>
  <c r="AI8" i="20"/>
  <c r="AI7" i="20"/>
  <c r="AI5" i="20"/>
  <c r="AI4" i="20"/>
  <c r="AI2" i="20"/>
  <c r="AI80" i="20"/>
  <c r="AI79" i="20"/>
  <c r="AI39" i="20"/>
  <c r="AI38" i="20"/>
  <c r="AI64" i="20"/>
  <c r="AI77" i="20"/>
  <c r="AI75" i="20"/>
  <c r="AI37" i="20"/>
  <c r="AI60" i="20"/>
  <c r="AI59" i="20"/>
  <c r="AI58" i="20"/>
  <c r="AI56" i="20"/>
  <c r="AI54" i="20"/>
  <c r="AI53" i="20"/>
  <c r="AI52" i="20"/>
  <c r="Q80" i="20"/>
  <c r="AP80" i="20" s="1"/>
  <c r="K80" i="20"/>
  <c r="K39" i="20"/>
  <c r="K38" i="20"/>
  <c r="K64" i="20"/>
  <c r="K77" i="20"/>
  <c r="K75" i="20"/>
  <c r="K37" i="20"/>
  <c r="K60" i="20"/>
  <c r="K55" i="20"/>
  <c r="AR80" i="20"/>
  <c r="AL80" i="20"/>
  <c r="AC80" i="20"/>
  <c r="V80" i="20"/>
  <c r="N80" i="20"/>
  <c r="AT25" i="20"/>
  <c r="AB25" i="20"/>
  <c r="AS25" i="20"/>
  <c r="AR25" i="20"/>
  <c r="AL25" i="20"/>
  <c r="AC25" i="20"/>
  <c r="V25" i="20"/>
  <c r="AA25" i="20" s="1"/>
  <c r="Q25" i="20"/>
  <c r="AP25" i="20" s="1"/>
  <c r="N25" i="20"/>
  <c r="K25" i="20"/>
  <c r="Q79" i="20"/>
  <c r="AP79" i="20" s="1"/>
  <c r="AS79" i="20"/>
  <c r="AR79" i="20"/>
  <c r="AL79" i="20"/>
  <c r="AC79" i="20"/>
  <c r="V79" i="20"/>
  <c r="AA79" i="20" s="1"/>
  <c r="AQ79" i="20" s="1"/>
  <c r="N79" i="20"/>
  <c r="AP39" i="20"/>
  <c r="Q38" i="20"/>
  <c r="AP38" i="20" s="1"/>
  <c r="AS39" i="20"/>
  <c r="AR39" i="20"/>
  <c r="AL39" i="20"/>
  <c r="AC39" i="20"/>
  <c r="AB39" i="20"/>
  <c r="V39" i="20"/>
  <c r="AA39" i="20" s="1"/>
  <c r="AS38" i="20"/>
  <c r="AR38" i="20"/>
  <c r="AL38" i="20"/>
  <c r="AC38" i="20"/>
  <c r="AB38" i="20"/>
  <c r="V38" i="20"/>
  <c r="X38" i="20" s="1"/>
  <c r="N38" i="20"/>
  <c r="BL77" i="20"/>
  <c r="BL75" i="20"/>
  <c r="AS64" i="20"/>
  <c r="AR64" i="20"/>
  <c r="AL64" i="20"/>
  <c r="AC64" i="20"/>
  <c r="V64" i="20"/>
  <c r="N64" i="20"/>
  <c r="AT55" i="20"/>
  <c r="AB55" i="20"/>
  <c r="AT77" i="20"/>
  <c r="AS77" i="20"/>
  <c r="AR77" i="20"/>
  <c r="AL77" i="20"/>
  <c r="AC77" i="20"/>
  <c r="AB77" i="20"/>
  <c r="V77" i="20"/>
  <c r="AA77" i="20" s="1"/>
  <c r="Q77" i="20"/>
  <c r="AP77" i="20" s="1"/>
  <c r="AT37" i="20"/>
  <c r="AR37" i="20"/>
  <c r="BK37" i="20" s="1"/>
  <c r="AL37" i="20"/>
  <c r="AC37" i="20"/>
  <c r="V37" i="20"/>
  <c r="AA37" i="20" s="1"/>
  <c r="AQ37" i="20" s="1"/>
  <c r="N37" i="20"/>
  <c r="N75" i="20"/>
  <c r="Q75" i="20"/>
  <c r="AP75" i="20" s="1"/>
  <c r="AC75" i="20"/>
  <c r="AL75" i="20"/>
  <c r="AO75" i="20"/>
  <c r="AS75" i="20" s="1"/>
  <c r="AR75" i="20"/>
  <c r="BK75" i="20" s="1"/>
  <c r="Q57" i="20"/>
  <c r="AP57" i="20" s="1"/>
  <c r="AS60" i="20"/>
  <c r="AR60" i="20"/>
  <c r="BK60" i="20" s="1"/>
  <c r="AL60" i="20"/>
  <c r="AC60" i="20"/>
  <c r="AB60" i="20"/>
  <c r="N60" i="20"/>
  <c r="AS59" i="20"/>
  <c r="AL59" i="20"/>
  <c r="AC59" i="20"/>
  <c r="Q59" i="20"/>
  <c r="AP59" i="20" s="1"/>
  <c r="N59" i="20"/>
  <c r="AT58" i="20"/>
  <c r="AR58" i="20"/>
  <c r="BK58" i="20" s="1"/>
  <c r="AO58" i="20"/>
  <c r="AS58" i="20" s="1"/>
  <c r="AL58" i="20"/>
  <c r="AC58" i="20"/>
  <c r="AB58" i="20"/>
  <c r="Q58" i="20"/>
  <c r="AP58" i="20" s="1"/>
  <c r="N58" i="20"/>
  <c r="AR57" i="20"/>
  <c r="AO57" i="20"/>
  <c r="AS57" i="20" s="1"/>
  <c r="AC57" i="20"/>
  <c r="AB57" i="20"/>
  <c r="AS56" i="20"/>
  <c r="AR56" i="20"/>
  <c r="AL56" i="20"/>
  <c r="AC56" i="20"/>
  <c r="V56" i="20"/>
  <c r="AA56" i="20" s="1"/>
  <c r="AQ56" i="20" s="1"/>
  <c r="Q56" i="20"/>
  <c r="AP56" i="20" s="1"/>
  <c r="N56" i="20"/>
  <c r="AR55" i="20"/>
  <c r="BK55" i="20" s="1"/>
  <c r="AS55" i="20"/>
  <c r="AL55" i="20"/>
  <c r="AC55" i="20"/>
  <c r="V55" i="20"/>
  <c r="N55" i="20"/>
  <c r="AS54" i="20"/>
  <c r="AR54" i="20"/>
  <c r="BK54" i="20" s="1"/>
  <c r="AL54" i="20"/>
  <c r="AC54" i="20"/>
  <c r="N54" i="20"/>
  <c r="K54" i="20"/>
  <c r="AS53" i="20"/>
  <c r="AR53" i="20"/>
  <c r="AL53" i="20"/>
  <c r="AC53" i="20"/>
  <c r="V53" i="20"/>
  <c r="Q53" i="20"/>
  <c r="AP53" i="20" s="1"/>
  <c r="N53" i="20"/>
  <c r="K53" i="20"/>
  <c r="AS52" i="20"/>
  <c r="AR52" i="20"/>
  <c r="BK52" i="20" s="1"/>
  <c r="AL52" i="20"/>
  <c r="AC52" i="20"/>
  <c r="V52" i="20"/>
  <c r="N52" i="20"/>
  <c r="K52" i="20"/>
  <c r="AT31" i="20"/>
  <c r="AS31" i="20"/>
  <c r="AR31" i="20"/>
  <c r="AL31" i="20"/>
  <c r="AC31" i="20"/>
  <c r="AB31" i="20"/>
  <c r="V31" i="20"/>
  <c r="AA31" i="20" s="1"/>
  <c r="Q31" i="20"/>
  <c r="AP31" i="20" s="1"/>
  <c r="N31" i="20"/>
  <c r="K31" i="20"/>
  <c r="AT21" i="20"/>
  <c r="AS21" i="20"/>
  <c r="AR21" i="20"/>
  <c r="AL21" i="20"/>
  <c r="AC21" i="20"/>
  <c r="V21" i="20"/>
  <c r="Q21" i="20"/>
  <c r="AP21" i="20" s="1"/>
  <c r="N21" i="20"/>
  <c r="K21" i="20"/>
  <c r="AT28" i="20"/>
  <c r="AS28" i="20"/>
  <c r="AR28" i="20"/>
  <c r="AL28" i="20"/>
  <c r="AC28" i="20"/>
  <c r="V28" i="20"/>
  <c r="N28" i="20"/>
  <c r="K28" i="20"/>
  <c r="AS17" i="20"/>
  <c r="AR17" i="20"/>
  <c r="AL17" i="20"/>
  <c r="AC17" i="20"/>
  <c r="AB17" i="20"/>
  <c r="V17" i="20"/>
  <c r="N17" i="20"/>
  <c r="K17" i="20"/>
  <c r="AS16" i="20"/>
  <c r="AR16" i="20"/>
  <c r="BK16" i="20" s="1"/>
  <c r="AL16" i="20"/>
  <c r="AC16" i="20"/>
  <c r="N16" i="20"/>
  <c r="K16" i="20"/>
  <c r="AT14" i="20"/>
  <c r="AR14" i="20"/>
  <c r="BK14" i="20" s="1"/>
  <c r="AO14" i="20"/>
  <c r="AS14" i="20" s="1"/>
  <c r="AL14" i="20"/>
  <c r="AC14" i="20"/>
  <c r="Q14" i="20"/>
  <c r="AP14" i="20" s="1"/>
  <c r="N14" i="20"/>
  <c r="K14" i="20"/>
  <c r="AS13" i="20"/>
  <c r="AR13" i="20"/>
  <c r="AL13" i="20"/>
  <c r="AC13" i="20"/>
  <c r="N13" i="20"/>
  <c r="AT12" i="20"/>
  <c r="AR12" i="20"/>
  <c r="AO12" i="20"/>
  <c r="AS12" i="20" s="1"/>
  <c r="AL12" i="20"/>
  <c r="AC12" i="20"/>
  <c r="K12" i="20"/>
  <c r="AS10" i="20"/>
  <c r="AR10" i="20"/>
  <c r="AL10" i="20"/>
  <c r="AC10" i="20"/>
  <c r="AB10" i="20"/>
  <c r="V10" i="20"/>
  <c r="Q10" i="20"/>
  <c r="AP10" i="20" s="1"/>
  <c r="K10" i="20"/>
  <c r="AR9" i="20"/>
  <c r="AL9" i="20"/>
  <c r="AC9" i="20"/>
  <c r="BL8" i="20"/>
  <c r="AS8" i="20"/>
  <c r="AR8" i="20"/>
  <c r="AL8" i="20"/>
  <c r="AC8" i="20"/>
  <c r="AB8" i="20"/>
  <c r="K8" i="20"/>
  <c r="AS7" i="20"/>
  <c r="AR7" i="20"/>
  <c r="BK7" i="20" s="1"/>
  <c r="AL7" i="20"/>
  <c r="AC7" i="20"/>
  <c r="N7" i="20"/>
  <c r="K7" i="20"/>
  <c r="AS5" i="20"/>
  <c r="AR5" i="20"/>
  <c r="BK5" i="20" s="1"/>
  <c r="AL5" i="20"/>
  <c r="AC5" i="20"/>
  <c r="N5" i="20"/>
  <c r="K5" i="20"/>
  <c r="BL4" i="20"/>
  <c r="AS4" i="20"/>
  <c r="AR4" i="20"/>
  <c r="BK4" i="20" s="1"/>
  <c r="AL4" i="20"/>
  <c r="AC4" i="20"/>
  <c r="V4" i="20"/>
  <c r="AA4" i="20" s="1"/>
  <c r="AQ4" i="20" s="1"/>
  <c r="Q4" i="20"/>
  <c r="AP4" i="20" s="1"/>
  <c r="N4" i="20"/>
  <c r="K4" i="20"/>
  <c r="AS2" i="20"/>
  <c r="AR2" i="20"/>
  <c r="AL2" i="20"/>
  <c r="AC2" i="20"/>
  <c r="AB2" i="20"/>
  <c r="V2" i="20"/>
  <c r="N2" i="20"/>
  <c r="K2" i="20"/>
  <c r="BL90" i="20"/>
  <c r="BL83" i="20"/>
  <c r="BL80" i="20"/>
  <c r="V9" i="20"/>
  <c r="BL64" i="20"/>
  <c r="BL201" i="20"/>
  <c r="BM201" i="20"/>
  <c r="BL198" i="20"/>
  <c r="BM198" i="20"/>
  <c r="BL195" i="20"/>
  <c r="BM195" i="20"/>
  <c r="BL194" i="20"/>
  <c r="BM194" i="20"/>
  <c r="BL59" i="20"/>
  <c r="BL190" i="20"/>
  <c r="BL189" i="20"/>
  <c r="BL191" i="20"/>
  <c r="BM189" i="20"/>
  <c r="BM191" i="20"/>
  <c r="BL178" i="20"/>
  <c r="BL177" i="20"/>
  <c r="BM178" i="20"/>
  <c r="BM177" i="20"/>
  <c r="BL152" i="20"/>
  <c r="BL175" i="20"/>
  <c r="BM174" i="20"/>
  <c r="BL174" i="20"/>
  <c r="BM173" i="20"/>
  <c r="BL173" i="20"/>
  <c r="BL203" i="20"/>
  <c r="BL153" i="20"/>
  <c r="BL95" i="20"/>
  <c r="BM95" i="20"/>
  <c r="BL51" i="20"/>
  <c r="BM51" i="20"/>
  <c r="BL140" i="20"/>
  <c r="BL138" i="20"/>
  <c r="BM138" i="20"/>
  <c r="BL14" i="20"/>
  <c r="BM12" i="20"/>
  <c r="BL37" i="20"/>
  <c r="BL101" i="20"/>
  <c r="BL102" i="20"/>
  <c r="BM101" i="20"/>
  <c r="BM102" i="20"/>
  <c r="BL81" i="20"/>
  <c r="BL40" i="20"/>
  <c r="BL60" i="20"/>
  <c r="BL42" i="20"/>
  <c r="BL54" i="20"/>
  <c r="BL13" i="20"/>
  <c r="BL55" i="20"/>
  <c r="BL58" i="20"/>
  <c r="BL127" i="20"/>
  <c r="BL126" i="20"/>
  <c r="BM126" i="20"/>
  <c r="BM127" i="20"/>
  <c r="BM96" i="20"/>
  <c r="BL16" i="20"/>
  <c r="BL12" i="20"/>
  <c r="BM83" i="20"/>
  <c r="BL5" i="20"/>
  <c r="BM85" i="20"/>
  <c r="BL92" i="20"/>
  <c r="BM5" i="20"/>
  <c r="BL97" i="20"/>
  <c r="BL7" i="20"/>
  <c r="BL96" i="20"/>
  <c r="BM92" i="20"/>
  <c r="BM8" i="20"/>
  <c r="BM16" i="20"/>
  <c r="BM37" i="20"/>
  <c r="BM55" i="20"/>
  <c r="BM4" i="20"/>
  <c r="BM42" i="20"/>
  <c r="BM75" i="20"/>
  <c r="BM54" i="20"/>
  <c r="BM91" i="20"/>
  <c r="BM14" i="20"/>
  <c r="BM64" i="20"/>
  <c r="BM80" i="20"/>
  <c r="BM97" i="20"/>
  <c r="BM58" i="20"/>
  <c r="BL94" i="20"/>
  <c r="BM90" i="20"/>
  <c r="BM77" i="20"/>
  <c r="BM60" i="20"/>
  <c r="BM13" i="20"/>
  <c r="BM94" i="20"/>
  <c r="BM7" i="20"/>
  <c r="BL176" i="20"/>
  <c r="BM176" i="20"/>
  <c r="BL192" i="20"/>
  <c r="BM192" i="20"/>
  <c r="BL196" i="20"/>
  <c r="BL156" i="20"/>
  <c r="U138" i="20"/>
  <c r="V138" i="20" s="1"/>
  <c r="BM168" i="20"/>
  <c r="BM205" i="20"/>
  <c r="BL205" i="20"/>
  <c r="BL52" i="20"/>
  <c r="BM156" i="20"/>
  <c r="BM196" i="20"/>
  <c r="V43" i="22" l="1"/>
  <c r="V48" i="22"/>
  <c r="U48" i="22"/>
  <c r="V47" i="22"/>
  <c r="BK45" i="22"/>
  <c r="BN6" i="20"/>
  <c r="BK44" i="22"/>
  <c r="BJ44" i="22"/>
  <c r="BC44" i="22" s="1"/>
  <c r="BI44" i="22"/>
  <c r="BB44" i="22" s="1"/>
  <c r="BH44" i="22"/>
  <c r="BM43" i="22"/>
  <c r="BK43" i="22"/>
  <c r="BQ43" i="22"/>
  <c r="BH43" i="22"/>
  <c r="BB43" i="22"/>
  <c r="BA43" i="22"/>
  <c r="BC43" i="22"/>
  <c r="BL11" i="20"/>
  <c r="BE11" i="20" s="1"/>
  <c r="BK11" i="20"/>
  <c r="BN11" i="20"/>
  <c r="BM11" i="20"/>
  <c r="BF11" i="20" s="1"/>
  <c r="BK42" i="22"/>
  <c r="BD42" i="22" s="1"/>
  <c r="BN15" i="20"/>
  <c r="U9" i="22"/>
  <c r="BJ9" i="22" s="1"/>
  <c r="BN142" i="20"/>
  <c r="BK41" i="22"/>
  <c r="BD41" i="22" s="1"/>
  <c r="BK40" i="22"/>
  <c r="BD40" i="22" s="1"/>
  <c r="BN50" i="20"/>
  <c r="BN99" i="20"/>
  <c r="BK99" i="20"/>
  <c r="X201" i="20"/>
  <c r="BI37" i="22"/>
  <c r="BB37" i="22" s="1"/>
  <c r="BJ37" i="22"/>
  <c r="BC37" i="22" s="1"/>
  <c r="BK37" i="22"/>
  <c r="BH37" i="22"/>
  <c r="BL129" i="20"/>
  <c r="BN224" i="20"/>
  <c r="BG224" i="20" s="1"/>
  <c r="X16" i="20"/>
  <c r="BJ33" i="22"/>
  <c r="BC33" i="22" s="1"/>
  <c r="BK33" i="22"/>
  <c r="BI33" i="22"/>
  <c r="BB33" i="22" s="1"/>
  <c r="BH33" i="22"/>
  <c r="X110" i="20"/>
  <c r="BM110" i="20" s="1"/>
  <c r="BL136" i="20"/>
  <c r="BE136" i="20" s="1"/>
  <c r="BM136" i="20"/>
  <c r="BF136" i="20" s="1"/>
  <c r="BK136" i="20"/>
  <c r="BN136" i="20"/>
  <c r="BN199" i="20"/>
  <c r="BN36" i="20"/>
  <c r="U158" i="20"/>
  <c r="U4" i="22"/>
  <c r="BJ4" i="22" s="1"/>
  <c r="BC4" i="22" s="1"/>
  <c r="BK27" i="22"/>
  <c r="BJ27" i="22"/>
  <c r="BC27" i="22" s="1"/>
  <c r="BI27" i="22"/>
  <c r="BB27" i="22" s="1"/>
  <c r="BH27" i="22"/>
  <c r="BL132" i="20"/>
  <c r="BN132" i="20"/>
  <c r="BG132" i="20" s="1"/>
  <c r="BM132" i="20"/>
  <c r="BF132" i="20" s="1"/>
  <c r="BL139" i="20"/>
  <c r="BN139" i="20"/>
  <c r="BM139" i="20"/>
  <c r="BF139" i="20" s="1"/>
  <c r="BN128" i="20"/>
  <c r="BL128" i="20"/>
  <c r="BM128" i="20"/>
  <c r="BL225" i="20"/>
  <c r="BE225" i="20" s="1"/>
  <c r="BK225" i="20"/>
  <c r="BN225" i="20"/>
  <c r="BM225" i="20"/>
  <c r="BF225" i="20" s="1"/>
  <c r="BK26" i="22"/>
  <c r="BD26" i="22" s="1"/>
  <c r="BL157" i="20"/>
  <c r="BE157" i="20" s="1"/>
  <c r="BK157" i="20"/>
  <c r="BN157" i="20"/>
  <c r="BM157" i="20"/>
  <c r="BF157" i="20" s="1"/>
  <c r="BI9" i="22"/>
  <c r="BJ24" i="22"/>
  <c r="BC24" i="22" s="1"/>
  <c r="BI24" i="22"/>
  <c r="BI25" i="22"/>
  <c r="BJ25" i="22"/>
  <c r="BC25" i="22" s="1"/>
  <c r="AN8" i="22"/>
  <c r="BF8" i="22" s="1"/>
  <c r="V108" i="20"/>
  <c r="X108" i="20" s="1"/>
  <c r="BM108" i="20" s="1"/>
  <c r="T120" i="20"/>
  <c r="N11" i="21" s="1"/>
  <c r="R11" i="21" s="1"/>
  <c r="BN197" i="20"/>
  <c r="V76" i="20"/>
  <c r="AA76" i="20" s="1"/>
  <c r="AQ76" i="20" s="1"/>
  <c r="AU76" i="20" s="1"/>
  <c r="AA17" i="20"/>
  <c r="AQ17" i="20" s="1"/>
  <c r="BI17" i="20" s="1"/>
  <c r="V127" i="20"/>
  <c r="X127" i="20" s="1"/>
  <c r="BK20" i="22"/>
  <c r="BD20" i="22" s="1"/>
  <c r="U10" i="22"/>
  <c r="BJ10" i="22" s="1"/>
  <c r="X87" i="20"/>
  <c r="BM87" i="20" s="1"/>
  <c r="BN65" i="20"/>
  <c r="BK19" i="22"/>
  <c r="BD19" i="22" s="1"/>
  <c r="BL135" i="20"/>
  <c r="BE135" i="20" s="1"/>
  <c r="BK135" i="20"/>
  <c r="BN135" i="20"/>
  <c r="BM135" i="20"/>
  <c r="BF135" i="20" s="1"/>
  <c r="BT40" i="20"/>
  <c r="BT20" i="20"/>
  <c r="BP68" i="20"/>
  <c r="AQ187" i="20"/>
  <c r="AU187" i="20" s="1"/>
  <c r="BP98" i="20"/>
  <c r="BL21" i="20"/>
  <c r="AQ188" i="20"/>
  <c r="AU188" i="20" s="1"/>
  <c r="BP152" i="20"/>
  <c r="BV196" i="20"/>
  <c r="BP33" i="20"/>
  <c r="BK40" i="20"/>
  <c r="BR40" i="20" s="1"/>
  <c r="BP26" i="20"/>
  <c r="X202" i="20"/>
  <c r="BM202" i="20" s="1"/>
  <c r="BL98" i="20"/>
  <c r="BL26" i="20"/>
  <c r="BK174" i="20"/>
  <c r="BR174" i="20" s="1"/>
  <c r="BP204" i="20"/>
  <c r="BT53" i="20"/>
  <c r="BL100" i="20"/>
  <c r="BL179" i="20"/>
  <c r="X109" i="20"/>
  <c r="BM109" i="20" s="1"/>
  <c r="BL89" i="20"/>
  <c r="BL113" i="20"/>
  <c r="BT64" i="20"/>
  <c r="BT190" i="20"/>
  <c r="BL151" i="20"/>
  <c r="BL93" i="20"/>
  <c r="BV93" i="20" s="1"/>
  <c r="BN193" i="20"/>
  <c r="BV90" i="20"/>
  <c r="BY90" i="20" s="1"/>
  <c r="BT34" i="20"/>
  <c r="BP205" i="20"/>
  <c r="BN90" i="20"/>
  <c r="BL202" i="20"/>
  <c r="BL144" i="20"/>
  <c r="BT188" i="20"/>
  <c r="BH6" i="22"/>
  <c r="BI6" i="22"/>
  <c r="BS13" i="22"/>
  <c r="X12" i="22"/>
  <c r="AN12" i="22" s="1"/>
  <c r="AR12" i="22" s="1"/>
  <c r="BN180" i="20"/>
  <c r="BK15" i="22"/>
  <c r="X154" i="20"/>
  <c r="BM154" i="20" s="1"/>
  <c r="AQ195" i="20"/>
  <c r="BI195" i="20" s="1"/>
  <c r="AA201" i="20"/>
  <c r="AQ201" i="20" s="1"/>
  <c r="BP102" i="20"/>
  <c r="AN6" i="22"/>
  <c r="AR6" i="22" s="1"/>
  <c r="AZ6" i="22" s="1"/>
  <c r="BN147" i="20"/>
  <c r="BP110" i="20"/>
  <c r="BP107" i="20"/>
  <c r="AQ133" i="20"/>
  <c r="BI133" i="20" s="1"/>
  <c r="AQ49" i="20"/>
  <c r="BI49" i="20" s="1"/>
  <c r="AN9" i="22"/>
  <c r="BN153" i="20"/>
  <c r="BV153" i="20" s="1"/>
  <c r="BI18" i="22"/>
  <c r="BB18" i="22" s="1"/>
  <c r="BJ18" i="22"/>
  <c r="BC18" i="22" s="1"/>
  <c r="BK18" i="22"/>
  <c r="BL78" i="20"/>
  <c r="BM78" i="20"/>
  <c r="BF78" i="20" s="1"/>
  <c r="BN78" i="20"/>
  <c r="BG78" i="20" s="1"/>
  <c r="BH18" i="22"/>
  <c r="BN133" i="20"/>
  <c r="BP198" i="20"/>
  <c r="AQ97" i="20"/>
  <c r="AU97" i="20" s="1"/>
  <c r="BT180" i="20"/>
  <c r="BT119" i="20"/>
  <c r="BN13" i="20"/>
  <c r="X151" i="20"/>
  <c r="BM151" i="20" s="1"/>
  <c r="BT28" i="20"/>
  <c r="BP91" i="20"/>
  <c r="AA102" i="20"/>
  <c r="AQ102" i="20" s="1"/>
  <c r="BE102" i="20" s="1"/>
  <c r="X188" i="20"/>
  <c r="BM188" i="20" s="1"/>
  <c r="L162" i="20"/>
  <c r="U13" i="21" s="1"/>
  <c r="W13" i="21" s="1"/>
  <c r="BK151" i="20"/>
  <c r="BT13" i="20"/>
  <c r="X98" i="20"/>
  <c r="BM98" i="20" s="1"/>
  <c r="BN143" i="20"/>
  <c r="BN53" i="20"/>
  <c r="X56" i="20"/>
  <c r="BM56" i="20" s="1"/>
  <c r="BF56" i="20" s="1"/>
  <c r="AQ118" i="20"/>
  <c r="BI118" i="20" s="1"/>
  <c r="AQ154" i="20"/>
  <c r="BI154" i="20" s="1"/>
  <c r="BK179" i="20"/>
  <c r="BP179" i="20"/>
  <c r="BT179" i="20"/>
  <c r="BP49" i="20"/>
  <c r="BN49" i="20"/>
  <c r="BK49" i="20"/>
  <c r="BP202" i="20"/>
  <c r="BT202" i="20"/>
  <c r="AU4" i="20"/>
  <c r="BD4" i="20" s="1"/>
  <c r="V169" i="20"/>
  <c r="X169" i="20" s="1"/>
  <c r="BM169" i="20" s="1"/>
  <c r="AA202" i="20"/>
  <c r="AQ202" i="20" s="1"/>
  <c r="BI202" i="20" s="1"/>
  <c r="BP174" i="20"/>
  <c r="BT127" i="20"/>
  <c r="BT147" i="20"/>
  <c r="AQ204" i="20"/>
  <c r="BV126" i="20"/>
  <c r="AQ164" i="20"/>
  <c r="AU164" i="20" s="1"/>
  <c r="BT146" i="20"/>
  <c r="BP140" i="20"/>
  <c r="BV192" i="20"/>
  <c r="BP90" i="20"/>
  <c r="BN189" i="20"/>
  <c r="X133" i="20"/>
  <c r="BM133" i="20" s="1"/>
  <c r="X211" i="20"/>
  <c r="BT56" i="20"/>
  <c r="X26" i="20"/>
  <c r="BM26" i="20" s="1"/>
  <c r="X97" i="20"/>
  <c r="BK20" i="20"/>
  <c r="X52" i="20"/>
  <c r="BM52" i="20" s="1"/>
  <c r="BK9" i="20"/>
  <c r="BT141" i="20"/>
  <c r="BP14" i="20"/>
  <c r="BK149" i="20"/>
  <c r="U6" i="22"/>
  <c r="BJ6" i="22" s="1"/>
  <c r="BS14" i="22"/>
  <c r="BF4" i="22"/>
  <c r="X7" i="22"/>
  <c r="AN7" i="22" s="1"/>
  <c r="AR7" i="22" s="1"/>
  <c r="U14" i="22"/>
  <c r="BJ14" i="22" s="1"/>
  <c r="AN14" i="22"/>
  <c r="BB14" i="22" s="1"/>
  <c r="BR14" i="22" s="1"/>
  <c r="BH8" i="22"/>
  <c r="BP200" i="20"/>
  <c r="BT200" i="20"/>
  <c r="BN200" i="20"/>
  <c r="BT168" i="20"/>
  <c r="BP168" i="20"/>
  <c r="BH9" i="22"/>
  <c r="BM9" i="22"/>
  <c r="BK9" i="22"/>
  <c r="BQ9" i="22"/>
  <c r="BP196" i="20"/>
  <c r="BT196" i="20"/>
  <c r="BP42" i="20"/>
  <c r="BT42" i="20"/>
  <c r="BT3" i="20"/>
  <c r="BP3" i="20"/>
  <c r="BP92" i="20"/>
  <c r="BT92" i="20"/>
  <c r="BQ12" i="22"/>
  <c r="BM12" i="22"/>
  <c r="BP131" i="20"/>
  <c r="BT131" i="20"/>
  <c r="BP84" i="20"/>
  <c r="BN84" i="20"/>
  <c r="BT84" i="20"/>
  <c r="BQ7" i="22"/>
  <c r="BH7" i="22"/>
  <c r="X11" i="22"/>
  <c r="AN11" i="22" s="1"/>
  <c r="U11" i="22"/>
  <c r="BJ11" i="22" s="1"/>
  <c r="BP59" i="20"/>
  <c r="BT59" i="20"/>
  <c r="AA194" i="20"/>
  <c r="AQ194" i="20" s="1"/>
  <c r="L124" i="20"/>
  <c r="U11" i="21" s="1"/>
  <c r="W11" i="21" s="1"/>
  <c r="X101" i="20"/>
  <c r="X37" i="20"/>
  <c r="BW4" i="20"/>
  <c r="BV5" i="20"/>
  <c r="BV127" i="20"/>
  <c r="BV8" i="20"/>
  <c r="BY8" i="20" s="1"/>
  <c r="BR76" i="20"/>
  <c r="AA110" i="20"/>
  <c r="AQ110" i="20" s="1"/>
  <c r="BI110" i="20" s="1"/>
  <c r="X10" i="22"/>
  <c r="AN10" i="22" s="1"/>
  <c r="BQ13" i="22"/>
  <c r="X200" i="20"/>
  <c r="X8" i="20"/>
  <c r="U8" i="22"/>
  <c r="BJ8" i="22" s="1"/>
  <c r="AQ205" i="20"/>
  <c r="BW205" i="20" s="1"/>
  <c r="AA87" i="20"/>
  <c r="AQ87" i="20" s="1"/>
  <c r="AQ26" i="20"/>
  <c r="AU26" i="20" s="1"/>
  <c r="BD26" i="20" s="1"/>
  <c r="AR4" i="22"/>
  <c r="AZ4" i="22" s="1"/>
  <c r="BJ7" i="22"/>
  <c r="X13" i="20"/>
  <c r="X77" i="20"/>
  <c r="BV16" i="20"/>
  <c r="BI8" i="22"/>
  <c r="BT148" i="20"/>
  <c r="BN187" i="20"/>
  <c r="BN145" i="20"/>
  <c r="AQ177" i="20"/>
  <c r="BI177" i="20" s="1"/>
  <c r="Y216" i="20"/>
  <c r="X216" i="20"/>
  <c r="BV4" i="20"/>
  <c r="AQ31" i="20"/>
  <c r="BI31" i="20" s="1"/>
  <c r="BK17" i="22"/>
  <c r="BI17" i="22"/>
  <c r="BB17" i="22" s="1"/>
  <c r="BJ17" i="22"/>
  <c r="BC17" i="22" s="1"/>
  <c r="BH17" i="22"/>
  <c r="V11" i="22"/>
  <c r="BK11" i="22" s="1"/>
  <c r="BS11" i="22" s="1"/>
  <c r="BN177" i="20"/>
  <c r="BK155" i="20"/>
  <c r="X79" i="20"/>
  <c r="BM79" i="20" s="1"/>
  <c r="BF79" i="20" s="1"/>
  <c r="X182" i="20"/>
  <c r="X49" i="20"/>
  <c r="BM49" i="20" s="1"/>
  <c r="BM13" i="22"/>
  <c r="AA34" i="20"/>
  <c r="AQ34" i="20" s="1"/>
  <c r="BI34" i="20" s="1"/>
  <c r="Y37" i="20"/>
  <c r="BP37" i="20" s="1"/>
  <c r="BH13" i="22"/>
  <c r="BO13" i="22" s="1"/>
  <c r="BV168" i="20"/>
  <c r="P8" i="21"/>
  <c r="Q8" i="21" s="1"/>
  <c r="BR169" i="20"/>
  <c r="BV200" i="20"/>
  <c r="BR198" i="20"/>
  <c r="BV198" i="20"/>
  <c r="BY198" i="20" s="1"/>
  <c r="AA203" i="20"/>
  <c r="AQ203" i="20" s="1"/>
  <c r="X203" i="20"/>
  <c r="BM203" i="20" s="1"/>
  <c r="BR54" i="20"/>
  <c r="X179" i="20"/>
  <c r="BM179" i="20" s="1"/>
  <c r="AA179" i="20"/>
  <c r="AQ179" i="20" s="1"/>
  <c r="Y192" i="20"/>
  <c r="BN192" i="20" s="1"/>
  <c r="X192" i="20"/>
  <c r="BT5" i="20"/>
  <c r="BP5" i="20"/>
  <c r="BI4" i="20"/>
  <c r="BJ4" i="20" s="1"/>
  <c r="BP155" i="20"/>
  <c r="BT17" i="20"/>
  <c r="BP12" i="20"/>
  <c r="BP187" i="20"/>
  <c r="BT113" i="20"/>
  <c r="BP113" i="20"/>
  <c r="BM6" i="22"/>
  <c r="BQ6" i="22"/>
  <c r="BP203" i="20"/>
  <c r="BT203" i="20"/>
  <c r="BT4" i="20"/>
  <c r="BP4" i="20"/>
  <c r="N14" i="21"/>
  <c r="BT9" i="20"/>
  <c r="X156" i="20"/>
  <c r="BT187" i="20"/>
  <c r="BT94" i="20"/>
  <c r="AA96" i="20"/>
  <c r="AQ96" i="20" s="1"/>
  <c r="X96" i="20"/>
  <c r="BP9" i="20"/>
  <c r="BP54" i="20"/>
  <c r="BT95" i="20"/>
  <c r="BT49" i="20"/>
  <c r="BT100" i="20"/>
  <c r="BT191" i="20"/>
  <c r="BK100" i="20"/>
  <c r="BV169" i="20"/>
  <c r="AQ39" i="20"/>
  <c r="BI39" i="20" s="1"/>
  <c r="AQ196" i="20"/>
  <c r="BE196" i="20" s="1"/>
  <c r="BO196" i="20" s="1"/>
  <c r="X17" i="20"/>
  <c r="BM17" i="20" s="1"/>
  <c r="BP112" i="20"/>
  <c r="BT112" i="20"/>
  <c r="AA145" i="20"/>
  <c r="AQ145" i="20" s="1"/>
  <c r="AU145" i="20" s="1"/>
  <c r="X145" i="20"/>
  <c r="BM145" i="20" s="1"/>
  <c r="AA3" i="20"/>
  <c r="AQ3" i="20" s="1"/>
  <c r="BI3" i="20" s="1"/>
  <c r="X3" i="20"/>
  <c r="BM3" i="20" s="1"/>
  <c r="X18" i="20"/>
  <c r="BM18" i="20" s="1"/>
  <c r="AA18" i="20"/>
  <c r="X4" i="20"/>
  <c r="X164" i="20"/>
  <c r="BM164" i="20" s="1"/>
  <c r="AA38" i="20"/>
  <c r="AQ38" i="20" s="1"/>
  <c r="X39" i="20"/>
  <c r="BM39" i="20" s="1"/>
  <c r="BI79" i="20"/>
  <c r="BR205" i="20"/>
  <c r="AA47" i="20"/>
  <c r="BN47" i="20"/>
  <c r="BN41" i="20"/>
  <c r="BL20" i="20"/>
  <c r="BK6" i="22"/>
  <c r="BD6" i="22" s="1"/>
  <c r="BT6" i="22" s="1"/>
  <c r="BN5" i="20"/>
  <c r="BN96" i="20"/>
  <c r="BV96" i="20" s="1"/>
  <c r="BN56" i="20"/>
  <c r="BG56" i="20" s="1"/>
  <c r="BW56" i="20" s="1"/>
  <c r="BN3" i="20"/>
  <c r="BL134" i="20"/>
  <c r="BN4" i="20"/>
  <c r="BG4" i="20" s="1"/>
  <c r="BN29" i="20"/>
  <c r="BL29" i="20"/>
  <c r="BL10" i="20"/>
  <c r="BL23" i="20"/>
  <c r="BN204" i="20"/>
  <c r="BN94" i="20"/>
  <c r="BN110" i="20"/>
  <c r="BN146" i="20"/>
  <c r="BV170" i="20"/>
  <c r="BY170" i="20" s="1"/>
  <c r="BR203" i="20"/>
  <c r="BM23" i="20"/>
  <c r="BK85" i="20"/>
  <c r="BR85" i="20" s="1"/>
  <c r="BV191" i="20"/>
  <c r="AQ98" i="20"/>
  <c r="BP170" i="20"/>
  <c r="BP8" i="20"/>
  <c r="BP164" i="20"/>
  <c r="BT85" i="20"/>
  <c r="X19" i="20"/>
  <c r="BM19" i="20" s="1"/>
  <c r="BV178" i="20"/>
  <c r="BY178" i="20" s="1"/>
  <c r="BV58" i="20"/>
  <c r="Y108" i="20"/>
  <c r="X141" i="20"/>
  <c r="BM141" i="20" s="1"/>
  <c r="L231" i="20"/>
  <c r="U14" i="21" s="1"/>
  <c r="W14" i="21" s="1"/>
  <c r="BV175" i="20"/>
  <c r="X119" i="20"/>
  <c r="BM119" i="20" s="1"/>
  <c r="BT143" i="20"/>
  <c r="AQ25" i="20"/>
  <c r="BV203" i="20"/>
  <c r="BK3" i="20"/>
  <c r="X187" i="20"/>
  <c r="BM187" i="20" s="1"/>
  <c r="BP19" i="20"/>
  <c r="BV37" i="20"/>
  <c r="BV138" i="20"/>
  <c r="AL166" i="20"/>
  <c r="X147" i="20"/>
  <c r="AA147" i="20"/>
  <c r="AA64" i="20"/>
  <c r="AQ64" i="20" s="1"/>
  <c r="X64" i="20"/>
  <c r="X15" i="22"/>
  <c r="U15" i="22"/>
  <c r="BS10" i="22"/>
  <c r="Z166" i="20"/>
  <c r="U165" i="20"/>
  <c r="BT7" i="20"/>
  <c r="BP7" i="20"/>
  <c r="BP75" i="20"/>
  <c r="BT75" i="20"/>
  <c r="AA113" i="20"/>
  <c r="AQ113" i="20" s="1"/>
  <c r="X113" i="20"/>
  <c r="BM113" i="20" s="1"/>
  <c r="BQ10" i="22"/>
  <c r="BH10" i="22"/>
  <c r="BO10" i="22" s="1"/>
  <c r="BM10" i="22"/>
  <c r="BP126" i="20"/>
  <c r="BT126" i="20"/>
  <c r="Y31" i="20"/>
  <c r="BP31" i="20" s="1"/>
  <c r="X31" i="20"/>
  <c r="BM31" i="20" s="1"/>
  <c r="BK23" i="20"/>
  <c r="BT23" i="20"/>
  <c r="AA43" i="20"/>
  <c r="AQ43" i="20" s="1"/>
  <c r="X43" i="20"/>
  <c r="BM43" i="20" s="1"/>
  <c r="AA100" i="20"/>
  <c r="AQ100" i="20" s="1"/>
  <c r="AU100" i="20" s="1"/>
  <c r="X100" i="20"/>
  <c r="BM100" i="20" s="1"/>
  <c r="AA29" i="20"/>
  <c r="AQ29" i="20" s="1"/>
  <c r="BI29" i="20" s="1"/>
  <c r="X29" i="20"/>
  <c r="BM29" i="20" s="1"/>
  <c r="U5" i="22"/>
  <c r="BJ5" i="22" s="1"/>
  <c r="X5" i="22"/>
  <c r="AN5" i="22" s="1"/>
  <c r="BP154" i="20"/>
  <c r="BK154" i="20"/>
  <c r="X13" i="22"/>
  <c r="AN13" i="22" s="1"/>
  <c r="BF13" i="22" s="1"/>
  <c r="U13" i="22"/>
  <c r="BJ13" i="22" s="1"/>
  <c r="BN43" i="20"/>
  <c r="BH4" i="22"/>
  <c r="BQ4" i="22"/>
  <c r="BM4" i="22"/>
  <c r="BP189" i="20"/>
  <c r="BT189" i="20"/>
  <c r="BP153" i="20"/>
  <c r="BT153" i="20"/>
  <c r="BK153" i="20"/>
  <c r="BR153" i="20" s="1"/>
  <c r="BT138" i="20"/>
  <c r="X138" i="20"/>
  <c r="BN190" i="20"/>
  <c r="AA68" i="20"/>
  <c r="AQ68" i="20" s="1"/>
  <c r="X68" i="20"/>
  <c r="BM68" i="20" s="1"/>
  <c r="X152" i="20"/>
  <c r="BM152" i="20" s="1"/>
  <c r="AA152" i="20"/>
  <c r="AQ152" i="20" s="1"/>
  <c r="X185" i="20"/>
  <c r="AA185" i="20"/>
  <c r="BP180" i="20"/>
  <c r="BK180" i="20"/>
  <c r="Y46" i="20"/>
  <c r="BT46" i="20" s="1"/>
  <c r="X46" i="20"/>
  <c r="BP43" i="20"/>
  <c r="BK43" i="20"/>
  <c r="BP80" i="20"/>
  <c r="BT80" i="20"/>
  <c r="Y150" i="20"/>
  <c r="X150" i="20"/>
  <c r="BM150" i="20" s="1"/>
  <c r="BK69" i="20"/>
  <c r="BP69" i="20"/>
  <c r="Y195" i="20"/>
  <c r="X195" i="20"/>
  <c r="AA119" i="20"/>
  <c r="AQ119" i="20" s="1"/>
  <c r="AA184" i="20"/>
  <c r="X184" i="20"/>
  <c r="BK12" i="22"/>
  <c r="BS12" i="22" s="1"/>
  <c r="BH12" i="22"/>
  <c r="BO12" i="22" s="1"/>
  <c r="BT194" i="20"/>
  <c r="AA33" i="20"/>
  <c r="AQ33" i="20" s="1"/>
  <c r="X33" i="20"/>
  <c r="BM33" i="20" s="1"/>
  <c r="BP23" i="20"/>
  <c r="BP169" i="20"/>
  <c r="BT169" i="20"/>
  <c r="BQ8" i="22"/>
  <c r="BK8" i="22"/>
  <c r="BM8" i="22"/>
  <c r="AA112" i="20"/>
  <c r="AQ112" i="20" s="1"/>
  <c r="BI112" i="20" s="1"/>
  <c r="X112" i="20"/>
  <c r="BM112" i="20" s="1"/>
  <c r="BP165" i="20"/>
  <c r="Y166" i="20"/>
  <c r="BP145" i="20"/>
  <c r="BT145" i="20"/>
  <c r="BP38" i="20"/>
  <c r="BK38" i="20"/>
  <c r="BP10" i="20"/>
  <c r="BT10" i="20"/>
  <c r="BT16" i="20"/>
  <c r="BT48" i="20"/>
  <c r="BP48" i="20"/>
  <c r="BK48" i="20"/>
  <c r="AA148" i="20"/>
  <c r="AQ148" i="20" s="1"/>
  <c r="X148" i="20"/>
  <c r="BM148" i="20" s="1"/>
  <c r="BP175" i="20"/>
  <c r="BT175" i="20"/>
  <c r="BV205" i="20"/>
  <c r="BY205" i="20" s="1"/>
  <c r="X155" i="20"/>
  <c r="BM155" i="20" s="1"/>
  <c r="BK145" i="20"/>
  <c r="BK10" i="20"/>
  <c r="BN69" i="20"/>
  <c r="AA143" i="20"/>
  <c r="AQ143" i="20" s="1"/>
  <c r="AU143" i="20" s="1"/>
  <c r="X143" i="20"/>
  <c r="BM143" i="20" s="1"/>
  <c r="AA144" i="20"/>
  <c r="AQ144" i="20" s="1"/>
  <c r="BI144" i="20" s="1"/>
  <c r="X144" i="20"/>
  <c r="BM144" i="20" s="1"/>
  <c r="AQ156" i="20"/>
  <c r="BE156" i="20" s="1"/>
  <c r="BK16" i="22"/>
  <c r="BJ16" i="22"/>
  <c r="BC16" i="22" s="1"/>
  <c r="BI16" i="22"/>
  <c r="BB16" i="22" s="1"/>
  <c r="BH16" i="22"/>
  <c r="BL146" i="20"/>
  <c r="BL48" i="20"/>
  <c r="BN91" i="20"/>
  <c r="BL108" i="20"/>
  <c r="BN168" i="20"/>
  <c r="BK28" i="20"/>
  <c r="BN23" i="20"/>
  <c r="BN33" i="20"/>
  <c r="BK164" i="20"/>
  <c r="BK98" i="20"/>
  <c r="BN54" i="20"/>
  <c r="BL25" i="20"/>
  <c r="BL118" i="20"/>
  <c r="BN152" i="20"/>
  <c r="BN170" i="20"/>
  <c r="BN8" i="20"/>
  <c r="BL88" i="20"/>
  <c r="BN16" i="20"/>
  <c r="BL41" i="20"/>
  <c r="BL188" i="20"/>
  <c r="BN92" i="20"/>
  <c r="BN64" i="20"/>
  <c r="BV64" i="20" s="1"/>
  <c r="BN40" i="20"/>
  <c r="BV40" i="20" s="1"/>
  <c r="BN127" i="20"/>
  <c r="BN165" i="20"/>
  <c r="BK68" i="20"/>
  <c r="BN34" i="20"/>
  <c r="BN154" i="20"/>
  <c r="BN155" i="20"/>
  <c r="BN203" i="20"/>
  <c r="BK204" i="20"/>
  <c r="BN107" i="20"/>
  <c r="BL187" i="20"/>
  <c r="BN14" i="20"/>
  <c r="BN28" i="20"/>
  <c r="BL33" i="20"/>
  <c r="BL87" i="20"/>
  <c r="BL39" i="20"/>
  <c r="BN194" i="20"/>
  <c r="BV194" i="20" s="1"/>
  <c r="BN80" i="20"/>
  <c r="BH5" i="22"/>
  <c r="BK143" i="20"/>
  <c r="BN59" i="20"/>
  <c r="BN141" i="20"/>
  <c r="BK119" i="20"/>
  <c r="BN68" i="20"/>
  <c r="BL141" i="20"/>
  <c r="BL107" i="20"/>
  <c r="BN198" i="20"/>
  <c r="BL43" i="20"/>
  <c r="BN196" i="20"/>
  <c r="BL68" i="20"/>
  <c r="BK202" i="20"/>
  <c r="BL9" i="20"/>
  <c r="BL154" i="20"/>
  <c r="BN7" i="20"/>
  <c r="BL150" i="20"/>
  <c r="BL119" i="20"/>
  <c r="BL110" i="20"/>
  <c r="BL133" i="20"/>
  <c r="BN173" i="20"/>
  <c r="BK113" i="20"/>
  <c r="BN179" i="20"/>
  <c r="BN138" i="20"/>
  <c r="BN188" i="20"/>
  <c r="BK107" i="20"/>
  <c r="BN75" i="20"/>
  <c r="BK56" i="20"/>
  <c r="BN148" i="20"/>
  <c r="BK187" i="20"/>
  <c r="BL145" i="20"/>
  <c r="BN140" i="20"/>
  <c r="BL31" i="20"/>
  <c r="BL164" i="20"/>
  <c r="BN20" i="20"/>
  <c r="BN205" i="20"/>
  <c r="BN174" i="20"/>
  <c r="BV174" i="20" s="1"/>
  <c r="BY174" i="20" s="1"/>
  <c r="BT96" i="20"/>
  <c r="BP96" i="20"/>
  <c r="AQ89" i="20"/>
  <c r="BR7" i="20"/>
  <c r="X80" i="20"/>
  <c r="AA80" i="20"/>
  <c r="AQ80" i="20" s="1"/>
  <c r="BW80" i="20" s="1"/>
  <c r="BP114" i="20"/>
  <c r="BT114" i="20"/>
  <c r="BK114" i="20"/>
  <c r="BT51" i="20"/>
  <c r="BP51" i="20"/>
  <c r="X44" i="20"/>
  <c r="AA44" i="20"/>
  <c r="BT177" i="20"/>
  <c r="BP177" i="20"/>
  <c r="BK26" i="20"/>
  <c r="BV7" i="20"/>
  <c r="AA141" i="20"/>
  <c r="AQ141" i="20" s="1"/>
  <c r="BR102" i="20"/>
  <c r="BR83" i="20"/>
  <c r="AQ134" i="20"/>
  <c r="BI134" i="20" s="1"/>
  <c r="X180" i="20"/>
  <c r="BM180" i="20" s="1"/>
  <c r="AA180" i="20"/>
  <c r="AQ180" i="20" s="1"/>
  <c r="BM7" i="22"/>
  <c r="BK7" i="22"/>
  <c r="BT176" i="20"/>
  <c r="BP176" i="20"/>
  <c r="BK146" i="20"/>
  <c r="Y25" i="20"/>
  <c r="BP25" i="20" s="1"/>
  <c r="X25" i="20"/>
  <c r="BM25" i="20" s="1"/>
  <c r="BK17" i="20"/>
  <c r="X2" i="20"/>
  <c r="BM2" i="20" s="1"/>
  <c r="AA2" i="20"/>
  <c r="AQ2" i="20" s="1"/>
  <c r="BV84" i="20"/>
  <c r="AQ109" i="20"/>
  <c r="BI109" i="20" s="1"/>
  <c r="BR190" i="20"/>
  <c r="AQ178" i="20"/>
  <c r="AU178" i="20" s="1"/>
  <c r="BD178" i="20" s="1"/>
  <c r="AA213" i="20"/>
  <c r="X213" i="20"/>
  <c r="BR168" i="20"/>
  <c r="BR55" i="20"/>
  <c r="BV76" i="20"/>
  <c r="BV190" i="20"/>
  <c r="BR200" i="20"/>
  <c r="X177" i="20"/>
  <c r="BQ14" i="22"/>
  <c r="BH14" i="22"/>
  <c r="BO14" i="22" s="1"/>
  <c r="BM14" i="22"/>
  <c r="BR170" i="20"/>
  <c r="BV55" i="20"/>
  <c r="BI7" i="22"/>
  <c r="Y57" i="20"/>
  <c r="V57" i="20"/>
  <c r="BV52" i="20"/>
  <c r="AQ23" i="20"/>
  <c r="AL158" i="20"/>
  <c r="AQ192" i="20"/>
  <c r="AU192" i="20" s="1"/>
  <c r="AQ83" i="20"/>
  <c r="BI83" i="20" s="1"/>
  <c r="BJ83" i="20" s="1"/>
  <c r="X149" i="20"/>
  <c r="BM149" i="20" s="1"/>
  <c r="BF149" i="20" s="1"/>
  <c r="X198" i="20"/>
  <c r="BK33" i="20"/>
  <c r="X193" i="20"/>
  <c r="X59" i="20"/>
  <c r="BM59" i="20" s="1"/>
  <c r="BV59" i="20"/>
  <c r="BR14" i="20"/>
  <c r="AQ77" i="20"/>
  <c r="BE77" i="20" s="1"/>
  <c r="BO77" i="20" s="1"/>
  <c r="AQ151" i="20"/>
  <c r="BK141" i="20"/>
  <c r="AA193" i="20"/>
  <c r="AQ193" i="20" s="1"/>
  <c r="BV193" i="20"/>
  <c r="BR192" i="20"/>
  <c r="BR191" i="20"/>
  <c r="BR176" i="20"/>
  <c r="BV176" i="20"/>
  <c r="X174" i="20"/>
  <c r="AA174" i="20"/>
  <c r="AQ174" i="20" s="1"/>
  <c r="BE174" i="20" s="1"/>
  <c r="X217" i="20"/>
  <c r="AA200" i="20"/>
  <c r="AQ200" i="20" s="1"/>
  <c r="AA198" i="20"/>
  <c r="AQ198" i="20" s="1"/>
  <c r="BR196" i="20"/>
  <c r="X196" i="20"/>
  <c r="BR193" i="20"/>
  <c r="BR178" i="20"/>
  <c r="BR175" i="20"/>
  <c r="BV173" i="20"/>
  <c r="BR138" i="20"/>
  <c r="BV131" i="20"/>
  <c r="BK131" i="20"/>
  <c r="BR131" i="20" s="1"/>
  <c r="BV140" i="20"/>
  <c r="BY140" i="20" s="1"/>
  <c r="AA138" i="20"/>
  <c r="AQ138" i="20" s="1"/>
  <c r="BF138" i="20" s="1"/>
  <c r="BR126" i="20"/>
  <c r="BV102" i="20"/>
  <c r="BY102" i="20" s="1"/>
  <c r="BV101" i="20"/>
  <c r="BR92" i="20"/>
  <c r="BR90" i="20"/>
  <c r="X91" i="20"/>
  <c r="AA91" i="20"/>
  <c r="AQ91" i="20" s="1"/>
  <c r="BI91" i="20" s="1"/>
  <c r="BJ91" i="20" s="1"/>
  <c r="BR91" i="20"/>
  <c r="BV95" i="20"/>
  <c r="BR94" i="20"/>
  <c r="BR97" i="20"/>
  <c r="X84" i="20"/>
  <c r="BM84" i="20" s="1"/>
  <c r="AA84" i="20"/>
  <c r="AQ84" i="20" s="1"/>
  <c r="BV83" i="20"/>
  <c r="BT21" i="20"/>
  <c r="BK21" i="20"/>
  <c r="BP21" i="20"/>
  <c r="BN21" i="20"/>
  <c r="Y83" i="20"/>
  <c r="X83" i="20"/>
  <c r="BP77" i="20"/>
  <c r="BN77" i="20"/>
  <c r="BT77" i="20"/>
  <c r="X220" i="20"/>
  <c r="AA220" i="20"/>
  <c r="BP39" i="20"/>
  <c r="BT39" i="20"/>
  <c r="BK39" i="20"/>
  <c r="BN39" i="20"/>
  <c r="BT97" i="20"/>
  <c r="BP97" i="20"/>
  <c r="BN97" i="20"/>
  <c r="BP76" i="20"/>
  <c r="BT76" i="20"/>
  <c r="BN76" i="20"/>
  <c r="AA140" i="20"/>
  <c r="AQ140" i="20" s="1"/>
  <c r="BI140" i="20" s="1"/>
  <c r="X140" i="20"/>
  <c r="BM140" i="20" s="1"/>
  <c r="BP101" i="20"/>
  <c r="BT101" i="20"/>
  <c r="AA94" i="20"/>
  <c r="AQ94" i="20" s="1"/>
  <c r="X94" i="20"/>
  <c r="X205" i="20"/>
  <c r="P10" i="21"/>
  <c r="Q10" i="21" s="1"/>
  <c r="V170" i="20"/>
  <c r="BL204" i="20"/>
  <c r="BK88" i="20"/>
  <c r="BP88" i="20"/>
  <c r="BT88" i="20"/>
  <c r="V173" i="20"/>
  <c r="X190" i="20"/>
  <c r="BM190" i="20" s="1"/>
  <c r="AA190" i="20"/>
  <c r="AQ190" i="20" s="1"/>
  <c r="Y89" i="20"/>
  <c r="X89" i="20"/>
  <c r="BM89" i="20" s="1"/>
  <c r="BT58" i="20"/>
  <c r="BP58" i="20"/>
  <c r="BP27" i="20"/>
  <c r="BN27" i="20"/>
  <c r="BK27" i="20"/>
  <c r="BT27" i="20"/>
  <c r="BT81" i="20"/>
  <c r="BN81" i="20"/>
  <c r="BP81" i="20"/>
  <c r="AA9" i="20"/>
  <c r="AQ9" i="20" s="1"/>
  <c r="X9" i="20"/>
  <c r="BM9" i="20" s="1"/>
  <c r="X69" i="20"/>
  <c r="BM69" i="20" s="1"/>
  <c r="AA69" i="20"/>
  <c r="AQ69" i="20" s="1"/>
  <c r="AA20" i="20"/>
  <c r="AQ20" i="20" s="1"/>
  <c r="X20" i="20"/>
  <c r="BM20" i="20" s="1"/>
  <c r="X40" i="20"/>
  <c r="BM40" i="20" s="1"/>
  <c r="AA40" i="20"/>
  <c r="AQ40" i="20" s="1"/>
  <c r="BT93" i="20"/>
  <c r="BP93" i="20"/>
  <c r="BN93" i="20"/>
  <c r="AU79" i="20"/>
  <c r="BV152" i="20"/>
  <c r="BR189" i="20"/>
  <c r="BV189" i="20"/>
  <c r="AL70" i="20"/>
  <c r="BI150" i="20"/>
  <c r="AU150" i="20"/>
  <c r="V131" i="20"/>
  <c r="X191" i="20"/>
  <c r="AA191" i="20"/>
  <c r="AQ191" i="20" s="1"/>
  <c r="BK87" i="20"/>
  <c r="BT87" i="20"/>
  <c r="BN87" i="20"/>
  <c r="BP87" i="20"/>
  <c r="AA126" i="20"/>
  <c r="AQ126" i="20" s="1"/>
  <c r="AU126" i="20" s="1"/>
  <c r="X126" i="20"/>
  <c r="BK140" i="20"/>
  <c r="BR140" i="20" s="1"/>
  <c r="AA146" i="20"/>
  <c r="AQ146" i="20" s="1"/>
  <c r="X146" i="20"/>
  <c r="BM146" i="20" s="1"/>
  <c r="AQ155" i="20"/>
  <c r="X212" i="20"/>
  <c r="AA212" i="20"/>
  <c r="AL120" i="20"/>
  <c r="AA27" i="20"/>
  <c r="AQ27" i="20" s="1"/>
  <c r="BI27" i="20" s="1"/>
  <c r="X27" i="20"/>
  <c r="BM27" i="20" s="1"/>
  <c r="AA85" i="20"/>
  <c r="AQ85" i="20" s="1"/>
  <c r="X85" i="20"/>
  <c r="BR152" i="20"/>
  <c r="BK177" i="20"/>
  <c r="BR177" i="20" s="1"/>
  <c r="BV177" i="20"/>
  <c r="BK109" i="20"/>
  <c r="BP109" i="20"/>
  <c r="BN109" i="20"/>
  <c r="BK112" i="20"/>
  <c r="BN112" i="20"/>
  <c r="BK156" i="20"/>
  <c r="BR156" i="20" s="1"/>
  <c r="BP156" i="20"/>
  <c r="BT156" i="20"/>
  <c r="BP151" i="20"/>
  <c r="BN151" i="20"/>
  <c r="BI56" i="20"/>
  <c r="AU56" i="20"/>
  <c r="X21" i="20"/>
  <c r="BM21" i="20" s="1"/>
  <c r="AA21" i="20"/>
  <c r="AQ21" i="20" s="1"/>
  <c r="AU21" i="20" s="1"/>
  <c r="AA55" i="20"/>
  <c r="AQ55" i="20" s="1"/>
  <c r="BF55" i="20" s="1"/>
  <c r="X55" i="20"/>
  <c r="X168" i="20"/>
  <c r="AA168" i="20"/>
  <c r="AQ168" i="20" s="1"/>
  <c r="BK12" i="20"/>
  <c r="BR12" i="20" s="1"/>
  <c r="BV12" i="20"/>
  <c r="BY12" i="20" s="1"/>
  <c r="X88" i="20"/>
  <c r="BM88" i="20" s="1"/>
  <c r="AA88" i="20"/>
  <c r="AQ88" i="20" s="1"/>
  <c r="BI88" i="20" s="1"/>
  <c r="BK2" i="20"/>
  <c r="BP2" i="20"/>
  <c r="BN2" i="20"/>
  <c r="BT2" i="20"/>
  <c r="BP86" i="20"/>
  <c r="BN86" i="20"/>
  <c r="BT86" i="20"/>
  <c r="BK86" i="20"/>
  <c r="BK79" i="20"/>
  <c r="BP79" i="20"/>
  <c r="AA153" i="20"/>
  <c r="AQ153" i="20" s="1"/>
  <c r="X153" i="20"/>
  <c r="BM153" i="20" s="1"/>
  <c r="P14" i="21"/>
  <c r="Q14" i="21" s="1"/>
  <c r="U175" i="20"/>
  <c r="V175" i="20" s="1"/>
  <c r="AA58" i="20"/>
  <c r="AQ58" i="20" s="1"/>
  <c r="X58" i="20"/>
  <c r="X53" i="20"/>
  <c r="BM53" i="20" s="1"/>
  <c r="AA53" i="20"/>
  <c r="AQ53" i="20" s="1"/>
  <c r="AA86" i="20"/>
  <c r="AQ86" i="20" s="1"/>
  <c r="BI86" i="20" s="1"/>
  <c r="X86" i="20"/>
  <c r="BM86" i="20" s="1"/>
  <c r="BQ5" i="22"/>
  <c r="BK5" i="22"/>
  <c r="BT173" i="20"/>
  <c r="BP173" i="20"/>
  <c r="BP149" i="20"/>
  <c r="BT149" i="20"/>
  <c r="BT144" i="20"/>
  <c r="BP144" i="20"/>
  <c r="BN144" i="20"/>
  <c r="BK144" i="20"/>
  <c r="Y134" i="20"/>
  <c r="X134" i="20"/>
  <c r="BM134" i="20" s="1"/>
  <c r="BT55" i="20"/>
  <c r="BP55" i="20"/>
  <c r="BN55" i="20"/>
  <c r="BK29" i="20"/>
  <c r="BT29" i="20"/>
  <c r="BP29" i="20"/>
  <c r="X10" i="20"/>
  <c r="BM10" i="20" s="1"/>
  <c r="AA10" i="20"/>
  <c r="AQ10" i="20" s="1"/>
  <c r="BI10" i="20" s="1"/>
  <c r="AA28" i="20"/>
  <c r="AQ28" i="20" s="1"/>
  <c r="BI28" i="20" s="1"/>
  <c r="X28" i="20"/>
  <c r="BM28" i="20" s="1"/>
  <c r="AA48" i="20"/>
  <c r="AQ48" i="20" s="1"/>
  <c r="X48" i="20"/>
  <c r="BM48" i="20" s="1"/>
  <c r="AA107" i="20"/>
  <c r="AQ107" i="20" s="1"/>
  <c r="X107" i="20"/>
  <c r="BM107" i="20" s="1"/>
  <c r="AA189" i="20"/>
  <c r="AQ189" i="20" s="1"/>
  <c r="X189" i="20"/>
  <c r="AA181" i="20"/>
  <c r="X181" i="20"/>
  <c r="X114" i="20"/>
  <c r="BM114" i="20" s="1"/>
  <c r="BF114" i="20" s="1"/>
  <c r="BN178" i="20"/>
  <c r="BP178" i="20"/>
  <c r="BP133" i="20"/>
  <c r="BT133" i="20"/>
  <c r="BK133" i="20"/>
  <c r="BP60" i="20"/>
  <c r="BN60" i="20"/>
  <c r="BK41" i="20"/>
  <c r="BT41" i="20"/>
  <c r="BP41" i="20"/>
  <c r="BI149" i="20"/>
  <c r="AU149" i="20"/>
  <c r="AU114" i="20"/>
  <c r="BI114" i="20"/>
  <c r="BT18" i="20"/>
  <c r="BN18" i="20"/>
  <c r="BR42" i="20"/>
  <c r="BV42" i="20"/>
  <c r="BR5" i="20"/>
  <c r="BK84" i="20"/>
  <c r="BR84" i="20" s="1"/>
  <c r="X178" i="20"/>
  <c r="BV94" i="20"/>
  <c r="BV92" i="20"/>
  <c r="BI37" i="20"/>
  <c r="BJ37" i="20" s="1"/>
  <c r="BR127" i="20"/>
  <c r="BR173" i="20"/>
  <c r="AL226" i="20"/>
  <c r="BK201" i="20"/>
  <c r="BR201" i="20" s="1"/>
  <c r="BP201" i="20"/>
  <c r="BV97" i="20"/>
  <c r="BF4" i="20"/>
  <c r="AA41" i="20"/>
  <c r="AQ41" i="20" s="1"/>
  <c r="X41" i="20"/>
  <c r="BM41" i="20" s="1"/>
  <c r="BN114" i="20"/>
  <c r="BL149" i="20"/>
  <c r="BE149" i="20" s="1"/>
  <c r="BN44" i="20"/>
  <c r="BN45" i="20"/>
  <c r="BL114" i="20"/>
  <c r="BE114" i="20" s="1"/>
  <c r="BN176" i="20"/>
  <c r="BN131" i="20"/>
  <c r="BL109" i="20"/>
  <c r="BL112" i="20"/>
  <c r="BL28" i="20"/>
  <c r="BL34" i="20"/>
  <c r="BN149" i="20"/>
  <c r="BG149" i="20" s="1"/>
  <c r="BW149" i="20" s="1"/>
  <c r="BK148" i="20"/>
  <c r="BL17" i="20"/>
  <c r="BL86" i="20"/>
  <c r="BN9" i="20"/>
  <c r="BN126" i="20"/>
  <c r="BK64" i="20"/>
  <c r="BR64" i="20" s="1"/>
  <c r="BL69" i="20"/>
  <c r="BL49" i="20"/>
  <c r="BN51" i="20"/>
  <c r="BN17" i="20"/>
  <c r="BN38" i="20"/>
  <c r="BN88" i="20"/>
  <c r="BN12" i="20"/>
  <c r="BN58" i="20"/>
  <c r="BN102" i="20"/>
  <c r="BI5" i="22"/>
  <c r="BK53" i="20"/>
  <c r="BN48" i="20"/>
  <c r="BL180" i="20"/>
  <c r="BL155" i="20"/>
  <c r="BL165" i="20"/>
  <c r="BN175" i="20"/>
  <c r="BL3" i="20"/>
  <c r="BN100" i="20"/>
  <c r="BK34" i="20"/>
  <c r="BN169" i="20"/>
  <c r="BK188" i="20"/>
  <c r="BK4" i="22"/>
  <c r="BN95" i="20"/>
  <c r="BG95" i="20" s="1"/>
  <c r="BL148" i="20"/>
  <c r="BL56" i="20"/>
  <c r="BE56" i="20" s="1"/>
  <c r="BN98" i="20"/>
  <c r="BL27" i="20"/>
  <c r="BL57" i="20"/>
  <c r="BL2" i="20"/>
  <c r="BL79" i="20"/>
  <c r="BE79" i="20" s="1"/>
  <c r="BL53" i="20"/>
  <c r="BN202" i="20"/>
  <c r="BN79" i="20"/>
  <c r="BG79" i="20" s="1"/>
  <c r="BW79" i="20" s="1"/>
  <c r="BZ79" i="20" s="1"/>
  <c r="BN42" i="20"/>
  <c r="BM34" i="20"/>
  <c r="BK110" i="20"/>
  <c r="BN85" i="20"/>
  <c r="BV85" i="20" s="1"/>
  <c r="BM38" i="20"/>
  <c r="BN10" i="20"/>
  <c r="BN19" i="20"/>
  <c r="BK96" i="20"/>
  <c r="BR96" i="20" s="1"/>
  <c r="BN113" i="20"/>
  <c r="BN26" i="20"/>
  <c r="BL38" i="20"/>
  <c r="BN119" i="20"/>
  <c r="BN191" i="20"/>
  <c r="BL143" i="20"/>
  <c r="BN164" i="20"/>
  <c r="BK194" i="20"/>
  <c r="BR194" i="20" s="1"/>
  <c r="BN156" i="20"/>
  <c r="BN201" i="20"/>
  <c r="BN101" i="20"/>
  <c r="BI4" i="22"/>
  <c r="X176" i="20"/>
  <c r="AA176" i="20"/>
  <c r="AQ176" i="20" s="1"/>
  <c r="BV13" i="20"/>
  <c r="BK13" i="20"/>
  <c r="BR13" i="20" s="1"/>
  <c r="BR75" i="20"/>
  <c r="BV80" i="20"/>
  <c r="BK80" i="20"/>
  <c r="BR80" i="20" s="1"/>
  <c r="BV91" i="20"/>
  <c r="BY91" i="20" s="1"/>
  <c r="Y118" i="20"/>
  <c r="X118" i="20"/>
  <c r="BM118" i="20" s="1"/>
  <c r="X210" i="20"/>
  <c r="AA210" i="20"/>
  <c r="BP193" i="20"/>
  <c r="BT193" i="20"/>
  <c r="BV60" i="20"/>
  <c r="BY60" i="20" s="1"/>
  <c r="AU37" i="20"/>
  <c r="BR95" i="20"/>
  <c r="X45" i="20"/>
  <c r="AA45" i="20"/>
  <c r="X204" i="20"/>
  <c r="BM204" i="20" s="1"/>
  <c r="X214" i="20"/>
  <c r="AA214" i="20"/>
  <c r="P11" i="21"/>
  <c r="Q11" i="21" s="1"/>
  <c r="U93" i="20"/>
  <c r="V93" i="20" s="1"/>
  <c r="BR101" i="20"/>
  <c r="BV51" i="20"/>
  <c r="BR81" i="20"/>
  <c r="AQ42" i="20"/>
  <c r="BE42" i="20" s="1"/>
  <c r="X81" i="20"/>
  <c r="BM81" i="20" s="1"/>
  <c r="AA81" i="20"/>
  <c r="AQ81" i="20" s="1"/>
  <c r="BV81" i="20"/>
  <c r="BK77" i="20"/>
  <c r="BR77" i="20" s="1"/>
  <c r="BV75" i="20"/>
  <c r="AA101" i="20"/>
  <c r="AQ101" i="20" s="1"/>
  <c r="BF95" i="20"/>
  <c r="BI95" i="20"/>
  <c r="BJ95" i="20" s="1"/>
  <c r="BQ95" i="20" s="1"/>
  <c r="BW95" i="20"/>
  <c r="AU95" i="20"/>
  <c r="BE95" i="20"/>
  <c r="X95" i="20"/>
  <c r="AA92" i="20"/>
  <c r="AQ92" i="20" s="1"/>
  <c r="X92" i="20"/>
  <c r="X90" i="20"/>
  <c r="AA90" i="20"/>
  <c r="AQ90" i="20" s="1"/>
  <c r="BV77" i="20"/>
  <c r="AA75" i="20"/>
  <c r="AQ75" i="20" s="1"/>
  <c r="X75" i="20"/>
  <c r="BR60" i="20"/>
  <c r="AA59" i="20"/>
  <c r="AQ59" i="20" s="1"/>
  <c r="BW59" i="20" s="1"/>
  <c r="BR58" i="20"/>
  <c r="BV54" i="20"/>
  <c r="BY54" i="20" s="1"/>
  <c r="AA52" i="20"/>
  <c r="AQ52" i="20" s="1"/>
  <c r="R12" i="21"/>
  <c r="BT52" i="20"/>
  <c r="BR52" i="20"/>
  <c r="BN52" i="20"/>
  <c r="AA51" i="20"/>
  <c r="AQ51" i="20" s="1"/>
  <c r="BE51" i="20" s="1"/>
  <c r="X51" i="20"/>
  <c r="BK51" i="20"/>
  <c r="BR51" i="20" s="1"/>
  <c r="BV14" i="20"/>
  <c r="BY14" i="20" s="1"/>
  <c r="AA13" i="20"/>
  <c r="AQ13" i="20" s="1"/>
  <c r="Z70" i="20"/>
  <c r="P12" i="21" s="1"/>
  <c r="Q12" i="21" s="1"/>
  <c r="X12" i="20"/>
  <c r="AA12" i="20"/>
  <c r="AQ12" i="20" s="1"/>
  <c r="BK8" i="20"/>
  <c r="BR8" i="20" s="1"/>
  <c r="U7" i="20"/>
  <c r="V7" i="20" s="1"/>
  <c r="X60" i="20"/>
  <c r="AA60" i="20"/>
  <c r="AQ60" i="20" s="1"/>
  <c r="BR59" i="20"/>
  <c r="AA54" i="20"/>
  <c r="AQ54" i="20" s="1"/>
  <c r="X54" i="20"/>
  <c r="X42" i="20"/>
  <c r="BR37" i="20"/>
  <c r="AA16" i="20"/>
  <c r="AQ16" i="20" s="1"/>
  <c r="BR16" i="20"/>
  <c r="AA14" i="20"/>
  <c r="AQ14" i="20" s="1"/>
  <c r="X14" i="20"/>
  <c r="AA8" i="20"/>
  <c r="AQ8" i="20" s="1"/>
  <c r="X5" i="20"/>
  <c r="AA5" i="20"/>
  <c r="AQ5" i="20" s="1"/>
  <c r="BE4" i="20"/>
  <c r="BR4" i="20"/>
  <c r="BQ48" i="22" l="1"/>
  <c r="BM48" i="22"/>
  <c r="BK48" i="22"/>
  <c r="BO43" i="22"/>
  <c r="BG43" i="22"/>
  <c r="BN43" i="22" s="1"/>
  <c r="BS43" i="22"/>
  <c r="BD43" i="22"/>
  <c r="BT43" i="22" s="1"/>
  <c r="BW43" i="22" s="1"/>
  <c r="BO44" i="22"/>
  <c r="BG44" i="22"/>
  <c r="BN44" i="22" s="1"/>
  <c r="BL44" i="22"/>
  <c r="BR44" i="22"/>
  <c r="BR43" i="22"/>
  <c r="BL43" i="22"/>
  <c r="BS44" i="22"/>
  <c r="BD44" i="22"/>
  <c r="BT44" i="22" s="1"/>
  <c r="BW44" i="22" s="1"/>
  <c r="BV11" i="20"/>
  <c r="BG11" i="20"/>
  <c r="BW11" i="20" s="1"/>
  <c r="BZ11" i="20" s="1"/>
  <c r="BR11" i="20"/>
  <c r="BJ11" i="20"/>
  <c r="BQ11" i="20" s="1"/>
  <c r="BU11" i="20"/>
  <c r="BO11" i="20"/>
  <c r="BR99" i="20"/>
  <c r="BJ99" i="20"/>
  <c r="BQ99" i="20" s="1"/>
  <c r="BV99" i="20"/>
  <c r="BG99" i="20"/>
  <c r="BW99" i="20" s="1"/>
  <c r="BZ99" i="20" s="1"/>
  <c r="BO37" i="22"/>
  <c r="BG37" i="22"/>
  <c r="BN37" i="22" s="1"/>
  <c r="BS37" i="22"/>
  <c r="BD37" i="22"/>
  <c r="BT37" i="22" s="1"/>
  <c r="BW37" i="22" s="1"/>
  <c r="BR37" i="22"/>
  <c r="BL37" i="22"/>
  <c r="BV17" i="20"/>
  <c r="BY17" i="20" s="1"/>
  <c r="BC10" i="22"/>
  <c r="BB9" i="22"/>
  <c r="BL9" i="22" s="1"/>
  <c r="BO33" i="22"/>
  <c r="BG33" i="22"/>
  <c r="BN33" i="22" s="1"/>
  <c r="BR33" i="22"/>
  <c r="BL33" i="22"/>
  <c r="BS33" i="22"/>
  <c r="BD33" i="22"/>
  <c r="BT33" i="22" s="1"/>
  <c r="BW33" i="22" s="1"/>
  <c r="Y158" i="20"/>
  <c r="O13" i="21" s="1"/>
  <c r="S13" i="21" s="1"/>
  <c r="BV136" i="20"/>
  <c r="BG136" i="20"/>
  <c r="BW136" i="20" s="1"/>
  <c r="BZ136" i="20" s="1"/>
  <c r="BR136" i="20"/>
  <c r="BJ136" i="20"/>
  <c r="BQ136" i="20" s="1"/>
  <c r="BO136" i="20"/>
  <c r="BU136" i="20"/>
  <c r="U226" i="20"/>
  <c r="Y226" i="20"/>
  <c r="O14" i="21" s="1"/>
  <c r="S14" i="21" s="1"/>
  <c r="BS9" i="22"/>
  <c r="BO27" i="22"/>
  <c r="BG27" i="22"/>
  <c r="BN27" i="22" s="1"/>
  <c r="BR27" i="22"/>
  <c r="BL27" i="22"/>
  <c r="BO9" i="22"/>
  <c r="BS27" i="22"/>
  <c r="BD27" i="22"/>
  <c r="BT27" i="22" s="1"/>
  <c r="BW27" i="22" s="1"/>
  <c r="BV132" i="20"/>
  <c r="BR132" i="20"/>
  <c r="BS132" i="20" s="1"/>
  <c r="BE132" i="20"/>
  <c r="BV139" i="20"/>
  <c r="BG139" i="20"/>
  <c r="BW139" i="20" s="1"/>
  <c r="BR139" i="20"/>
  <c r="BS139" i="20" s="1"/>
  <c r="BE139" i="20"/>
  <c r="U15" i="21"/>
  <c r="U17" i="21" s="1"/>
  <c r="BV225" i="20"/>
  <c r="BG225" i="20"/>
  <c r="BW225" i="20" s="1"/>
  <c r="BZ225" i="20" s="1"/>
  <c r="BR225" i="20"/>
  <c r="BJ225" i="20"/>
  <c r="BQ225" i="20" s="1"/>
  <c r="BU225" i="20"/>
  <c r="BO225" i="20"/>
  <c r="BV157" i="20"/>
  <c r="BG157" i="20"/>
  <c r="BW157" i="20" s="1"/>
  <c r="BZ157" i="20" s="1"/>
  <c r="BR157" i="20"/>
  <c r="BJ157" i="20"/>
  <c r="BQ157" i="20" s="1"/>
  <c r="BU157" i="20"/>
  <c r="BO157" i="20"/>
  <c r="AA108" i="20"/>
  <c r="AQ108" i="20" s="1"/>
  <c r="BI108" i="20" s="1"/>
  <c r="BS25" i="22"/>
  <c r="BO25" i="22"/>
  <c r="BP25" i="22" s="1"/>
  <c r="BB25" i="22"/>
  <c r="BB8" i="22"/>
  <c r="BL8" i="22" s="1"/>
  <c r="AR8" i="22"/>
  <c r="AZ8" i="22" s="1"/>
  <c r="BO24" i="22"/>
  <c r="BP24" i="22" s="1"/>
  <c r="BS24" i="22"/>
  <c r="BB24" i="22"/>
  <c r="BC8" i="22"/>
  <c r="AA127" i="20"/>
  <c r="AQ127" i="20" s="1"/>
  <c r="AU127" i="20" s="1"/>
  <c r="BC127" i="20" s="1"/>
  <c r="X76" i="20"/>
  <c r="Y120" i="20"/>
  <c r="O11" i="21" s="1"/>
  <c r="S11" i="21" s="1"/>
  <c r="U120" i="20"/>
  <c r="BA6" i="22"/>
  <c r="BF6" i="22"/>
  <c r="BG6" i="22" s="1"/>
  <c r="BN6" i="22" s="1"/>
  <c r="BB6" i="22"/>
  <c r="BR6" i="22" s="1"/>
  <c r="BY40" i="20"/>
  <c r="BC6" i="22"/>
  <c r="BI187" i="20"/>
  <c r="BJ187" i="20" s="1"/>
  <c r="BQ187" i="20" s="1"/>
  <c r="BY196" i="20"/>
  <c r="BV135" i="20"/>
  <c r="BG135" i="20"/>
  <c r="BW135" i="20" s="1"/>
  <c r="BZ135" i="20" s="1"/>
  <c r="BR135" i="20"/>
  <c r="BJ135" i="20"/>
  <c r="BQ135" i="20" s="1"/>
  <c r="BO135" i="20"/>
  <c r="BU135" i="20"/>
  <c r="BF187" i="20"/>
  <c r="BG187" i="20"/>
  <c r="BW187" i="20" s="1"/>
  <c r="BZ187" i="20" s="1"/>
  <c r="BF7" i="22"/>
  <c r="BG7" i="22" s="1"/>
  <c r="BN7" i="22" s="1"/>
  <c r="BC9" i="22"/>
  <c r="BF9" i="22"/>
  <c r="BG9" i="22" s="1"/>
  <c r="BN9" i="22" s="1"/>
  <c r="BG4" i="22"/>
  <c r="BN4" i="22" s="1"/>
  <c r="BE100" i="20"/>
  <c r="BO100" i="20" s="1"/>
  <c r="AR9" i="22"/>
  <c r="AZ9" i="22" s="1"/>
  <c r="BB7" i="22"/>
  <c r="BL7" i="22" s="1"/>
  <c r="BE76" i="20"/>
  <c r="BO76" i="20" s="1"/>
  <c r="BB5" i="22"/>
  <c r="BR5" i="22" s="1"/>
  <c r="BF188" i="20"/>
  <c r="BZ95" i="20"/>
  <c r="BY95" i="20"/>
  <c r="BF39" i="20"/>
  <c r="BI188" i="20"/>
  <c r="BJ188" i="20" s="1"/>
  <c r="BQ188" i="20" s="1"/>
  <c r="BE179" i="20"/>
  <c r="BO179" i="20" s="1"/>
  <c r="BV21" i="20"/>
  <c r="BY21" i="20" s="1"/>
  <c r="BW6" i="22"/>
  <c r="BG76" i="20"/>
  <c r="BI97" i="20"/>
  <c r="BJ97" i="20" s="1"/>
  <c r="BQ97" i="20" s="1"/>
  <c r="BS97" i="20" s="1"/>
  <c r="BE112" i="20"/>
  <c r="BU112" i="20" s="1"/>
  <c r="BE188" i="20"/>
  <c r="BO188" i="20" s="1"/>
  <c r="BV98" i="20"/>
  <c r="BY98" i="20" s="1"/>
  <c r="BV179" i="20"/>
  <c r="BY179" i="20" s="1"/>
  <c r="BR100" i="20"/>
  <c r="AU112" i="20"/>
  <c r="BC112" i="20" s="1"/>
  <c r="BY58" i="20"/>
  <c r="BR21" i="20"/>
  <c r="BE98" i="20"/>
  <c r="BU98" i="20" s="1"/>
  <c r="BE151" i="20"/>
  <c r="BU151" i="20" s="1"/>
  <c r="BF76" i="20"/>
  <c r="BG188" i="20"/>
  <c r="BW188" i="20" s="1"/>
  <c r="BZ188" i="20" s="1"/>
  <c r="BR43" i="20"/>
  <c r="BI76" i="20"/>
  <c r="BJ76" i="20" s="1"/>
  <c r="BQ76" i="20" s="1"/>
  <c r="BS76" i="20" s="1"/>
  <c r="BW76" i="20"/>
  <c r="BX76" i="20" s="1"/>
  <c r="CA76" i="20" s="1"/>
  <c r="BR202" i="20"/>
  <c r="AU77" i="20"/>
  <c r="BD77" i="20" s="1"/>
  <c r="AU177" i="20"/>
  <c r="BD177" i="20" s="1"/>
  <c r="BY190" i="20"/>
  <c r="BV141" i="20"/>
  <c r="BY141" i="20" s="1"/>
  <c r="BV13" i="22"/>
  <c r="BR151" i="20"/>
  <c r="BI196" i="20"/>
  <c r="BJ196" i="20" s="1"/>
  <c r="BQ196" i="20" s="1"/>
  <c r="BS196" i="20" s="1"/>
  <c r="BR113" i="20"/>
  <c r="BF112" i="20"/>
  <c r="BX4" i="20"/>
  <c r="CA4" i="20" s="1"/>
  <c r="BR179" i="20"/>
  <c r="BO6" i="22"/>
  <c r="BV20" i="20"/>
  <c r="BY20" i="20" s="1"/>
  <c r="BR98" i="20"/>
  <c r="BY5" i="20"/>
  <c r="BG133" i="20"/>
  <c r="BW133" i="20" s="1"/>
  <c r="BZ133" i="20" s="1"/>
  <c r="BE113" i="20"/>
  <c r="BO113" i="20" s="1"/>
  <c r="BF42" i="20"/>
  <c r="BF102" i="20"/>
  <c r="BR26" i="20"/>
  <c r="BR114" i="20"/>
  <c r="AU39" i="20"/>
  <c r="BC39" i="20" s="1"/>
  <c r="BJ49" i="20"/>
  <c r="BQ49" i="20" s="1"/>
  <c r="BJ154" i="20"/>
  <c r="BQ154" i="20" s="1"/>
  <c r="BE164" i="20"/>
  <c r="BO164" i="20" s="1"/>
  <c r="BV114" i="20"/>
  <c r="BY114" i="20" s="1"/>
  <c r="BX80" i="20"/>
  <c r="CA80" i="20" s="1"/>
  <c r="BV88" i="20"/>
  <c r="BY88" i="20" s="1"/>
  <c r="BE109" i="20"/>
  <c r="BU109" i="20" s="1"/>
  <c r="BJ149" i="20"/>
  <c r="BQ149" i="20" s="1"/>
  <c r="BF33" i="20"/>
  <c r="AU118" i="20"/>
  <c r="BC118" i="20" s="1"/>
  <c r="BF164" i="20"/>
  <c r="BY127" i="20"/>
  <c r="BF26" i="20"/>
  <c r="AA169" i="20"/>
  <c r="AQ169" i="20" s="1"/>
  <c r="AU169" i="20" s="1"/>
  <c r="BC169" i="20" s="1"/>
  <c r="BG193" i="20"/>
  <c r="BE69" i="20"/>
  <c r="BU69" i="20" s="1"/>
  <c r="BY7" i="20"/>
  <c r="BR93" i="20"/>
  <c r="AU154" i="20"/>
  <c r="BC154" i="20" s="1"/>
  <c r="BE39" i="20"/>
  <c r="BU39" i="20" s="1"/>
  <c r="BE202" i="20"/>
  <c r="BU202" i="20" s="1"/>
  <c r="BF201" i="20"/>
  <c r="AU201" i="20"/>
  <c r="BD201" i="20" s="1"/>
  <c r="BW97" i="20"/>
  <c r="BZ97" i="20" s="1"/>
  <c r="BV78" i="20"/>
  <c r="BR78" i="20"/>
  <c r="BS78" i="20" s="1"/>
  <c r="BE78" i="20"/>
  <c r="BF97" i="20"/>
  <c r="AU133" i="20"/>
  <c r="BD133" i="20" s="1"/>
  <c r="AU49" i="20"/>
  <c r="BD49" i="20" s="1"/>
  <c r="BE133" i="20"/>
  <c r="BU133" i="20" s="1"/>
  <c r="AU202" i="20"/>
  <c r="BF133" i="20"/>
  <c r="BL18" i="22"/>
  <c r="BR18" i="22"/>
  <c r="BI102" i="20"/>
  <c r="BJ102" i="20" s="1"/>
  <c r="BQ102" i="20" s="1"/>
  <c r="BS102" i="20" s="1"/>
  <c r="AU195" i="20"/>
  <c r="BC195" i="20" s="1"/>
  <c r="BY16" i="20"/>
  <c r="BI164" i="20"/>
  <c r="BJ164" i="20" s="1"/>
  <c r="BQ164" i="20" s="1"/>
  <c r="BF202" i="20"/>
  <c r="BY59" i="20"/>
  <c r="BG204" i="20"/>
  <c r="BW204" i="20" s="1"/>
  <c r="BZ204" i="20" s="1"/>
  <c r="BG49" i="20"/>
  <c r="BW49" i="20" s="1"/>
  <c r="BZ49" i="20" s="1"/>
  <c r="BV9" i="20"/>
  <c r="BY9" i="20" s="1"/>
  <c r="AR14" i="22"/>
  <c r="AZ14" i="22" s="1"/>
  <c r="BW102" i="20"/>
  <c r="BZ102" i="20" s="1"/>
  <c r="BY42" i="20"/>
  <c r="BT37" i="20"/>
  <c r="BW37" i="20"/>
  <c r="BX37" i="20" s="1"/>
  <c r="AU102" i="20"/>
  <c r="BC102" i="20" s="1"/>
  <c r="BF14" i="22"/>
  <c r="BG14" i="22" s="1"/>
  <c r="BN14" i="22" s="1"/>
  <c r="BP14" i="22" s="1"/>
  <c r="BG102" i="20"/>
  <c r="BJ28" i="20"/>
  <c r="BQ28" i="20" s="1"/>
  <c r="BY93" i="20"/>
  <c r="BG97" i="20"/>
  <c r="BY194" i="20"/>
  <c r="BV154" i="20"/>
  <c r="BY154" i="20" s="1"/>
  <c r="BV33" i="20"/>
  <c r="BY33" i="20" s="1"/>
  <c r="BA4" i="22"/>
  <c r="BZ56" i="20"/>
  <c r="BO18" i="22"/>
  <c r="BG18" i="22"/>
  <c r="BN18" i="22" s="1"/>
  <c r="BV187" i="20"/>
  <c r="BY187" i="20" s="1"/>
  <c r="BF98" i="20"/>
  <c r="BS18" i="22"/>
  <c r="BD18" i="22"/>
  <c r="BT18" i="22" s="1"/>
  <c r="BW18" i="22" s="1"/>
  <c r="BD14" i="22"/>
  <c r="BT14" i="22" s="1"/>
  <c r="BW14" i="22" s="1"/>
  <c r="BE37" i="20"/>
  <c r="BO37" i="20" s="1"/>
  <c r="BE55" i="20"/>
  <c r="BU55" i="20" s="1"/>
  <c r="BR87" i="20"/>
  <c r="BQ91" i="20"/>
  <c r="BS91" i="20" s="1"/>
  <c r="BN37" i="20"/>
  <c r="BG37" i="20" s="1"/>
  <c r="BF144" i="20"/>
  <c r="BY168" i="20"/>
  <c r="BF49" i="20"/>
  <c r="BV9" i="22"/>
  <c r="BI100" i="20"/>
  <c r="BJ100" i="20" s="1"/>
  <c r="BQ100" i="20" s="1"/>
  <c r="BY92" i="20"/>
  <c r="BG34" i="20"/>
  <c r="BW34" i="20" s="1"/>
  <c r="BZ34" i="20" s="1"/>
  <c r="BF118" i="20"/>
  <c r="BG77" i="20"/>
  <c r="BE201" i="20"/>
  <c r="BO201" i="20" s="1"/>
  <c r="BR9" i="20"/>
  <c r="BR20" i="20"/>
  <c r="BF34" i="20"/>
  <c r="BE154" i="20"/>
  <c r="BU154" i="20" s="1"/>
  <c r="BY13" i="20"/>
  <c r="BR34" i="20"/>
  <c r="AU34" i="20"/>
  <c r="BC34" i="20" s="1"/>
  <c r="BF154" i="20"/>
  <c r="AU204" i="20"/>
  <c r="BD204" i="20" s="1"/>
  <c r="BE97" i="20"/>
  <c r="BO97" i="20" s="1"/>
  <c r="BV53" i="20"/>
  <c r="BY53" i="20" s="1"/>
  <c r="BR29" i="20"/>
  <c r="BV133" i="20"/>
  <c r="AU174" i="20"/>
  <c r="BC174" i="20" s="1"/>
  <c r="BG3" i="20"/>
  <c r="BW3" i="20" s="1"/>
  <c r="BZ3" i="20" s="1"/>
  <c r="BI201" i="20"/>
  <c r="BJ201" i="20" s="1"/>
  <c r="BQ201" i="20" s="1"/>
  <c r="BS201" i="20" s="1"/>
  <c r="BF205" i="20"/>
  <c r="BV41" i="20"/>
  <c r="BY41" i="20" s="1"/>
  <c r="BC4" i="20"/>
  <c r="BF37" i="20"/>
  <c r="BY193" i="20"/>
  <c r="BS6" i="22"/>
  <c r="BV6" i="22" s="1"/>
  <c r="BG94" i="20"/>
  <c r="BY176" i="20"/>
  <c r="BY126" i="20"/>
  <c r="BY203" i="20"/>
  <c r="AU31" i="20"/>
  <c r="BD31" i="20" s="1"/>
  <c r="BE26" i="20"/>
  <c r="BO26" i="20" s="1"/>
  <c r="BW178" i="20"/>
  <c r="BZ178" i="20" s="1"/>
  <c r="BF25" i="20"/>
  <c r="BV23" i="20"/>
  <c r="BY23" i="20" s="1"/>
  <c r="BZ4" i="20"/>
  <c r="BI204" i="20"/>
  <c r="BJ204" i="20" s="1"/>
  <c r="BQ204" i="20" s="1"/>
  <c r="BI26" i="20"/>
  <c r="BJ26" i="20" s="1"/>
  <c r="BQ26" i="20" s="1"/>
  <c r="BY101" i="20"/>
  <c r="BV14" i="22"/>
  <c r="BE145" i="20"/>
  <c r="BO145" i="20" s="1"/>
  <c r="BG13" i="22"/>
  <c r="BN13" i="22" s="1"/>
  <c r="BP13" i="22" s="1"/>
  <c r="BJ17" i="20"/>
  <c r="BQ17" i="20" s="1"/>
  <c r="BV49" i="20"/>
  <c r="BY49" i="20" s="1"/>
  <c r="BF156" i="20"/>
  <c r="BY84" i="20"/>
  <c r="BV29" i="20"/>
  <c r="BY29" i="20" s="1"/>
  <c r="BY200" i="20"/>
  <c r="BF204" i="20"/>
  <c r="BE178" i="20"/>
  <c r="BU178" i="20" s="1"/>
  <c r="BJ56" i="20"/>
  <c r="BQ56" i="20" s="1"/>
  <c r="AU156" i="20"/>
  <c r="BC156" i="20" s="1"/>
  <c r="BP192" i="20"/>
  <c r="BR23" i="20"/>
  <c r="U70" i="20"/>
  <c r="BW138" i="20"/>
  <c r="BX138" i="20" s="1"/>
  <c r="CA138" i="20" s="1"/>
  <c r="AU196" i="20"/>
  <c r="BD196" i="20" s="1"/>
  <c r="BT192" i="20"/>
  <c r="BY192" i="20" s="1"/>
  <c r="BY175" i="20"/>
  <c r="BF43" i="20"/>
  <c r="AR11" i="22"/>
  <c r="BA11" i="22" s="1"/>
  <c r="BC11" i="22"/>
  <c r="BB11" i="22"/>
  <c r="BR11" i="22" s="1"/>
  <c r="BF11" i="22"/>
  <c r="BM11" i="22"/>
  <c r="BC14" i="22"/>
  <c r="BO7" i="22"/>
  <c r="BF10" i="22"/>
  <c r="BG10" i="22" s="1"/>
  <c r="BN10" i="22" s="1"/>
  <c r="BP10" i="22" s="1"/>
  <c r="BB10" i="22"/>
  <c r="BR10" i="22" s="1"/>
  <c r="BD10" i="22"/>
  <c r="BT10" i="22" s="1"/>
  <c r="BW10" i="22" s="1"/>
  <c r="BG8" i="22"/>
  <c r="BN8" i="22" s="1"/>
  <c r="AR10" i="22"/>
  <c r="BA10" i="22" s="1"/>
  <c r="BD9" i="22"/>
  <c r="BT9" i="22" s="1"/>
  <c r="BW9" i="22" s="1"/>
  <c r="BE194" i="20"/>
  <c r="BO194" i="20" s="1"/>
  <c r="BI194" i="20"/>
  <c r="BJ194" i="20" s="1"/>
  <c r="BQ194" i="20" s="1"/>
  <c r="BS194" i="20" s="1"/>
  <c r="AU194" i="20"/>
  <c r="BC194" i="20" s="1"/>
  <c r="BS17" i="22"/>
  <c r="BD17" i="22"/>
  <c r="BT17" i="22" s="1"/>
  <c r="BW17" i="22" s="1"/>
  <c r="BG177" i="20"/>
  <c r="BY131" i="20"/>
  <c r="BR10" i="20"/>
  <c r="BG148" i="20"/>
  <c r="BW148" i="20" s="1"/>
  <c r="BZ148" i="20" s="1"/>
  <c r="BL14" i="22"/>
  <c r="BY96" i="20"/>
  <c r="BR2" i="20"/>
  <c r="BE177" i="20"/>
  <c r="BU177" i="20" s="1"/>
  <c r="BG205" i="20"/>
  <c r="BY76" i="20"/>
  <c r="BC5" i="22"/>
  <c r="BE205" i="20"/>
  <c r="BO205" i="20" s="1"/>
  <c r="BY4" i="20"/>
  <c r="BG12" i="20"/>
  <c r="BI55" i="20"/>
  <c r="BJ55" i="20" s="1"/>
  <c r="BQ55" i="20" s="1"/>
  <c r="BS55" i="20" s="1"/>
  <c r="BV10" i="20"/>
  <c r="BY10" i="20" s="1"/>
  <c r="BF10" i="20"/>
  <c r="BI205" i="20"/>
  <c r="BJ205" i="20" s="1"/>
  <c r="BQ205" i="20" s="1"/>
  <c r="BS205" i="20" s="1"/>
  <c r="BF177" i="20"/>
  <c r="BJ112" i="20"/>
  <c r="BQ112" i="20" s="1"/>
  <c r="BJ3" i="20"/>
  <c r="BQ3" i="20" s="1"/>
  <c r="BY153" i="20"/>
  <c r="BF179" i="20"/>
  <c r="BQ11" i="22"/>
  <c r="BV11" i="22" s="1"/>
  <c r="BH11" i="22"/>
  <c r="BO11" i="22" s="1"/>
  <c r="BE59" i="20"/>
  <c r="BU59" i="20" s="1"/>
  <c r="BR17" i="22"/>
  <c r="BL17" i="22"/>
  <c r="BE86" i="20"/>
  <c r="BO86" i="20" s="1"/>
  <c r="AU55" i="20"/>
  <c r="BC55" i="20" s="1"/>
  <c r="BF109" i="20"/>
  <c r="BF134" i="20"/>
  <c r="AU205" i="20"/>
  <c r="BD205" i="20" s="1"/>
  <c r="BW177" i="20"/>
  <c r="BZ177" i="20" s="1"/>
  <c r="BE110" i="20"/>
  <c r="BO110" i="20" s="1"/>
  <c r="BF31" i="20"/>
  <c r="BC26" i="20"/>
  <c r="BQ4" i="20"/>
  <c r="BS4" i="20" s="1"/>
  <c r="BO17" i="22"/>
  <c r="BG17" i="22"/>
  <c r="BN17" i="22" s="1"/>
  <c r="BO8" i="22"/>
  <c r="BF59" i="20"/>
  <c r="AU109" i="20"/>
  <c r="BD109" i="20" s="1"/>
  <c r="BE27" i="20"/>
  <c r="BO27" i="20" s="1"/>
  <c r="BF110" i="20"/>
  <c r="BF150" i="20"/>
  <c r="BF29" i="20"/>
  <c r="BY191" i="20"/>
  <c r="BR204" i="20"/>
  <c r="BF198" i="20"/>
  <c r="AU198" i="20"/>
  <c r="BC198" i="20" s="1"/>
  <c r="BW193" i="20"/>
  <c r="BX193" i="20" s="1"/>
  <c r="CA193" i="20" s="1"/>
  <c r="BR145" i="20"/>
  <c r="BI43" i="20"/>
  <c r="BJ43" i="20" s="1"/>
  <c r="BQ43" i="20" s="1"/>
  <c r="AU43" i="20"/>
  <c r="BC43" i="20" s="1"/>
  <c r="BG43" i="20"/>
  <c r="BW43" i="20" s="1"/>
  <c r="BZ43" i="20" s="1"/>
  <c r="AU148" i="20"/>
  <c r="BC148" i="20" s="1"/>
  <c r="BI148" i="20"/>
  <c r="BJ148" i="20" s="1"/>
  <c r="BQ148" i="20" s="1"/>
  <c r="BF96" i="20"/>
  <c r="BE96" i="20"/>
  <c r="BU96" i="20" s="1"/>
  <c r="BI96" i="20"/>
  <c r="BJ96" i="20" s="1"/>
  <c r="BQ96" i="20" s="1"/>
  <c r="BS96" i="20" s="1"/>
  <c r="AU96" i="20"/>
  <c r="BC96" i="20" s="1"/>
  <c r="BF81" i="20"/>
  <c r="AU81" i="20"/>
  <c r="BC81" i="20" s="1"/>
  <c r="BI145" i="20"/>
  <c r="BJ145" i="20" s="1"/>
  <c r="BQ145" i="20" s="1"/>
  <c r="BG145" i="20"/>
  <c r="BW145" i="20" s="1"/>
  <c r="BZ145" i="20" s="1"/>
  <c r="R14" i="21"/>
  <c r="N15" i="21"/>
  <c r="BI25" i="20"/>
  <c r="AU25" i="20"/>
  <c r="BC25" i="20" s="1"/>
  <c r="BN108" i="20"/>
  <c r="BV108" i="20" s="1"/>
  <c r="BK108" i="20"/>
  <c r="BR108" i="20" s="1"/>
  <c r="BT108" i="20"/>
  <c r="BP108" i="20"/>
  <c r="BI141" i="20"/>
  <c r="BJ141" i="20" s="1"/>
  <c r="BQ141" i="20" s="1"/>
  <c r="BF141" i="20"/>
  <c r="AU180" i="20"/>
  <c r="BD180" i="20" s="1"/>
  <c r="BI180" i="20"/>
  <c r="BJ180" i="20" s="1"/>
  <c r="BQ180" i="20" s="1"/>
  <c r="BG58" i="20"/>
  <c r="BW58" i="20"/>
  <c r="BX58" i="20" s="1"/>
  <c r="CA58" i="20" s="1"/>
  <c r="BI179" i="20"/>
  <c r="BJ179" i="20" s="1"/>
  <c r="BQ179" i="20" s="1"/>
  <c r="AU179" i="20"/>
  <c r="BD179" i="20" s="1"/>
  <c r="BE198" i="20"/>
  <c r="BU198" i="20" s="1"/>
  <c r="BI38" i="20"/>
  <c r="BJ38" i="20" s="1"/>
  <c r="BQ38" i="20" s="1"/>
  <c r="AU38" i="20"/>
  <c r="BC38" i="20" s="1"/>
  <c r="BY81" i="20"/>
  <c r="BI21" i="20"/>
  <c r="BJ21" i="20" s="1"/>
  <c r="BQ21" i="20" s="1"/>
  <c r="BF21" i="20"/>
  <c r="BE43" i="20"/>
  <c r="BU43" i="20" s="1"/>
  <c r="BI151" i="20"/>
  <c r="BJ151" i="20" s="1"/>
  <c r="BQ151" i="20" s="1"/>
  <c r="AU151" i="20"/>
  <c r="BD151" i="20" s="1"/>
  <c r="BT195" i="20"/>
  <c r="BN195" i="20"/>
  <c r="BV195" i="20" s="1"/>
  <c r="BK195" i="20"/>
  <c r="BR195" i="20" s="1"/>
  <c r="BF51" i="20"/>
  <c r="BY97" i="20"/>
  <c r="BW77" i="20"/>
  <c r="BZ77" i="20" s="1"/>
  <c r="BI77" i="20"/>
  <c r="BJ77" i="20" s="1"/>
  <c r="BQ77" i="20" s="1"/>
  <c r="BS77" i="20" s="1"/>
  <c r="BF77" i="20"/>
  <c r="BI51" i="20"/>
  <c r="BJ51" i="20" s="1"/>
  <c r="BQ51" i="20" s="1"/>
  <c r="BS51" i="20" s="1"/>
  <c r="BI52" i="20"/>
  <c r="BJ52" i="20" s="1"/>
  <c r="BQ52" i="20" s="1"/>
  <c r="BS52" i="20" s="1"/>
  <c r="BW52" i="20"/>
  <c r="BZ52" i="20" s="1"/>
  <c r="BE81" i="20"/>
  <c r="BU81" i="20" s="1"/>
  <c r="BG96" i="20"/>
  <c r="BW96" i="20" s="1"/>
  <c r="BZ96" i="20" s="1"/>
  <c r="BD37" i="20"/>
  <c r="BC37" i="20"/>
  <c r="BW51" i="20"/>
  <c r="BX51" i="20" s="1"/>
  <c r="CA51" i="20" s="1"/>
  <c r="BG81" i="20"/>
  <c r="AU42" i="20"/>
  <c r="BC42" i="20" s="1"/>
  <c r="BI42" i="20"/>
  <c r="BJ42" i="20" s="1"/>
  <c r="BQ42" i="20" s="1"/>
  <c r="BS42" i="20" s="1"/>
  <c r="BW42" i="20"/>
  <c r="BZ42" i="20" s="1"/>
  <c r="BG42" i="20"/>
  <c r="AU3" i="20"/>
  <c r="BC3" i="20" s="1"/>
  <c r="BG27" i="20"/>
  <c r="BW27" i="20" s="1"/>
  <c r="BZ27" i="20" s="1"/>
  <c r="BI89" i="20"/>
  <c r="AU89" i="20"/>
  <c r="BD89" i="20" s="1"/>
  <c r="BE33" i="20"/>
  <c r="BO33" i="20" s="1"/>
  <c r="AU33" i="20"/>
  <c r="BC33" i="20" s="1"/>
  <c r="AU113" i="20"/>
  <c r="BD113" i="20" s="1"/>
  <c r="BG51" i="20"/>
  <c r="BJ10" i="20"/>
  <c r="BQ10" i="20" s="1"/>
  <c r="BI192" i="20"/>
  <c r="BJ192" i="20" s="1"/>
  <c r="BY94" i="20"/>
  <c r="BG80" i="20"/>
  <c r="BG196" i="20"/>
  <c r="BI98" i="20"/>
  <c r="BJ98" i="20" s="1"/>
  <c r="BQ98" i="20" s="1"/>
  <c r="BF178" i="20"/>
  <c r="BV43" i="20"/>
  <c r="BY43" i="20" s="1"/>
  <c r="BE25" i="20"/>
  <c r="BU25" i="20" s="1"/>
  <c r="BJ29" i="20"/>
  <c r="BQ29" i="20" s="1"/>
  <c r="BD187" i="20"/>
  <c r="BC187" i="20"/>
  <c r="BE80" i="20"/>
  <c r="BO80" i="20" s="1"/>
  <c r="BR143" i="20"/>
  <c r="BJ114" i="20"/>
  <c r="BQ114" i="20" s="1"/>
  <c r="BI80" i="20"/>
  <c r="BJ80" i="20" s="1"/>
  <c r="BQ80" i="20" s="1"/>
  <c r="BS80" i="20" s="1"/>
  <c r="BI113" i="20"/>
  <c r="BJ113" i="20" s="1"/>
  <c r="BQ113" i="20" s="1"/>
  <c r="BJ86" i="20"/>
  <c r="BQ86" i="20" s="1"/>
  <c r="BJ88" i="20"/>
  <c r="BQ88" i="20" s="1"/>
  <c r="BW196" i="20"/>
  <c r="BZ196" i="20" s="1"/>
  <c r="BF194" i="20"/>
  <c r="AU98" i="20"/>
  <c r="BD98" i="20" s="1"/>
  <c r="BI178" i="20"/>
  <c r="BJ178" i="20" s="1"/>
  <c r="BQ178" i="20" s="1"/>
  <c r="BS178" i="20" s="1"/>
  <c r="BE150" i="20"/>
  <c r="BU150" i="20" s="1"/>
  <c r="BF151" i="20"/>
  <c r="BJ202" i="20"/>
  <c r="BQ202" i="20" s="1"/>
  <c r="BR154" i="20"/>
  <c r="BG152" i="20"/>
  <c r="BF38" i="20"/>
  <c r="AU80" i="20"/>
  <c r="BC80" i="20" s="1"/>
  <c r="BF3" i="20"/>
  <c r="BY138" i="20"/>
  <c r="BY52" i="20"/>
  <c r="BV48" i="20"/>
  <c r="BR41" i="20"/>
  <c r="BV107" i="20"/>
  <c r="BY107" i="20" s="1"/>
  <c r="BV146" i="20"/>
  <c r="BY146" i="20" s="1"/>
  <c r="BY51" i="20"/>
  <c r="BV28" i="20"/>
  <c r="BY28" i="20" s="1"/>
  <c r="BF80" i="20"/>
  <c r="BY55" i="20"/>
  <c r="BF113" i="20"/>
  <c r="BF196" i="20"/>
  <c r="BV87" i="20"/>
  <c r="BY87" i="20" s="1"/>
  <c r="BG174" i="20"/>
  <c r="BW174" i="20" s="1"/>
  <c r="BZ174" i="20" s="1"/>
  <c r="BF148" i="20"/>
  <c r="BY80" i="20"/>
  <c r="AU110" i="20"/>
  <c r="BG110" i="20"/>
  <c r="BW110" i="20" s="1"/>
  <c r="BZ110" i="20" s="1"/>
  <c r="BF145" i="20"/>
  <c r="BG64" i="20"/>
  <c r="BW64" i="20" s="1"/>
  <c r="BZ64" i="20" s="1"/>
  <c r="BE64" i="20"/>
  <c r="BF64" i="20"/>
  <c r="BI64" i="20"/>
  <c r="BJ64" i="20" s="1"/>
  <c r="BQ64" i="20" s="1"/>
  <c r="BS64" i="20" s="1"/>
  <c r="AU64" i="20"/>
  <c r="BC64" i="20" s="1"/>
  <c r="BF2" i="20"/>
  <c r="BG2" i="20"/>
  <c r="BW2" i="20" s="1"/>
  <c r="BZ2" i="20" s="1"/>
  <c r="BE2" i="20"/>
  <c r="BU2" i="20" s="1"/>
  <c r="BI2" i="20"/>
  <c r="BJ2" i="20" s="1"/>
  <c r="BQ2" i="20" s="1"/>
  <c r="AU2" i="20"/>
  <c r="BO156" i="20"/>
  <c r="BU156" i="20"/>
  <c r="BA12" i="22"/>
  <c r="AZ12" i="22"/>
  <c r="BI68" i="20"/>
  <c r="BJ68" i="20" s="1"/>
  <c r="BQ68" i="20" s="1"/>
  <c r="BE68" i="20"/>
  <c r="BG68" i="20"/>
  <c r="BW68" i="20" s="1"/>
  <c r="BZ68" i="20" s="1"/>
  <c r="AU68" i="20"/>
  <c r="Y70" i="20"/>
  <c r="O12" i="21" s="1"/>
  <c r="S12" i="21" s="1"/>
  <c r="BG194" i="20"/>
  <c r="BW194" i="20" s="1"/>
  <c r="BZ194" i="20" s="1"/>
  <c r="BE203" i="20"/>
  <c r="AU203" i="20"/>
  <c r="BF203" i="20"/>
  <c r="BG203" i="20"/>
  <c r="BI203" i="20"/>
  <c r="BJ203" i="20" s="1"/>
  <c r="BQ203" i="20" s="1"/>
  <c r="BS203" i="20" s="1"/>
  <c r="BW203" i="20"/>
  <c r="BV12" i="22"/>
  <c r="AU12" i="20"/>
  <c r="BD12" i="20" s="1"/>
  <c r="BZ149" i="20"/>
  <c r="BP195" i="20"/>
  <c r="BE193" i="20"/>
  <c r="BO193" i="20" s="1"/>
  <c r="BN31" i="20"/>
  <c r="BI33" i="20"/>
  <c r="BJ33" i="20" s="1"/>
  <c r="BQ33" i="20" s="1"/>
  <c r="BG40" i="20"/>
  <c r="BW40" i="20" s="1"/>
  <c r="BX40" i="20" s="1"/>
  <c r="CA40" i="20" s="1"/>
  <c r="BR141" i="20"/>
  <c r="BI156" i="20"/>
  <c r="BJ156" i="20" s="1"/>
  <c r="BQ156" i="20" s="1"/>
  <c r="BS156" i="20" s="1"/>
  <c r="BC12" i="22"/>
  <c r="BR164" i="20"/>
  <c r="BS8" i="22"/>
  <c r="BD8" i="22"/>
  <c r="BT8" i="22" s="1"/>
  <c r="BW8" i="22" s="1"/>
  <c r="BT150" i="20"/>
  <c r="BK150" i="20"/>
  <c r="BR150" i="20" s="1"/>
  <c r="BP150" i="20"/>
  <c r="BV110" i="20"/>
  <c r="BT31" i="20"/>
  <c r="BF192" i="20"/>
  <c r="BE29" i="20"/>
  <c r="BO29" i="20" s="1"/>
  <c r="BG154" i="20"/>
  <c r="BW154" i="20" s="1"/>
  <c r="BZ154" i="20" s="1"/>
  <c r="AU23" i="20"/>
  <c r="BE23" i="20"/>
  <c r="BR146" i="20"/>
  <c r="BD13" i="22"/>
  <c r="BT13" i="22" s="1"/>
  <c r="BN46" i="20"/>
  <c r="BG192" i="20"/>
  <c r="BE195" i="20"/>
  <c r="BO195" i="20" s="1"/>
  <c r="BJ27" i="20"/>
  <c r="BQ27" i="20" s="1"/>
  <c r="BI198" i="20"/>
  <c r="BJ198" i="20" s="1"/>
  <c r="BQ198" i="20" s="1"/>
  <c r="BS198" i="20" s="1"/>
  <c r="BG29" i="20"/>
  <c r="BW29" i="20" s="1"/>
  <c r="BF89" i="20"/>
  <c r="BI126" i="20"/>
  <c r="BJ126" i="20" s="1"/>
  <c r="BQ126" i="20" s="1"/>
  <c r="BS126" i="20" s="1"/>
  <c r="BR49" i="20"/>
  <c r="BR33" i="20"/>
  <c r="BA7" i="22"/>
  <c r="AZ7" i="22"/>
  <c r="BD12" i="22"/>
  <c r="BT12" i="22" s="1"/>
  <c r="BW12" i="22" s="1"/>
  <c r="BI23" i="20"/>
  <c r="BJ23" i="20" s="1"/>
  <c r="BQ23" i="20" s="1"/>
  <c r="BR119" i="20"/>
  <c r="BR68" i="20"/>
  <c r="BR48" i="20"/>
  <c r="BS16" i="22"/>
  <c r="BD16" i="22"/>
  <c r="BT16" i="22" s="1"/>
  <c r="BW16" i="22" s="1"/>
  <c r="AU144" i="20"/>
  <c r="BE144" i="20"/>
  <c r="BD7" i="22"/>
  <c r="BT7" i="22" s="1"/>
  <c r="BW7" i="22" s="1"/>
  <c r="BC7" i="22"/>
  <c r="BG141" i="20"/>
  <c r="BW141" i="20" s="1"/>
  <c r="BZ141" i="20" s="1"/>
  <c r="BD11" i="22"/>
  <c r="BT11" i="22" s="1"/>
  <c r="AR13" i="22"/>
  <c r="BV145" i="20"/>
  <c r="BT57" i="20"/>
  <c r="BK57" i="20"/>
  <c r="BR57" i="20" s="1"/>
  <c r="BP57" i="20"/>
  <c r="BD145" i="20"/>
  <c r="BC145" i="20"/>
  <c r="BW152" i="20"/>
  <c r="BZ152" i="20" s="1"/>
  <c r="AU152" i="20"/>
  <c r="BF68" i="20"/>
  <c r="BI193" i="20"/>
  <c r="BJ193" i="20" s="1"/>
  <c r="BQ193" i="20" s="1"/>
  <c r="BS193" i="20" s="1"/>
  <c r="BI152" i="20"/>
  <c r="BJ152" i="20" s="1"/>
  <c r="BQ152" i="20" s="1"/>
  <c r="BS152" i="20" s="1"/>
  <c r="BE31" i="20"/>
  <c r="BI94" i="20"/>
  <c r="BJ94" i="20" s="1"/>
  <c r="BQ94" i="20" s="1"/>
  <c r="BS94" i="20" s="1"/>
  <c r="BG98" i="20"/>
  <c r="BW98" i="20" s="1"/>
  <c r="BZ98" i="20" s="1"/>
  <c r="BR109" i="20"/>
  <c r="BN25" i="20"/>
  <c r="BT25" i="20"/>
  <c r="BF12" i="22"/>
  <c r="BG12" i="22" s="1"/>
  <c r="BN12" i="22" s="1"/>
  <c r="BP12" i="22" s="1"/>
  <c r="BC13" i="22"/>
  <c r="BY169" i="20"/>
  <c r="BF193" i="20"/>
  <c r="BF180" i="20"/>
  <c r="BN57" i="20"/>
  <c r="BV57" i="20" s="1"/>
  <c r="BB13" i="22"/>
  <c r="BV10" i="22"/>
  <c r="BF195" i="20"/>
  <c r="BE152" i="20"/>
  <c r="BO152" i="20" s="1"/>
  <c r="BD143" i="20"/>
  <c r="BC143" i="20"/>
  <c r="BB12" i="22"/>
  <c r="BV68" i="20"/>
  <c r="BI143" i="20"/>
  <c r="BJ143" i="20" s="1"/>
  <c r="BQ143" i="20" s="1"/>
  <c r="BF143" i="20"/>
  <c r="BG143" i="20"/>
  <c r="BW143" i="20" s="1"/>
  <c r="BZ143" i="20" s="1"/>
  <c r="AR5" i="22"/>
  <c r="BF5" i="22"/>
  <c r="BG5" i="22" s="1"/>
  <c r="BN5" i="22" s="1"/>
  <c r="BV119" i="20"/>
  <c r="BY119" i="20" s="1"/>
  <c r="BK31" i="20"/>
  <c r="BR31" i="20" s="1"/>
  <c r="BE40" i="20"/>
  <c r="BO40" i="20" s="1"/>
  <c r="AU51" i="20"/>
  <c r="BC51" i="20" s="1"/>
  <c r="BE58" i="20"/>
  <c r="BO58" i="20" s="1"/>
  <c r="BG178" i="20"/>
  <c r="BE187" i="20"/>
  <c r="BO187" i="20" s="1"/>
  <c r="BW192" i="20"/>
  <c r="BK25" i="20"/>
  <c r="BR25" i="20" s="1"/>
  <c r="BW198" i="20"/>
  <c r="BZ198" i="20" s="1"/>
  <c r="AU29" i="20"/>
  <c r="BC29" i="20" s="1"/>
  <c r="BF100" i="20"/>
  <c r="BW126" i="20"/>
  <c r="BZ126" i="20" s="1"/>
  <c r="BE141" i="20"/>
  <c r="BU141" i="20" s="1"/>
  <c r="BF152" i="20"/>
  <c r="BE192" i="20"/>
  <c r="BU192" i="20" s="1"/>
  <c r="AU134" i="20"/>
  <c r="BC134" i="20" s="1"/>
  <c r="BZ80" i="20"/>
  <c r="BR107" i="20"/>
  <c r="U166" i="20"/>
  <c r="V165" i="20"/>
  <c r="BC188" i="20"/>
  <c r="BD188" i="20"/>
  <c r="BR187" i="20"/>
  <c r="BG180" i="20"/>
  <c r="BW180" i="20" s="1"/>
  <c r="BZ180" i="20" s="1"/>
  <c r="AU83" i="20"/>
  <c r="BC83" i="20" s="1"/>
  <c r="BO16" i="22"/>
  <c r="BG16" i="22"/>
  <c r="BN16" i="22" s="1"/>
  <c r="BY75" i="20"/>
  <c r="BR17" i="20"/>
  <c r="BY173" i="20"/>
  <c r="AU141" i="20"/>
  <c r="BD141" i="20" s="1"/>
  <c r="BL16" i="22"/>
  <c r="BR16" i="22"/>
  <c r="AU17" i="20"/>
  <c r="BD17" i="20" s="1"/>
  <c r="BF174" i="20"/>
  <c r="BE126" i="20"/>
  <c r="BO126" i="20" s="1"/>
  <c r="BI40" i="20"/>
  <c r="BJ40" i="20" s="1"/>
  <c r="BQ40" i="20" s="1"/>
  <c r="BS40" i="20" s="1"/>
  <c r="BI58" i="20"/>
  <c r="BJ58" i="20" s="1"/>
  <c r="BQ58" i="20" s="1"/>
  <c r="BS58" i="20" s="1"/>
  <c r="BF58" i="20"/>
  <c r="BF23" i="20"/>
  <c r="BV34" i="20"/>
  <c r="BE134" i="20"/>
  <c r="BU134" i="20" s="1"/>
  <c r="AU193" i="20"/>
  <c r="BD193" i="20" s="1"/>
  <c r="BG198" i="20"/>
  <c r="AU10" i="20"/>
  <c r="BD10" i="20" s="1"/>
  <c r="BF83" i="20"/>
  <c r="BE49" i="20"/>
  <c r="BO49" i="20" s="1"/>
  <c r="BG33" i="20"/>
  <c r="BW33" i="20" s="1"/>
  <c r="BZ33" i="20" s="1"/>
  <c r="BF126" i="20"/>
  <c r="BR88" i="20"/>
  <c r="X57" i="20"/>
  <c r="BM57" i="20" s="1"/>
  <c r="AA57" i="20"/>
  <c r="AQ57" i="20" s="1"/>
  <c r="BE57" i="20" s="1"/>
  <c r="BG179" i="20"/>
  <c r="BW179" i="20" s="1"/>
  <c r="BZ179" i="20" s="1"/>
  <c r="BS7" i="22"/>
  <c r="BG23" i="20"/>
  <c r="BW23" i="20" s="1"/>
  <c r="BZ23" i="20" s="1"/>
  <c r="BV188" i="20"/>
  <c r="BN150" i="20"/>
  <c r="BD164" i="20"/>
  <c r="BC164" i="20"/>
  <c r="BC178" i="20"/>
  <c r="BJ177" i="20"/>
  <c r="BQ177" i="20" s="1"/>
  <c r="BS177" i="20" s="1"/>
  <c r="BI174" i="20"/>
  <c r="BJ174" i="20" s="1"/>
  <c r="BQ174" i="20" s="1"/>
  <c r="BS174" i="20" s="1"/>
  <c r="BI200" i="20"/>
  <c r="BJ200" i="20" s="1"/>
  <c r="BQ200" i="20" s="1"/>
  <c r="BS200" i="20" s="1"/>
  <c r="BF200" i="20"/>
  <c r="AU200" i="20"/>
  <c r="BG200" i="20"/>
  <c r="BE200" i="20"/>
  <c r="BW200" i="20"/>
  <c r="BU196" i="20"/>
  <c r="BE140" i="20"/>
  <c r="BU140" i="20" s="1"/>
  <c r="BG140" i="20"/>
  <c r="AU140" i="20"/>
  <c r="BD140" i="20" s="1"/>
  <c r="BW140" i="20"/>
  <c r="BZ140" i="20" s="1"/>
  <c r="BF140" i="20"/>
  <c r="AU138" i="20"/>
  <c r="BC138" i="20" s="1"/>
  <c r="BE138" i="20"/>
  <c r="BI138" i="20"/>
  <c r="BJ138" i="20" s="1"/>
  <c r="BQ138" i="20" s="1"/>
  <c r="BS138" i="20" s="1"/>
  <c r="BG138" i="20"/>
  <c r="BW91" i="20"/>
  <c r="BZ91" i="20" s="1"/>
  <c r="BE91" i="20"/>
  <c r="BU91" i="20" s="1"/>
  <c r="AU91" i="20"/>
  <c r="BC91" i="20" s="1"/>
  <c r="BF91" i="20"/>
  <c r="BG91" i="20"/>
  <c r="BS95" i="20"/>
  <c r="AU94" i="20"/>
  <c r="BC94" i="20" s="1"/>
  <c r="BW94" i="20"/>
  <c r="BZ94" i="20" s="1"/>
  <c r="BF94" i="20"/>
  <c r="BG9" i="20"/>
  <c r="BW9" i="20" s="1"/>
  <c r="BZ9" i="20" s="1"/>
  <c r="BE9" i="20"/>
  <c r="BI9" i="20"/>
  <c r="BJ9" i="20" s="1"/>
  <c r="BQ9" i="20" s="1"/>
  <c r="AU9" i="20"/>
  <c r="BF9" i="20"/>
  <c r="BE176" i="20"/>
  <c r="AU176" i="20"/>
  <c r="BF176" i="20"/>
  <c r="BG176" i="20"/>
  <c r="BW176" i="20"/>
  <c r="BI176" i="20"/>
  <c r="BJ176" i="20" s="1"/>
  <c r="BQ176" i="20" s="1"/>
  <c r="BS176" i="20" s="1"/>
  <c r="BI48" i="20"/>
  <c r="BJ48" i="20" s="1"/>
  <c r="BQ48" i="20" s="1"/>
  <c r="BG48" i="20"/>
  <c r="BW48" i="20" s="1"/>
  <c r="BZ48" i="20" s="1"/>
  <c r="BE48" i="20"/>
  <c r="AU48" i="20"/>
  <c r="BF48" i="20"/>
  <c r="BU79" i="20"/>
  <c r="BO79" i="20"/>
  <c r="BU114" i="20"/>
  <c r="BO114" i="20"/>
  <c r="AU41" i="20"/>
  <c r="BI41" i="20"/>
  <c r="BJ41" i="20" s="1"/>
  <c r="BQ41" i="20" s="1"/>
  <c r="BE41" i="20"/>
  <c r="BF41" i="20"/>
  <c r="BG41" i="20"/>
  <c r="BW41" i="20" s="1"/>
  <c r="BO56" i="20"/>
  <c r="BU56" i="20"/>
  <c r="BG144" i="20"/>
  <c r="BW144" i="20" s="1"/>
  <c r="BZ144" i="20" s="1"/>
  <c r="BV144" i="20"/>
  <c r="BI146" i="20"/>
  <c r="BJ146" i="20" s="1"/>
  <c r="BQ146" i="20" s="1"/>
  <c r="AU146" i="20"/>
  <c r="BG146" i="20"/>
  <c r="BW146" i="20" s="1"/>
  <c r="BE146" i="20"/>
  <c r="BF146" i="20"/>
  <c r="BU149" i="20"/>
  <c r="BO149" i="20"/>
  <c r="AU119" i="20"/>
  <c r="BG119" i="20"/>
  <c r="BW119" i="20" s="1"/>
  <c r="BZ119" i="20" s="1"/>
  <c r="BF119" i="20"/>
  <c r="BE119" i="20"/>
  <c r="BI119" i="20"/>
  <c r="BJ119" i="20" s="1"/>
  <c r="BQ119" i="20" s="1"/>
  <c r="BI107" i="20"/>
  <c r="BJ107" i="20" s="1"/>
  <c r="BQ107" i="20" s="1"/>
  <c r="AU107" i="20"/>
  <c r="BF107" i="20"/>
  <c r="BG107" i="20"/>
  <c r="BW107" i="20" s="1"/>
  <c r="BE107" i="20"/>
  <c r="BR79" i="20"/>
  <c r="BD150" i="20"/>
  <c r="BC150" i="20"/>
  <c r="BG69" i="20"/>
  <c r="BW69" i="20" s="1"/>
  <c r="BZ69" i="20" s="1"/>
  <c r="AU69" i="20"/>
  <c r="BY85" i="20"/>
  <c r="BR188" i="20"/>
  <c r="BV155" i="20"/>
  <c r="BR155" i="20"/>
  <c r="AU20" i="20"/>
  <c r="BF20" i="20"/>
  <c r="BI20" i="20"/>
  <c r="BJ20" i="20" s="1"/>
  <c r="BQ20" i="20" s="1"/>
  <c r="BE20" i="20"/>
  <c r="BG20" i="20"/>
  <c r="BW20" i="20" s="1"/>
  <c r="BZ20" i="20" s="1"/>
  <c r="Q15" i="21"/>
  <c r="BK118" i="20"/>
  <c r="BP118" i="20"/>
  <c r="BN118" i="20"/>
  <c r="BE118" i="20"/>
  <c r="BT118" i="20"/>
  <c r="BP89" i="20"/>
  <c r="BT89" i="20"/>
  <c r="BK89" i="20"/>
  <c r="BN89" i="20"/>
  <c r="AU27" i="20"/>
  <c r="BZ205" i="20"/>
  <c r="BX205" i="20"/>
  <c r="CA205" i="20" s="1"/>
  <c r="AA93" i="20"/>
  <c r="AQ93" i="20" s="1"/>
  <c r="X93" i="20"/>
  <c r="BM93" i="20" s="1"/>
  <c r="BV201" i="20"/>
  <c r="BG201" i="20"/>
  <c r="BW201" i="20" s="1"/>
  <c r="BZ201" i="20" s="1"/>
  <c r="BV26" i="20"/>
  <c r="BG26" i="20"/>
  <c r="BW26" i="20" s="1"/>
  <c r="BZ26" i="20" s="1"/>
  <c r="X175" i="20"/>
  <c r="AA175" i="20"/>
  <c r="AQ175" i="20" s="1"/>
  <c r="BW168" i="20"/>
  <c r="BG168" i="20"/>
  <c r="BI168" i="20"/>
  <c r="BJ168" i="20" s="1"/>
  <c r="BQ168" i="20" s="1"/>
  <c r="BS168" i="20" s="1"/>
  <c r="BF168" i="20"/>
  <c r="BE168" i="20"/>
  <c r="AU168" i="20"/>
  <c r="BR149" i="20"/>
  <c r="BE17" i="20"/>
  <c r="BD100" i="20"/>
  <c r="BC100" i="20"/>
  <c r="BE83" i="20"/>
  <c r="BW83" i="20"/>
  <c r="BP83" i="20"/>
  <c r="BQ83" i="20" s="1"/>
  <c r="BS83" i="20" s="1"/>
  <c r="BT83" i="20"/>
  <c r="BY83" i="20" s="1"/>
  <c r="BV156" i="20"/>
  <c r="BG156" i="20"/>
  <c r="BW156" i="20" s="1"/>
  <c r="BZ156" i="20" s="1"/>
  <c r="BD4" i="22"/>
  <c r="BT4" i="22" s="1"/>
  <c r="BW4" i="22" s="1"/>
  <c r="BS4" i="22"/>
  <c r="BE3" i="20"/>
  <c r="BR3" i="20"/>
  <c r="BV3" i="20"/>
  <c r="BR69" i="20"/>
  <c r="BV69" i="20"/>
  <c r="BQ37" i="20"/>
  <c r="BS37" i="20" s="1"/>
  <c r="BD114" i="20"/>
  <c r="BC114" i="20"/>
  <c r="BE28" i="20"/>
  <c r="AU28" i="20"/>
  <c r="BG28" i="20"/>
  <c r="BW28" i="20" s="1"/>
  <c r="BZ28" i="20" s="1"/>
  <c r="BF28" i="20"/>
  <c r="BJ140" i="20"/>
  <c r="BQ140" i="20" s="1"/>
  <c r="BS140" i="20" s="1"/>
  <c r="BF86" i="20"/>
  <c r="BG86" i="20"/>
  <c r="BW86" i="20" s="1"/>
  <c r="BZ86" i="20" s="1"/>
  <c r="AU86" i="20"/>
  <c r="BG55" i="20"/>
  <c r="BW55" i="20"/>
  <c r="BE89" i="20"/>
  <c r="BF17" i="20"/>
  <c r="BV112" i="20"/>
  <c r="BG112" i="20"/>
  <c r="BW112" i="20" s="1"/>
  <c r="BZ112" i="20" s="1"/>
  <c r="BY177" i="20"/>
  <c r="BE10" i="20"/>
  <c r="BD79" i="20"/>
  <c r="BC79" i="20"/>
  <c r="BJ34" i="20"/>
  <c r="BQ34" i="20" s="1"/>
  <c r="BV27" i="20"/>
  <c r="BE34" i="20"/>
  <c r="BW190" i="20"/>
  <c r="BF190" i="20"/>
  <c r="BG190" i="20"/>
  <c r="BE190" i="20"/>
  <c r="AU190" i="20"/>
  <c r="BI190" i="20"/>
  <c r="BJ190" i="20" s="1"/>
  <c r="BQ190" i="20" s="1"/>
  <c r="BS190" i="20" s="1"/>
  <c r="BB4" i="22"/>
  <c r="BO4" i="22"/>
  <c r="BC192" i="20"/>
  <c r="BD192" i="20"/>
  <c r="BW191" i="20"/>
  <c r="BF191" i="20"/>
  <c r="BE191" i="20"/>
  <c r="BI191" i="20"/>
  <c r="BJ191" i="20" s="1"/>
  <c r="BQ191" i="20" s="1"/>
  <c r="BS191" i="20" s="1"/>
  <c r="BG191" i="20"/>
  <c r="AU191" i="20"/>
  <c r="AA170" i="20"/>
  <c r="AQ170" i="20" s="1"/>
  <c r="X170" i="20"/>
  <c r="BM170" i="20" s="1"/>
  <c r="BJ110" i="20"/>
  <c r="BQ110" i="20" s="1"/>
  <c r="BR110" i="20"/>
  <c r="BV148" i="20"/>
  <c r="BE148" i="20"/>
  <c r="BV180" i="20"/>
  <c r="BR180" i="20"/>
  <c r="BE180" i="20"/>
  <c r="BG38" i="20"/>
  <c r="BW38" i="20" s="1"/>
  <c r="BZ38" i="20" s="1"/>
  <c r="BV38" i="20"/>
  <c r="BC149" i="20"/>
  <c r="BD149" i="20"/>
  <c r="BU77" i="20"/>
  <c r="BR86" i="20"/>
  <c r="BF27" i="20"/>
  <c r="BI59" i="20"/>
  <c r="BJ59" i="20" s="1"/>
  <c r="BQ59" i="20" s="1"/>
  <c r="BS59" i="20" s="1"/>
  <c r="BI84" i="20"/>
  <c r="BJ84" i="20" s="1"/>
  <c r="BQ84" i="20" s="1"/>
  <c r="BS84" i="20" s="1"/>
  <c r="BF84" i="20"/>
  <c r="AU84" i="20"/>
  <c r="BW84" i="20"/>
  <c r="BG84" i="20"/>
  <c r="BE84" i="20"/>
  <c r="BC21" i="20"/>
  <c r="BD21" i="20"/>
  <c r="AU87" i="20"/>
  <c r="BF87" i="20"/>
  <c r="BG87" i="20"/>
  <c r="BW87" i="20" s="1"/>
  <c r="BZ87" i="20" s="1"/>
  <c r="BE87" i="20"/>
  <c r="BI87" i="20"/>
  <c r="BJ87" i="20" s="1"/>
  <c r="BQ87" i="20" s="1"/>
  <c r="BD56" i="20"/>
  <c r="BC56" i="20"/>
  <c r="X131" i="20"/>
  <c r="AA131" i="20"/>
  <c r="AQ131" i="20" s="1"/>
  <c r="AU59" i="20"/>
  <c r="BC59" i="20" s="1"/>
  <c r="BV100" i="20"/>
  <c r="BG100" i="20"/>
  <c r="BW100" i="20" s="1"/>
  <c r="BZ100" i="20" s="1"/>
  <c r="BR148" i="20"/>
  <c r="BR133" i="20"/>
  <c r="BJ133" i="20"/>
  <c r="BQ133" i="20" s="1"/>
  <c r="BV86" i="20"/>
  <c r="BE88" i="20"/>
  <c r="BG88" i="20"/>
  <c r="BW88" i="20" s="1"/>
  <c r="BZ88" i="20" s="1"/>
  <c r="BF88" i="20"/>
  <c r="AU88" i="20"/>
  <c r="BG10" i="20"/>
  <c r="BW10" i="20" s="1"/>
  <c r="BZ10" i="20" s="1"/>
  <c r="BY189" i="20"/>
  <c r="BJ79" i="20"/>
  <c r="BQ79" i="20" s="1"/>
  <c r="BR27" i="20"/>
  <c r="BF40" i="20"/>
  <c r="AU58" i="20"/>
  <c r="BC58" i="20" s="1"/>
  <c r="AU52" i="20"/>
  <c r="BC52" i="20" s="1"/>
  <c r="BE94" i="20"/>
  <c r="BU94" i="20" s="1"/>
  <c r="AU40" i="20"/>
  <c r="BD40" i="20" s="1"/>
  <c r="BI69" i="20"/>
  <c r="BJ69" i="20" s="1"/>
  <c r="BQ69" i="20" s="1"/>
  <c r="BV79" i="20"/>
  <c r="BN83" i="20"/>
  <c r="BG83" i="20" s="1"/>
  <c r="BR53" i="20"/>
  <c r="BV149" i="20"/>
  <c r="BE189" i="20"/>
  <c r="BW189" i="20"/>
  <c r="BZ189" i="20" s="1"/>
  <c r="BG189" i="20"/>
  <c r="BI189" i="20"/>
  <c r="BJ189" i="20" s="1"/>
  <c r="BQ189" i="20" s="1"/>
  <c r="BS189" i="20" s="1"/>
  <c r="AU189" i="20"/>
  <c r="BF189" i="20"/>
  <c r="BK134" i="20"/>
  <c r="BP134" i="20"/>
  <c r="BT134" i="20"/>
  <c r="BN134" i="20"/>
  <c r="AU53" i="20"/>
  <c r="BF53" i="20"/>
  <c r="BE53" i="20"/>
  <c r="BG53" i="20"/>
  <c r="BW53" i="20" s="1"/>
  <c r="BZ53" i="20" s="1"/>
  <c r="BI53" i="20"/>
  <c r="BJ53" i="20" s="1"/>
  <c r="BQ53" i="20" s="1"/>
  <c r="BE21" i="20"/>
  <c r="BG21" i="20"/>
  <c r="BW21" i="20" s="1"/>
  <c r="BZ21" i="20" s="1"/>
  <c r="BG17" i="20"/>
  <c r="BW17" i="20" s="1"/>
  <c r="BZ17" i="20" s="1"/>
  <c r="BR28" i="20"/>
  <c r="BR112" i="20"/>
  <c r="BO174" i="20"/>
  <c r="BU174" i="20"/>
  <c r="BF155" i="20"/>
  <c r="AU155" i="20"/>
  <c r="BE155" i="20"/>
  <c r="BI155" i="20"/>
  <c r="BJ155" i="20" s="1"/>
  <c r="BQ155" i="20" s="1"/>
  <c r="BG155" i="20"/>
  <c r="BW155" i="20" s="1"/>
  <c r="BZ155" i="20" s="1"/>
  <c r="BC126" i="20"/>
  <c r="BD126" i="20"/>
  <c r="BJ109" i="20"/>
  <c r="BQ109" i="20" s="1"/>
  <c r="BG126" i="20"/>
  <c r="BO5" i="22"/>
  <c r="BV39" i="20"/>
  <c r="BG39" i="20"/>
  <c r="BW39" i="20" s="1"/>
  <c r="BZ39" i="20" s="1"/>
  <c r="BE143" i="20"/>
  <c r="BV143" i="20"/>
  <c r="BI85" i="20"/>
  <c r="BJ85" i="20" s="1"/>
  <c r="BQ85" i="20" s="1"/>
  <c r="BS85" i="20" s="1"/>
  <c r="BG85" i="20"/>
  <c r="BW85" i="20" s="1"/>
  <c r="BZ85" i="20" s="1"/>
  <c r="BF85" i="20"/>
  <c r="AU85" i="20"/>
  <c r="BE85" i="20"/>
  <c r="BR38" i="20"/>
  <c r="BE38" i="20"/>
  <c r="BG52" i="20"/>
  <c r="BF69" i="20"/>
  <c r="BV164" i="20"/>
  <c r="BG164" i="20"/>
  <c r="BW164" i="20" s="1"/>
  <c r="BZ164" i="20" s="1"/>
  <c r="BV113" i="20"/>
  <c r="BG113" i="20"/>
  <c r="BW113" i="20" s="1"/>
  <c r="BZ113" i="20" s="1"/>
  <c r="BG202" i="20"/>
  <c r="BW202" i="20" s="1"/>
  <c r="BZ202" i="20" s="1"/>
  <c r="BV202" i="20"/>
  <c r="BR56" i="20"/>
  <c r="BV56" i="20"/>
  <c r="BR165" i="20"/>
  <c r="BV165" i="20"/>
  <c r="BG114" i="20"/>
  <c r="BW114" i="20" s="1"/>
  <c r="BZ114" i="20" s="1"/>
  <c r="BR144" i="20"/>
  <c r="BJ144" i="20"/>
  <c r="BQ144" i="20" s="1"/>
  <c r="BS5" i="22"/>
  <c r="BD5" i="22"/>
  <c r="BT5" i="22" s="1"/>
  <c r="BW5" i="22" s="1"/>
  <c r="AU153" i="20"/>
  <c r="BI153" i="20"/>
  <c r="BJ153" i="20" s="1"/>
  <c r="BQ153" i="20" s="1"/>
  <c r="BS153" i="20" s="1"/>
  <c r="BE153" i="20"/>
  <c r="BG153" i="20"/>
  <c r="BW153" i="20" s="1"/>
  <c r="BF153" i="20"/>
  <c r="BV2" i="20"/>
  <c r="BG151" i="20"/>
  <c r="BW151" i="20" s="1"/>
  <c r="BZ151" i="20" s="1"/>
  <c r="BV151" i="20"/>
  <c r="BV109" i="20"/>
  <c r="BG109" i="20"/>
  <c r="BW109" i="20" s="1"/>
  <c r="BZ109" i="20" s="1"/>
  <c r="BY152" i="20"/>
  <c r="AA173" i="20"/>
  <c r="AQ173" i="20" s="1"/>
  <c r="BV204" i="20"/>
  <c r="BE204" i="20"/>
  <c r="BR39" i="20"/>
  <c r="BJ39" i="20"/>
  <c r="BQ39" i="20" s="1"/>
  <c r="BI81" i="20"/>
  <c r="BJ81" i="20" s="1"/>
  <c r="BQ81" i="20" s="1"/>
  <c r="BS81" i="20" s="1"/>
  <c r="BW81" i="20"/>
  <c r="BO102" i="20"/>
  <c r="BU102" i="20"/>
  <c r="BG101" i="20"/>
  <c r="BE101" i="20"/>
  <c r="AU101" i="20"/>
  <c r="BF101" i="20"/>
  <c r="BI101" i="20"/>
  <c r="BJ101" i="20" s="1"/>
  <c r="BQ101" i="20" s="1"/>
  <c r="BS101" i="20" s="1"/>
  <c r="BW101" i="20"/>
  <c r="BC97" i="20"/>
  <c r="BD97" i="20"/>
  <c r="BD95" i="20"/>
  <c r="BC95" i="20"/>
  <c r="BO95" i="20"/>
  <c r="BU95" i="20"/>
  <c r="BX95" i="20"/>
  <c r="CA95" i="20" s="1"/>
  <c r="BF92" i="20"/>
  <c r="BG92" i="20"/>
  <c r="BE92" i="20"/>
  <c r="BW92" i="20"/>
  <c r="AU92" i="20"/>
  <c r="BI92" i="20"/>
  <c r="BJ92" i="20" s="1"/>
  <c r="BQ92" i="20" s="1"/>
  <c r="BS92" i="20" s="1"/>
  <c r="BE90" i="20"/>
  <c r="BG90" i="20"/>
  <c r="AU90" i="20"/>
  <c r="BF90" i="20"/>
  <c r="BI90" i="20"/>
  <c r="BJ90" i="20" s="1"/>
  <c r="BQ90" i="20" s="1"/>
  <c r="BS90" i="20" s="1"/>
  <c r="BW90" i="20"/>
  <c r="BY77" i="20"/>
  <c r="BD76" i="20"/>
  <c r="BC76" i="20"/>
  <c r="BW75" i="20"/>
  <c r="BG75" i="20"/>
  <c r="AU75" i="20"/>
  <c r="BE75" i="20"/>
  <c r="BI75" i="20"/>
  <c r="BJ75" i="20" s="1"/>
  <c r="BQ75" i="20" s="1"/>
  <c r="BS75" i="20" s="1"/>
  <c r="BF75" i="20"/>
  <c r="BY64" i="20"/>
  <c r="BZ59" i="20"/>
  <c r="BX59" i="20"/>
  <c r="CA59" i="20" s="1"/>
  <c r="BG59" i="20"/>
  <c r="BF52" i="20"/>
  <c r="BE52" i="20"/>
  <c r="BO52" i="20" s="1"/>
  <c r="BF13" i="20"/>
  <c r="BE13" i="20"/>
  <c r="BW13" i="20"/>
  <c r="AU13" i="20"/>
  <c r="BG13" i="20"/>
  <c r="P15" i="21"/>
  <c r="BI13" i="20"/>
  <c r="BJ13" i="20" s="1"/>
  <c r="BQ13" i="20" s="1"/>
  <c r="BS13" i="20" s="1"/>
  <c r="BE12" i="20"/>
  <c r="BW12" i="20"/>
  <c r="BI12" i="20"/>
  <c r="BJ12" i="20" s="1"/>
  <c r="BQ12" i="20" s="1"/>
  <c r="BS12" i="20" s="1"/>
  <c r="BF12" i="20"/>
  <c r="X7" i="20"/>
  <c r="AA7" i="20"/>
  <c r="AQ7" i="20" s="1"/>
  <c r="BF60" i="20"/>
  <c r="BI60" i="20"/>
  <c r="BJ60" i="20" s="1"/>
  <c r="BQ60" i="20" s="1"/>
  <c r="BS60" i="20" s="1"/>
  <c r="BE60" i="20"/>
  <c r="BG60" i="20"/>
  <c r="AU60" i="20"/>
  <c r="BW60" i="20"/>
  <c r="BF54" i="20"/>
  <c r="BI54" i="20"/>
  <c r="BJ54" i="20" s="1"/>
  <c r="BQ54" i="20" s="1"/>
  <c r="BS54" i="20" s="1"/>
  <c r="AU54" i="20"/>
  <c r="BG54" i="20"/>
  <c r="BW54" i="20"/>
  <c r="BE54" i="20"/>
  <c r="BO51" i="20"/>
  <c r="BU51" i="20"/>
  <c r="BO42" i="20"/>
  <c r="BU42" i="20"/>
  <c r="BF16" i="20"/>
  <c r="BI16" i="20"/>
  <c r="BJ16" i="20" s="1"/>
  <c r="BQ16" i="20" s="1"/>
  <c r="BS16" i="20" s="1"/>
  <c r="BW16" i="20"/>
  <c r="AU16" i="20"/>
  <c r="BG16" i="20"/>
  <c r="BE16" i="20"/>
  <c r="AU14" i="20"/>
  <c r="BF14" i="20"/>
  <c r="BW14" i="20"/>
  <c r="BE14" i="20"/>
  <c r="BG14" i="20"/>
  <c r="BI14" i="20"/>
  <c r="BJ14" i="20" s="1"/>
  <c r="BQ14" i="20" s="1"/>
  <c r="BS14" i="20" s="1"/>
  <c r="BG8" i="20"/>
  <c r="BI8" i="20"/>
  <c r="BJ8" i="20" s="1"/>
  <c r="BQ8" i="20" s="1"/>
  <c r="BS8" i="20" s="1"/>
  <c r="BE8" i="20"/>
  <c r="AU8" i="20"/>
  <c r="BF8" i="20"/>
  <c r="BW8" i="20"/>
  <c r="BF5" i="20"/>
  <c r="AU5" i="20"/>
  <c r="BI5" i="20"/>
  <c r="BJ5" i="20" s="1"/>
  <c r="BQ5" i="20" s="1"/>
  <c r="BS5" i="20" s="1"/>
  <c r="BW5" i="20"/>
  <c r="BE5" i="20"/>
  <c r="BG5" i="20"/>
  <c r="BU4" i="20"/>
  <c r="BO4" i="20"/>
  <c r="BP43" i="22" l="1"/>
  <c r="BP44" i="22"/>
  <c r="BV44" i="22"/>
  <c r="BU44" i="22"/>
  <c r="BX44" i="22" s="1"/>
  <c r="BV43" i="22"/>
  <c r="BU43" i="22"/>
  <c r="BX43" i="22" s="1"/>
  <c r="BS11" i="20"/>
  <c r="BY11" i="20"/>
  <c r="BX11" i="20"/>
  <c r="CA11" i="20" s="1"/>
  <c r="BS99" i="20"/>
  <c r="X226" i="20"/>
  <c r="BM175" i="20"/>
  <c r="BF175" i="20" s="1"/>
  <c r="BR8" i="22"/>
  <c r="BR9" i="22"/>
  <c r="BY99" i="20"/>
  <c r="BX99" i="20"/>
  <c r="CA99" i="20" s="1"/>
  <c r="BP37" i="22"/>
  <c r="BU37" i="22"/>
  <c r="BX37" i="22" s="1"/>
  <c r="BV37" i="22"/>
  <c r="BP33" i="22"/>
  <c r="BP9" i="22"/>
  <c r="AZ11" i="22"/>
  <c r="BV33" i="22"/>
  <c r="BU33" i="22"/>
  <c r="BX33" i="22" s="1"/>
  <c r="X158" i="20"/>
  <c r="BM131" i="20"/>
  <c r="BF131" i="20" s="1"/>
  <c r="BS136" i="20"/>
  <c r="BY136" i="20"/>
  <c r="BX136" i="20"/>
  <c r="CA136" i="20" s="1"/>
  <c r="BP27" i="22"/>
  <c r="BU27" i="22"/>
  <c r="BX27" i="22" s="1"/>
  <c r="BV27" i="22"/>
  <c r="BU132" i="20"/>
  <c r="BO132" i="20"/>
  <c r="BY132" i="20"/>
  <c r="BX132" i="20"/>
  <c r="CA132" i="20" s="1"/>
  <c r="BS157" i="20"/>
  <c r="BO139" i="20"/>
  <c r="BU139" i="20"/>
  <c r="BY139" i="20" s="1"/>
  <c r="BX139" i="20"/>
  <c r="BS225" i="20"/>
  <c r="BF127" i="20"/>
  <c r="BE108" i="20"/>
  <c r="BU108" i="20" s="1"/>
  <c r="BG127" i="20"/>
  <c r="AU108" i="20"/>
  <c r="BC108" i="20" s="1"/>
  <c r="BY225" i="20"/>
  <c r="BX225" i="20"/>
  <c r="CA225" i="20" s="1"/>
  <c r="BF108" i="20"/>
  <c r="BX157" i="20"/>
  <c r="CA157" i="20" s="1"/>
  <c r="BY157" i="20"/>
  <c r="BD127" i="20"/>
  <c r="BW127" i="20"/>
  <c r="BZ127" i="20" s="1"/>
  <c r="BI127" i="20"/>
  <c r="BJ127" i="20" s="1"/>
  <c r="BQ127" i="20" s="1"/>
  <c r="BS127" i="20" s="1"/>
  <c r="BV24" i="22"/>
  <c r="BU24" i="22"/>
  <c r="BX24" i="22" s="1"/>
  <c r="BA8" i="22"/>
  <c r="BL25" i="22"/>
  <c r="BR25" i="22"/>
  <c r="BV25" i="22"/>
  <c r="BU25" i="22"/>
  <c r="BX25" i="22" s="1"/>
  <c r="BL24" i="22"/>
  <c r="BR24" i="22"/>
  <c r="BE127" i="20"/>
  <c r="BO127" i="20" s="1"/>
  <c r="X120" i="20"/>
  <c r="BL6" i="22"/>
  <c r="BU10" i="22"/>
  <c r="BX10" i="22" s="1"/>
  <c r="BO151" i="20"/>
  <c r="BU76" i="20"/>
  <c r="BL5" i="22"/>
  <c r="BS135" i="20"/>
  <c r="BX135" i="20"/>
  <c r="CA135" i="20" s="1"/>
  <c r="BY135" i="20"/>
  <c r="BC113" i="20"/>
  <c r="BU100" i="20"/>
  <c r="BZ40" i="20"/>
  <c r="BU188" i="20"/>
  <c r="BX187" i="20"/>
  <c r="CA187" i="20" s="1"/>
  <c r="BA9" i="22"/>
  <c r="BC177" i="20"/>
  <c r="BC196" i="20"/>
  <c r="BR7" i="22"/>
  <c r="BG11" i="22"/>
  <c r="BN11" i="22" s="1"/>
  <c r="BP11" i="22" s="1"/>
  <c r="BU179" i="20"/>
  <c r="BX133" i="20"/>
  <c r="CA133" i="20" s="1"/>
  <c r="BS21" i="20"/>
  <c r="BX102" i="20"/>
  <c r="CA102" i="20" s="1"/>
  <c r="BS43" i="20"/>
  <c r="BO98" i="20"/>
  <c r="BO109" i="20"/>
  <c r="BO112" i="20"/>
  <c r="BG169" i="20"/>
  <c r="BS114" i="20"/>
  <c r="BS98" i="20"/>
  <c r="BD112" i="20"/>
  <c r="BU29" i="20"/>
  <c r="BS151" i="20"/>
  <c r="BC77" i="20"/>
  <c r="BD169" i="20"/>
  <c r="BU86" i="20"/>
  <c r="BU164" i="20"/>
  <c r="BS49" i="20"/>
  <c r="BS202" i="20"/>
  <c r="BE169" i="20"/>
  <c r="BU169" i="20" s="1"/>
  <c r="BS17" i="20"/>
  <c r="BS100" i="20"/>
  <c r="BC109" i="20"/>
  <c r="BO39" i="20"/>
  <c r="BS113" i="20"/>
  <c r="BD39" i="20"/>
  <c r="BZ76" i="20"/>
  <c r="BU113" i="20"/>
  <c r="BC49" i="20"/>
  <c r="BS87" i="20"/>
  <c r="BU26" i="20"/>
  <c r="BX52" i="20"/>
  <c r="CA52" i="20" s="1"/>
  <c r="BC141" i="20"/>
  <c r="BO133" i="20"/>
  <c r="BZ192" i="20"/>
  <c r="BS179" i="20"/>
  <c r="BP6" i="22"/>
  <c r="BS145" i="20"/>
  <c r="BS79" i="20"/>
  <c r="BX178" i="20"/>
  <c r="CA178" i="20" s="1"/>
  <c r="BX97" i="20"/>
  <c r="CA97" i="20" s="1"/>
  <c r="BD55" i="20"/>
  <c r="BD118" i="20"/>
  <c r="BS2" i="20"/>
  <c r="BP18" i="22"/>
  <c r="CA37" i="20"/>
  <c r="BO55" i="20"/>
  <c r="BU27" i="20"/>
  <c r="BC31" i="20"/>
  <c r="BC201" i="20"/>
  <c r="BS26" i="20"/>
  <c r="BS56" i="20"/>
  <c r="BY133" i="20"/>
  <c r="BD154" i="20"/>
  <c r="BO154" i="20"/>
  <c r="BS154" i="20"/>
  <c r="BS9" i="20"/>
  <c r="BO69" i="20"/>
  <c r="BD34" i="20"/>
  <c r="BU205" i="20"/>
  <c r="BS29" i="20"/>
  <c r="BU145" i="20"/>
  <c r="BO202" i="20"/>
  <c r="BC179" i="20"/>
  <c r="BS20" i="20"/>
  <c r="BD42" i="20"/>
  <c r="BD174" i="20"/>
  <c r="BD3" i="20"/>
  <c r="BQ192" i="20"/>
  <c r="BS192" i="20" s="1"/>
  <c r="BI169" i="20"/>
  <c r="BJ169" i="20" s="1"/>
  <c r="BQ169" i="20" s="1"/>
  <c r="BS169" i="20" s="1"/>
  <c r="BF169" i="20"/>
  <c r="BD94" i="20"/>
  <c r="BC205" i="20"/>
  <c r="BX177" i="20"/>
  <c r="CA177" i="20" s="1"/>
  <c r="BU14" i="22"/>
  <c r="BX14" i="22" s="1"/>
  <c r="BW169" i="20"/>
  <c r="BC204" i="20"/>
  <c r="BD59" i="20"/>
  <c r="BX49" i="20"/>
  <c r="CA49" i="20" s="1"/>
  <c r="BX192" i="20"/>
  <c r="CA192" i="20" s="1"/>
  <c r="BC202" i="20"/>
  <c r="BD202" i="20"/>
  <c r="BY78" i="20"/>
  <c r="BX78" i="20"/>
  <c r="CA78" i="20" s="1"/>
  <c r="BA14" i="22"/>
  <c r="BL10" i="22"/>
  <c r="BD195" i="20"/>
  <c r="BU9" i="22"/>
  <c r="BX9" i="22" s="1"/>
  <c r="BD102" i="20"/>
  <c r="BU18" i="22"/>
  <c r="BX18" i="22" s="1"/>
  <c r="BV18" i="22"/>
  <c r="BS149" i="20"/>
  <c r="BL11" i="22"/>
  <c r="BU37" i="20"/>
  <c r="BS28" i="20"/>
  <c r="BC133" i="20"/>
  <c r="BP7" i="22"/>
  <c r="BY37" i="20"/>
  <c r="BU78" i="20"/>
  <c r="BO78" i="20"/>
  <c r="BO25" i="20"/>
  <c r="BZ37" i="20"/>
  <c r="BO96" i="20"/>
  <c r="BS144" i="20"/>
  <c r="BG195" i="20"/>
  <c r="BW195" i="20" s="1"/>
  <c r="BZ195" i="20" s="1"/>
  <c r="BU194" i="20"/>
  <c r="BO150" i="20"/>
  <c r="BD52" i="20"/>
  <c r="BU6" i="22"/>
  <c r="BX6" i="22" s="1"/>
  <c r="BX77" i="20"/>
  <c r="CA77" i="20" s="1"/>
  <c r="BS34" i="20"/>
  <c r="BX34" i="20"/>
  <c r="CA34" i="20" s="1"/>
  <c r="BD194" i="20"/>
  <c r="BJ195" i="20"/>
  <c r="BQ195" i="20" s="1"/>
  <c r="BS195" i="20" s="1"/>
  <c r="BD156" i="20"/>
  <c r="BX33" i="20"/>
  <c r="CA33" i="20" s="1"/>
  <c r="BX29" i="20"/>
  <c r="CA29" i="20" s="1"/>
  <c r="BU97" i="20"/>
  <c r="BU152" i="20"/>
  <c r="BO177" i="20"/>
  <c r="BZ138" i="20"/>
  <c r="BU201" i="20"/>
  <c r="BD38" i="20"/>
  <c r="BS204" i="20"/>
  <c r="BZ51" i="20"/>
  <c r="BX20" i="20"/>
  <c r="CA20" i="20" s="1"/>
  <c r="BU193" i="20"/>
  <c r="BS23" i="20"/>
  <c r="BS148" i="20"/>
  <c r="BO59" i="20"/>
  <c r="BD134" i="20"/>
  <c r="BS112" i="20"/>
  <c r="BX87" i="20"/>
  <c r="CA87" i="20" s="1"/>
  <c r="BO178" i="20"/>
  <c r="BC17" i="20"/>
  <c r="BO134" i="20"/>
  <c r="BU195" i="20"/>
  <c r="BC180" i="20"/>
  <c r="BX64" i="20"/>
  <c r="CA64" i="20" s="1"/>
  <c r="BD96" i="20"/>
  <c r="BX43" i="20"/>
  <c r="CA43" i="20" s="1"/>
  <c r="BS143" i="20"/>
  <c r="BX174" i="20"/>
  <c r="CA174" i="20" s="1"/>
  <c r="BP5" i="22"/>
  <c r="BS48" i="20"/>
  <c r="BD58" i="20"/>
  <c r="BS10" i="20"/>
  <c r="AZ10" i="22"/>
  <c r="BW11" i="22"/>
  <c r="BP8" i="22"/>
  <c r="BV17" i="22"/>
  <c r="BU17" i="22"/>
  <c r="BX17" i="22" s="1"/>
  <c r="BU52" i="20"/>
  <c r="BX152" i="20"/>
  <c r="CA152" i="20" s="1"/>
  <c r="BS180" i="20"/>
  <c r="BX48" i="20"/>
  <c r="CA48" i="20" s="1"/>
  <c r="BS164" i="20"/>
  <c r="BP17" i="22"/>
  <c r="BD51" i="20"/>
  <c r="BX196" i="20"/>
  <c r="CA196" i="20" s="1"/>
  <c r="BS119" i="20"/>
  <c r="BS41" i="20"/>
  <c r="BS68" i="20"/>
  <c r="BU110" i="20"/>
  <c r="BO81" i="20"/>
  <c r="BS3" i="20"/>
  <c r="BC193" i="20"/>
  <c r="BU11" i="22"/>
  <c r="BX11" i="22" s="1"/>
  <c r="BX179" i="20"/>
  <c r="CA179" i="20" s="1"/>
  <c r="BJ108" i="20"/>
  <c r="BQ108" i="20" s="1"/>
  <c r="BS108" i="20" s="1"/>
  <c r="BS27" i="20"/>
  <c r="BD198" i="20"/>
  <c r="BO141" i="20"/>
  <c r="BU33" i="20"/>
  <c r="BS53" i="20"/>
  <c r="BZ193" i="20"/>
  <c r="BO198" i="20"/>
  <c r="BC151" i="20"/>
  <c r="BS141" i="20"/>
  <c r="BZ58" i="20"/>
  <c r="BY108" i="20"/>
  <c r="BG108" i="20"/>
  <c r="BW108" i="20" s="1"/>
  <c r="BX108" i="20" s="1"/>
  <c r="CA108" i="20" s="1"/>
  <c r="BU126" i="20"/>
  <c r="BX194" i="20"/>
  <c r="CA194" i="20" s="1"/>
  <c r="BY34" i="20"/>
  <c r="BS88" i="20"/>
  <c r="BX42" i="20"/>
  <c r="CA42" i="20" s="1"/>
  <c r="BU58" i="20"/>
  <c r="BD81" i="20"/>
  <c r="BD25" i="20"/>
  <c r="BD138" i="20"/>
  <c r="BC89" i="20"/>
  <c r="BX10" i="20"/>
  <c r="CA10" i="20" s="1"/>
  <c r="BO43" i="20"/>
  <c r="BS86" i="20"/>
  <c r="BY48" i="20"/>
  <c r="BD43" i="20"/>
  <c r="BD80" i="20"/>
  <c r="BU49" i="20"/>
  <c r="BS33" i="20"/>
  <c r="BD110" i="20"/>
  <c r="BC110" i="20"/>
  <c r="BD33" i="20"/>
  <c r="BD148" i="20"/>
  <c r="BX96" i="20"/>
  <c r="CA96" i="20" s="1"/>
  <c r="X70" i="20"/>
  <c r="BJ25" i="20"/>
  <c r="BQ25" i="20" s="1"/>
  <c r="BS25" i="20" s="1"/>
  <c r="BS69" i="20"/>
  <c r="BC98" i="20"/>
  <c r="BS109" i="20"/>
  <c r="BU80" i="20"/>
  <c r="BJ150" i="20"/>
  <c r="BQ150" i="20" s="1"/>
  <c r="BS150" i="20" s="1"/>
  <c r="BX141" i="20"/>
  <c r="CA141" i="20" s="1"/>
  <c r="O15" i="21"/>
  <c r="BS155" i="20"/>
  <c r="BX98" i="20"/>
  <c r="CA98" i="20" s="1"/>
  <c r="BS188" i="20"/>
  <c r="BP16" i="22"/>
  <c r="BV31" i="20"/>
  <c r="BY31" i="20" s="1"/>
  <c r="BG31" i="20"/>
  <c r="BW31" i="20" s="1"/>
  <c r="BD203" i="20"/>
  <c r="BC203" i="20"/>
  <c r="BS146" i="20"/>
  <c r="BD68" i="20"/>
  <c r="BC68" i="20"/>
  <c r="BU40" i="20"/>
  <c r="BS38" i="20"/>
  <c r="BD91" i="20"/>
  <c r="BO140" i="20"/>
  <c r="BY68" i="20"/>
  <c r="BX68" i="20"/>
  <c r="CA68" i="20" s="1"/>
  <c r="BX91" i="20"/>
  <c r="CA91" i="20" s="1"/>
  <c r="BO91" i="20"/>
  <c r="BC10" i="20"/>
  <c r="BV16" i="22"/>
  <c r="BU16" i="22"/>
  <c r="BX16" i="22" s="1"/>
  <c r="BY110" i="20"/>
  <c r="BX110" i="20"/>
  <c r="CA110" i="20" s="1"/>
  <c r="BO68" i="20"/>
  <c r="BU68" i="20"/>
  <c r="BJ31" i="20"/>
  <c r="BQ31" i="20" s="1"/>
  <c r="BS31" i="20" s="1"/>
  <c r="BD29" i="20"/>
  <c r="BZ29" i="20"/>
  <c r="BU187" i="20"/>
  <c r="BD83" i="20"/>
  <c r="BX94" i="20"/>
  <c r="CA94" i="20" s="1"/>
  <c r="BU7" i="22"/>
  <c r="BX7" i="22" s="1"/>
  <c r="BV7" i="22"/>
  <c r="BW13" i="22"/>
  <c r="BU13" i="22"/>
  <c r="BX13" i="22" s="1"/>
  <c r="BZ203" i="20"/>
  <c r="BX203" i="20"/>
  <c r="CA203" i="20" s="1"/>
  <c r="BY145" i="20"/>
  <c r="BX145" i="20"/>
  <c r="CA145" i="20" s="1"/>
  <c r="BV150" i="20"/>
  <c r="BG150" i="20"/>
  <c r="BW150" i="20" s="1"/>
  <c r="BZ150" i="20" s="1"/>
  <c r="BU8" i="22"/>
  <c r="BX8" i="22" s="1"/>
  <c r="BV8" i="22"/>
  <c r="BC12" i="20"/>
  <c r="BD64" i="20"/>
  <c r="BS187" i="20"/>
  <c r="BD23" i="20"/>
  <c r="BC23" i="20"/>
  <c r="BX126" i="20"/>
  <c r="CA126" i="20" s="1"/>
  <c r="BX9" i="20"/>
  <c r="CA9" i="20" s="1"/>
  <c r="BA13" i="22"/>
  <c r="AZ13" i="22"/>
  <c r="BC40" i="20"/>
  <c r="BX198" i="20"/>
  <c r="CA198" i="20" s="1"/>
  <c r="BO2" i="20"/>
  <c r="BX154" i="20"/>
  <c r="CA154" i="20" s="1"/>
  <c r="X165" i="20"/>
  <c r="AA165" i="20"/>
  <c r="AQ165" i="20" s="1"/>
  <c r="BO31" i="20"/>
  <c r="BU31" i="20"/>
  <c r="BX119" i="20"/>
  <c r="CA119" i="20" s="1"/>
  <c r="BO144" i="20"/>
  <c r="BU144" i="20"/>
  <c r="BU23" i="20"/>
  <c r="BO23" i="20"/>
  <c r="BC2" i="20"/>
  <c r="BD2" i="20"/>
  <c r="BG25" i="20"/>
  <c r="BW25" i="20" s="1"/>
  <c r="BZ25" i="20" s="1"/>
  <c r="BV25" i="20"/>
  <c r="BC144" i="20"/>
  <c r="BD144" i="20"/>
  <c r="BO203" i="20"/>
  <c r="BU203" i="20"/>
  <c r="BY188" i="20"/>
  <c r="BX188" i="20"/>
  <c r="CA188" i="20" s="1"/>
  <c r="BL13" i="22"/>
  <c r="BR13" i="22"/>
  <c r="BU12" i="22"/>
  <c r="BX12" i="22" s="1"/>
  <c r="BO64" i="20"/>
  <c r="BU64" i="20"/>
  <c r="BS107" i="20"/>
  <c r="BR12" i="22"/>
  <c r="BL12" i="22"/>
  <c r="BC152" i="20"/>
  <c r="BD152" i="20"/>
  <c r="BP4" i="22"/>
  <c r="BO192" i="20"/>
  <c r="BX23" i="20"/>
  <c r="CA23" i="20" s="1"/>
  <c r="BF57" i="20"/>
  <c r="BI57" i="20"/>
  <c r="BJ57" i="20" s="1"/>
  <c r="BQ57" i="20" s="1"/>
  <c r="BS57" i="20" s="1"/>
  <c r="AU57" i="20"/>
  <c r="BG57" i="20"/>
  <c r="BW57" i="20" s="1"/>
  <c r="BZ57" i="20" s="1"/>
  <c r="AZ5" i="22"/>
  <c r="BA5" i="22"/>
  <c r="BU200" i="20"/>
  <c r="BO200" i="20"/>
  <c r="BC200" i="20"/>
  <c r="BD200" i="20"/>
  <c r="BZ200" i="20"/>
  <c r="BX200" i="20"/>
  <c r="CA200" i="20" s="1"/>
  <c r="BC140" i="20"/>
  <c r="BX140" i="20"/>
  <c r="CA140" i="20" s="1"/>
  <c r="BO138" i="20"/>
  <c r="BU138" i="20"/>
  <c r="BY164" i="20"/>
  <c r="BX164" i="20"/>
  <c r="CA164" i="20" s="1"/>
  <c r="BC87" i="20"/>
  <c r="BD87" i="20"/>
  <c r="BX191" i="20"/>
  <c r="CA191" i="20" s="1"/>
  <c r="BZ191" i="20"/>
  <c r="BO17" i="20"/>
  <c r="BU17" i="20"/>
  <c r="BC107" i="20"/>
  <c r="BD107" i="20"/>
  <c r="BU38" i="20"/>
  <c r="BO38" i="20"/>
  <c r="BY39" i="20"/>
  <c r="BX39" i="20"/>
  <c r="CA39" i="20" s="1"/>
  <c r="BY79" i="20"/>
  <c r="BX79" i="20"/>
  <c r="CA79" i="20" s="1"/>
  <c r="BO83" i="20"/>
  <c r="BU83" i="20"/>
  <c r="BY2" i="20"/>
  <c r="BX2" i="20"/>
  <c r="CA2" i="20" s="1"/>
  <c r="BX28" i="20"/>
  <c r="CA28" i="20" s="1"/>
  <c r="AU131" i="20"/>
  <c r="BI131" i="20"/>
  <c r="BJ131" i="20" s="1"/>
  <c r="BQ131" i="20" s="1"/>
  <c r="BS131" i="20" s="1"/>
  <c r="BW131" i="20"/>
  <c r="BE131" i="20"/>
  <c r="BG131" i="20"/>
  <c r="BU57" i="20"/>
  <c r="BO57" i="20"/>
  <c r="BX180" i="20"/>
  <c r="CA180" i="20" s="1"/>
  <c r="BY180" i="20"/>
  <c r="BX53" i="20"/>
  <c r="CA53" i="20" s="1"/>
  <c r="BO28" i="20"/>
  <c r="BU28" i="20"/>
  <c r="BY26" i="20"/>
  <c r="BX26" i="20"/>
  <c r="CA26" i="20" s="1"/>
  <c r="BC27" i="20"/>
  <c r="BD27" i="20"/>
  <c r="BU118" i="20"/>
  <c r="BO118" i="20"/>
  <c r="BX41" i="20"/>
  <c r="CA41" i="20" s="1"/>
  <c r="BZ41" i="20"/>
  <c r="BG134" i="20"/>
  <c r="BW134" i="20" s="1"/>
  <c r="BZ134" i="20" s="1"/>
  <c r="BV134" i="20"/>
  <c r="BC69" i="20"/>
  <c r="BD69" i="20"/>
  <c r="BO189" i="20"/>
  <c r="BU189" i="20"/>
  <c r="BD28" i="20"/>
  <c r="BC28" i="20"/>
  <c r="BY204" i="20"/>
  <c r="BX204" i="20"/>
  <c r="CA204" i="20" s="1"/>
  <c r="BV5" i="22"/>
  <c r="BU5" i="22"/>
  <c r="BX5" i="22" s="1"/>
  <c r="BX202" i="20"/>
  <c r="CA202" i="20" s="1"/>
  <c r="BY202" i="20"/>
  <c r="BY195" i="20"/>
  <c r="BU53" i="20"/>
  <c r="BO53" i="20"/>
  <c r="BR134" i="20"/>
  <c r="BJ134" i="20"/>
  <c r="BQ134" i="20" s="1"/>
  <c r="BX189" i="20"/>
  <c r="CA189" i="20" s="1"/>
  <c r="BO88" i="20"/>
  <c r="BU88" i="20"/>
  <c r="BS133" i="20"/>
  <c r="BU84" i="20"/>
  <c r="BO84" i="20"/>
  <c r="BY57" i="20"/>
  <c r="BX114" i="20"/>
  <c r="CA114" i="20" s="1"/>
  <c r="BO148" i="20"/>
  <c r="BU148" i="20"/>
  <c r="BD191" i="20"/>
  <c r="BC191" i="20"/>
  <c r="BO89" i="20"/>
  <c r="BU89" i="20"/>
  <c r="BC86" i="20"/>
  <c r="BD86" i="20"/>
  <c r="BO3" i="20"/>
  <c r="BU3" i="20"/>
  <c r="BC168" i="20"/>
  <c r="BD168" i="20"/>
  <c r="AU175" i="20"/>
  <c r="BI175" i="20"/>
  <c r="BJ175" i="20" s="1"/>
  <c r="BQ175" i="20" s="1"/>
  <c r="BS175" i="20" s="1"/>
  <c r="BW175" i="20"/>
  <c r="BG175" i="20"/>
  <c r="BE175" i="20"/>
  <c r="BG89" i="20"/>
  <c r="BW89" i="20" s="1"/>
  <c r="BZ89" i="20" s="1"/>
  <c r="BV89" i="20"/>
  <c r="BG118" i="20"/>
  <c r="BW118" i="20" s="1"/>
  <c r="BZ118" i="20" s="1"/>
  <c r="BV118" i="20"/>
  <c r="BU20" i="20"/>
  <c r="BO20" i="20"/>
  <c r="BU119" i="20"/>
  <c r="BO119" i="20"/>
  <c r="BC9" i="20"/>
  <c r="BD9" i="20"/>
  <c r="BZ168" i="20"/>
  <c r="BX168" i="20"/>
  <c r="CA168" i="20" s="1"/>
  <c r="BZ153" i="20"/>
  <c r="BX153" i="20"/>
  <c r="CA153" i="20" s="1"/>
  <c r="BY86" i="20"/>
  <c r="BX86" i="20"/>
  <c r="CA86" i="20" s="1"/>
  <c r="BY148" i="20"/>
  <c r="BX148" i="20"/>
  <c r="CA148" i="20" s="1"/>
  <c r="BX190" i="20"/>
  <c r="CA190" i="20" s="1"/>
  <c r="BZ190" i="20"/>
  <c r="BU4" i="22"/>
  <c r="BX4" i="22" s="1"/>
  <c r="BV4" i="22"/>
  <c r="BU168" i="20"/>
  <c r="BO168" i="20"/>
  <c r="BY201" i="20"/>
  <c r="BX201" i="20"/>
  <c r="CA201" i="20" s="1"/>
  <c r="BR89" i="20"/>
  <c r="BJ89" i="20"/>
  <c r="BQ89" i="20" s="1"/>
  <c r="BY155" i="20"/>
  <c r="BX155" i="20"/>
  <c r="CA155" i="20" s="1"/>
  <c r="BO146" i="20"/>
  <c r="BU146" i="20"/>
  <c r="BY144" i="20"/>
  <c r="BX144" i="20"/>
  <c r="CA144" i="20" s="1"/>
  <c r="BO41" i="20"/>
  <c r="BU41" i="20"/>
  <c r="BY109" i="20"/>
  <c r="BX109" i="20"/>
  <c r="CA109" i="20" s="1"/>
  <c r="BD88" i="20"/>
  <c r="BC88" i="20"/>
  <c r="BU180" i="20"/>
  <c r="BO180" i="20"/>
  <c r="BU34" i="20"/>
  <c r="BO34" i="20"/>
  <c r="BZ83" i="20"/>
  <c r="BX83" i="20"/>
  <c r="CA83" i="20" s="1"/>
  <c r="BC48" i="20"/>
  <c r="BD48" i="20"/>
  <c r="BU176" i="20"/>
  <c r="BO176" i="20"/>
  <c r="BY143" i="20"/>
  <c r="BX143" i="20"/>
  <c r="CA143" i="20" s="1"/>
  <c r="BO155" i="20"/>
  <c r="BU155" i="20"/>
  <c r="BX149" i="20"/>
  <c r="CA149" i="20" s="1"/>
  <c r="BY149" i="20"/>
  <c r="BO94" i="20"/>
  <c r="AU173" i="20"/>
  <c r="BI173" i="20"/>
  <c r="BJ173" i="20" s="1"/>
  <c r="BQ173" i="20" s="1"/>
  <c r="BS173" i="20" s="1"/>
  <c r="BG173" i="20"/>
  <c r="BW173" i="20"/>
  <c r="BF173" i="20"/>
  <c r="BE173" i="20"/>
  <c r="BU153" i="20"/>
  <c r="BO153" i="20"/>
  <c r="BU85" i="20"/>
  <c r="BO85" i="20"/>
  <c r="BU143" i="20"/>
  <c r="BO143" i="20"/>
  <c r="BC155" i="20"/>
  <c r="BD155" i="20"/>
  <c r="BU21" i="20"/>
  <c r="BO21" i="20"/>
  <c r="BC53" i="20"/>
  <c r="BD53" i="20"/>
  <c r="BC189" i="20"/>
  <c r="BD189" i="20"/>
  <c r="BU87" i="20"/>
  <c r="BO87" i="20"/>
  <c r="BZ84" i="20"/>
  <c r="BX84" i="20"/>
  <c r="CA84" i="20" s="1"/>
  <c r="BL4" i="22"/>
  <c r="BR4" i="22"/>
  <c r="BX69" i="20"/>
  <c r="CA69" i="20" s="1"/>
  <c r="BY69" i="20"/>
  <c r="BJ118" i="20"/>
  <c r="BQ118" i="20" s="1"/>
  <c r="BR118" i="20"/>
  <c r="BO107" i="20"/>
  <c r="BU107" i="20"/>
  <c r="BZ146" i="20"/>
  <c r="BX146" i="20"/>
  <c r="CA146" i="20" s="1"/>
  <c r="BZ176" i="20"/>
  <c r="BX176" i="20"/>
  <c r="CA176" i="20" s="1"/>
  <c r="BU9" i="20"/>
  <c r="BO9" i="20"/>
  <c r="BY100" i="20"/>
  <c r="BX100" i="20"/>
  <c r="CA100" i="20" s="1"/>
  <c r="BE170" i="20"/>
  <c r="BW170" i="20"/>
  <c r="BI170" i="20"/>
  <c r="BJ170" i="20" s="1"/>
  <c r="BQ170" i="20" s="1"/>
  <c r="BS170" i="20" s="1"/>
  <c r="BG170" i="20"/>
  <c r="AU170" i="20"/>
  <c r="BF170" i="20"/>
  <c r="BD176" i="20"/>
  <c r="BC176" i="20"/>
  <c r="BY151" i="20"/>
  <c r="BX151" i="20"/>
  <c r="CA151" i="20" s="1"/>
  <c r="BO190" i="20"/>
  <c r="BU190" i="20"/>
  <c r="BU48" i="20"/>
  <c r="BO48" i="20"/>
  <c r="BS39" i="20"/>
  <c r="BY113" i="20"/>
  <c r="BX113" i="20"/>
  <c r="CA113" i="20" s="1"/>
  <c r="BC85" i="20"/>
  <c r="BD85" i="20"/>
  <c r="BD84" i="20"/>
  <c r="BC84" i="20"/>
  <c r="BY38" i="20"/>
  <c r="BX38" i="20"/>
  <c r="CA38" i="20" s="1"/>
  <c r="BS110" i="20"/>
  <c r="BO191" i="20"/>
  <c r="BU191" i="20"/>
  <c r="BZ55" i="20"/>
  <c r="BX55" i="20"/>
  <c r="CA55" i="20" s="1"/>
  <c r="BC20" i="20"/>
  <c r="BD20" i="20"/>
  <c r="BZ107" i="20"/>
  <c r="BX107" i="20"/>
  <c r="CA107" i="20" s="1"/>
  <c r="BC119" i="20"/>
  <c r="BD119" i="20"/>
  <c r="BD146" i="20"/>
  <c r="BC146" i="20"/>
  <c r="BX88" i="20"/>
  <c r="CA88" i="20" s="1"/>
  <c r="BD41" i="20"/>
  <c r="BC41" i="20"/>
  <c r="BD190" i="20"/>
  <c r="BC190" i="20"/>
  <c r="BY56" i="20"/>
  <c r="BX56" i="20"/>
  <c r="CA56" i="20" s="1"/>
  <c r="BY27" i="20"/>
  <c r="BX27" i="20"/>
  <c r="CA27" i="20" s="1"/>
  <c r="BX3" i="20"/>
  <c r="CA3" i="20" s="1"/>
  <c r="BY3" i="20"/>
  <c r="BO204" i="20"/>
  <c r="BU204" i="20"/>
  <c r="BD153" i="20"/>
  <c r="BC153" i="20"/>
  <c r="BY165" i="20"/>
  <c r="BX21" i="20"/>
  <c r="CA21" i="20" s="1"/>
  <c r="BX17" i="20"/>
  <c r="CA17" i="20" s="1"/>
  <c r="BU10" i="20"/>
  <c r="BO10" i="20"/>
  <c r="BY112" i="20"/>
  <c r="BX112" i="20"/>
  <c r="CA112" i="20" s="1"/>
  <c r="BY156" i="20"/>
  <c r="BX156" i="20"/>
  <c r="CA156" i="20" s="1"/>
  <c r="BF93" i="20"/>
  <c r="BG93" i="20"/>
  <c r="BI93" i="20"/>
  <c r="BJ93" i="20" s="1"/>
  <c r="BQ93" i="20" s="1"/>
  <c r="BS93" i="20" s="1"/>
  <c r="BE93" i="20"/>
  <c r="BW93" i="20"/>
  <c r="AU93" i="20"/>
  <c r="AU120" i="20" s="1"/>
  <c r="BX85" i="20"/>
  <c r="CA85" i="20" s="1"/>
  <c r="BZ81" i="20"/>
  <c r="BX81" i="20"/>
  <c r="CA81" i="20" s="1"/>
  <c r="BZ101" i="20"/>
  <c r="BX101" i="20"/>
  <c r="CA101" i="20" s="1"/>
  <c r="BD101" i="20"/>
  <c r="BC101" i="20"/>
  <c r="BO101" i="20"/>
  <c r="BU101" i="20"/>
  <c r="BO92" i="20"/>
  <c r="BU92" i="20"/>
  <c r="BZ92" i="20"/>
  <c r="BX92" i="20"/>
  <c r="CA92" i="20" s="1"/>
  <c r="BC92" i="20"/>
  <c r="BD92" i="20"/>
  <c r="BZ90" i="20"/>
  <c r="BX90" i="20"/>
  <c r="CA90" i="20" s="1"/>
  <c r="BD90" i="20"/>
  <c r="BC90" i="20"/>
  <c r="BO90" i="20"/>
  <c r="BU90" i="20"/>
  <c r="BO75" i="20"/>
  <c r="BU75" i="20"/>
  <c r="BD75" i="20"/>
  <c r="BC75" i="20"/>
  <c r="BZ75" i="20"/>
  <c r="BX75" i="20"/>
  <c r="CA75" i="20" s="1"/>
  <c r="BD13" i="20"/>
  <c r="BC13" i="20"/>
  <c r="BZ13" i="20"/>
  <c r="BX13" i="20"/>
  <c r="CA13" i="20" s="1"/>
  <c r="BU13" i="20"/>
  <c r="BO13" i="20"/>
  <c r="BZ12" i="20"/>
  <c r="BX12" i="20"/>
  <c r="CA12" i="20" s="1"/>
  <c r="BU12" i="20"/>
  <c r="BO12" i="20"/>
  <c r="BI7" i="20"/>
  <c r="BJ7" i="20" s="1"/>
  <c r="BQ7" i="20" s="1"/>
  <c r="BS7" i="20" s="1"/>
  <c r="BF7" i="20"/>
  <c r="BG7" i="20"/>
  <c r="AU7" i="20"/>
  <c r="BW7" i="20"/>
  <c r="BE7" i="20"/>
  <c r="BC60" i="20"/>
  <c r="BD60" i="20"/>
  <c r="BO60" i="20"/>
  <c r="BU60" i="20"/>
  <c r="BZ60" i="20"/>
  <c r="BX60" i="20"/>
  <c r="CA60" i="20" s="1"/>
  <c r="BO54" i="20"/>
  <c r="BU54" i="20"/>
  <c r="BX54" i="20"/>
  <c r="CA54" i="20" s="1"/>
  <c r="BZ54" i="20"/>
  <c r="BD54" i="20"/>
  <c r="BC54" i="20"/>
  <c r="BZ16" i="20"/>
  <c r="BX16" i="20"/>
  <c r="CA16" i="20" s="1"/>
  <c r="BU16" i="20"/>
  <c r="BO16" i="20"/>
  <c r="BD16" i="20"/>
  <c r="BC16" i="20"/>
  <c r="BZ14" i="20"/>
  <c r="BX14" i="20"/>
  <c r="CA14" i="20" s="1"/>
  <c r="BO14" i="20"/>
  <c r="BU14" i="20"/>
  <c r="BC14" i="20"/>
  <c r="BD14" i="20"/>
  <c r="BC8" i="20"/>
  <c r="BD8" i="20"/>
  <c r="BO8" i="20"/>
  <c r="BU8" i="20"/>
  <c r="BZ8" i="20"/>
  <c r="BX8" i="20"/>
  <c r="CA8" i="20" s="1"/>
  <c r="BD5" i="20"/>
  <c r="BC5" i="20"/>
  <c r="BO5" i="20"/>
  <c r="BU5" i="20"/>
  <c r="BZ5" i="20"/>
  <c r="BX5" i="20"/>
  <c r="CA5" i="20" s="1"/>
  <c r="BZ139" i="20" l="1"/>
  <c r="BD108" i="20"/>
  <c r="BX127" i="20"/>
  <c r="CA127" i="20" s="1"/>
  <c r="CA139" i="20"/>
  <c r="BO108" i="20"/>
  <c r="BU127" i="20"/>
  <c r="BO169" i="20"/>
  <c r="BZ108" i="20"/>
  <c r="BX195" i="20"/>
  <c r="CA195" i="20" s="1"/>
  <c r="BZ169" i="20"/>
  <c r="BX169" i="20"/>
  <c r="CA169" i="20" s="1"/>
  <c r="BX31" i="20"/>
  <c r="CA31" i="20" s="1"/>
  <c r="BX57" i="20"/>
  <c r="CA57" i="20" s="1"/>
  <c r="BS118" i="20"/>
  <c r="BW165" i="20"/>
  <c r="BG165" i="20"/>
  <c r="BI165" i="20"/>
  <c r="BJ165" i="20" s="1"/>
  <c r="BQ165" i="20" s="1"/>
  <c r="BS165" i="20" s="1"/>
  <c r="AU165" i="20"/>
  <c r="BE165" i="20"/>
  <c r="BY150" i="20"/>
  <c r="BX150" i="20"/>
  <c r="CA150" i="20" s="1"/>
  <c r="X166" i="20"/>
  <c r="BM165" i="20"/>
  <c r="BF165" i="20" s="1"/>
  <c r="BD57" i="20"/>
  <c r="BC57" i="20"/>
  <c r="BX25" i="20"/>
  <c r="CA25" i="20" s="1"/>
  <c r="BY25" i="20"/>
  <c r="BS89" i="20"/>
  <c r="BZ31" i="20"/>
  <c r="AU226" i="20"/>
  <c r="BD173" i="20"/>
  <c r="BC173" i="20"/>
  <c r="BO131" i="20"/>
  <c r="BU131" i="20"/>
  <c r="BC175" i="20"/>
  <c r="BD175" i="20"/>
  <c r="BU173" i="20"/>
  <c r="BO173" i="20"/>
  <c r="BD93" i="20"/>
  <c r="BC93" i="20"/>
  <c r="BU175" i="20"/>
  <c r="BO175" i="20"/>
  <c r="BX131" i="20"/>
  <c r="CA131" i="20" s="1"/>
  <c r="BZ131" i="20"/>
  <c r="BD170" i="20"/>
  <c r="BC170" i="20"/>
  <c r="AU171" i="20"/>
  <c r="BX118" i="20"/>
  <c r="CA118" i="20" s="1"/>
  <c r="BY118" i="20"/>
  <c r="BX170" i="20"/>
  <c r="CA170" i="20" s="1"/>
  <c r="BZ170" i="20"/>
  <c r="BZ93" i="20"/>
  <c r="BX93" i="20"/>
  <c r="CA93" i="20" s="1"/>
  <c r="BZ173" i="20"/>
  <c r="BX173" i="20"/>
  <c r="CA173" i="20" s="1"/>
  <c r="BX134" i="20"/>
  <c r="CA134" i="20" s="1"/>
  <c r="BY134" i="20"/>
  <c r="BX89" i="20"/>
  <c r="CA89" i="20" s="1"/>
  <c r="BY89" i="20"/>
  <c r="BU170" i="20"/>
  <c r="BO170" i="20"/>
  <c r="BO93" i="20"/>
  <c r="BU93" i="20"/>
  <c r="BD131" i="20"/>
  <c r="BC131" i="20"/>
  <c r="AU158" i="20"/>
  <c r="BZ175" i="20"/>
  <c r="BX175" i="20"/>
  <c r="CA175" i="20" s="1"/>
  <c r="BS134" i="20"/>
  <c r="BZ7" i="20"/>
  <c r="BX7" i="20"/>
  <c r="CA7" i="20" s="1"/>
  <c r="BD7" i="20"/>
  <c r="BC7" i="20"/>
  <c r="AU70" i="20"/>
  <c r="BO7" i="20"/>
  <c r="BU7" i="20"/>
  <c r="BO165" i="20" l="1"/>
  <c r="BU165" i="20"/>
  <c r="BC165" i="20"/>
  <c r="AU166" i="20"/>
  <c r="BD165" i="20"/>
  <c r="BZ165" i="20"/>
  <c r="BX165" i="20"/>
  <c r="CA165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  <author>8257</author>
    <author>Mayank  Jain</author>
  </authors>
  <commentList>
    <comment ref="H3" authorId="0" shapeId="0" xr:uid="{3394D344-6EDB-4FA5-A10B-262EC5C15E9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O3" authorId="0" shapeId="0" xr:uid="{98942988-6416-4623-9039-E8A1A958F1E4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Z3" authorId="0" shapeId="0" xr:uid="{45F986B6-4EA0-476F-9B07-769257C8C636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N4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RFP is for 6 Years</t>
        </r>
      </text>
    </comment>
    <comment ref="AQ4" authorId="1" shapeId="0" xr:uid="{00000000-0006-0000-0000-00001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Internet link</t>
        </r>
      </text>
    </comment>
    <comment ref="Q5" authorId="2" shapeId="0" xr:uid="{00000000-0006-0000-0000-000068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6 KVA + 2 KVA</t>
        </r>
      </text>
    </comment>
    <comment ref="AQ5" authorId="2" shapeId="0" xr:uid="{00000000-0006-0000-0000-000069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Additional 2 KVA + 2 Nos of Safe vault + 9 Nos of ECC</t>
        </r>
      </text>
    </comment>
    <comment ref="AQ10" authorId="1" shapeId="0" xr:uid="{29BB205D-2492-435D-A630-21CBDDE5A4D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 Nos of FCC</t>
        </r>
      </text>
    </comment>
    <comment ref="Q11" authorId="3" shapeId="0" xr:uid="{E09CB93A-5C94-4499-B1E8-9594B4D84811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500 W</t>
        </r>
      </text>
    </comment>
    <comment ref="I17" authorId="1" shapeId="0" xr:uid="{00000000-0006-0000-0000-00000C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PO 1 for 5 Racks
</t>
        </r>
        <r>
          <rPr>
            <sz val="9"/>
            <color rgb="FF000000"/>
            <rFont val="Tahoma"/>
            <family val="2"/>
          </rPr>
          <t>PO 2 for 1 Rack</t>
        </r>
      </text>
    </comment>
    <comment ref="Q17" authorId="3" shapeId="0" xr:uid="{4415B0D4-426C-4084-8B23-C35AA01A8C18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Rack with 36 KVA
+ Addi 48.65</t>
        </r>
      </text>
    </comment>
    <comment ref="Q18" authorId="1" shapeId="0" xr:uid="{F9949873-5421-449D-9848-AA333343D8E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+ 2 KVA additional</t>
        </r>
      </text>
    </comment>
    <comment ref="AQ24" authorId="1" shapeId="0" xr:uid="{C9A975EC-A973-4D8A-B6FF-C7E3604217D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I25" authorId="1" shapeId="0" xr:uid="{C8B59540-92D1-4C36-A7A3-A7E5EC66A9A8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N25" authorId="1" shapeId="0" xr:uid="{296E33C6-18EB-492D-83B3-9CD5DB6FFEB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AQ25" authorId="1" shapeId="0" xr:uid="{E8C168D0-D7A6-4FC7-9CDA-A422CB71E039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AQ29" authorId="1" shapeId="0" xr:uid="{1B6DFE66-5D3E-4C3D-8DFA-CE09972F258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Q30" authorId="1" shapeId="0" xr:uid="{4CF0B03F-73E0-4314-8CA5-CA0562E67A1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 for ISP &amp; Google - 2 Nos</t>
        </r>
      </text>
    </comment>
    <comment ref="AQ35" authorId="3" shapeId="0" xr:uid="{2452B733-3444-4E74-AD40-B1CA78409C7C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6 FCC + SH + 100 ILL</t>
        </r>
      </text>
    </comment>
    <comment ref="AQ3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Q38" authorId="1" shapeId="0" xr:uid="{BBBE454E-7979-417E-A9FF-874C30764822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Q39" authorId="2" shapeId="0" xr:uid="{F5CED8D3-299E-4695-903A-481CB26B813F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cross connect + 1 No of Fiber cross connect</t>
        </r>
      </text>
    </comment>
    <comment ref="Q40" authorId="1" shapeId="0" xr:uid="{00000000-0006-0000-0000-00002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7.5 KW per Rack</t>
        </r>
      </text>
    </comment>
    <comment ref="I43" authorId="1" shapeId="0" xr:uid="{AF238AC7-D6FC-4436-BE07-B89A0C71F8BF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N43" authorId="1" shapeId="0" xr:uid="{D54DEE17-2424-4A92-9146-FF1E0B3ED29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Q43" authorId="1" shapeId="0" xr:uid="{18E627CD-13F6-4F14-BA20-818B3E6AFE6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+ 3 KVA +3KVA +3 KVA ADDITIONAL
</t>
        </r>
      </text>
    </comment>
    <comment ref="AQ43" authorId="1" shapeId="0" xr:uid="{A36FBB36-2A7A-4B94-BB1A-A2A02B899C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AQ44" authorId="1" shapeId="0" xr:uid="{00000000-0006-0000-0000-00005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Nos of Fiber Cross Connect</t>
        </r>
      </text>
    </comment>
    <comment ref="AQ46" authorId="1" shapeId="0" xr:uid="{B80952A2-40A3-4FF7-8E1C-9427A3BCF86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  <author>8257</author>
    <author>Mayank  Jain</author>
    <author>Sajini John Mathews</author>
  </authors>
  <commentList>
    <comment ref="K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R1" authorId="0" shapeId="0" xr:uid="{00000000-0006-0000-0000-000003000000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AC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T2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3 KVA + 5.93 KVA</t>
        </r>
      </text>
    </comment>
    <comment ref="AT2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  <comment ref="AT4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10000 for RHS + 15000 for Fiber cross connect</t>
        </r>
      </text>
    </comment>
    <comment ref="AT5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T7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additional power</t>
        </r>
      </text>
    </comment>
    <comment ref="L8" authorId="1" shapeId="0" xr:uid="{00000000-0006-0000-0000-000015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Each Rack with 3 KVA Rated power</t>
        </r>
      </text>
    </comment>
    <comment ref="AT8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T9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 Racks space reserved + CCTV AMC + 6 cross connect</t>
        </r>
      </text>
    </comment>
    <comment ref="L10" authorId="1" shapeId="0" xr:uid="{00000000-0006-0000-0000-000019000000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Q10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T10" authorId="1" shapeId="0" xr:uid="{00000000-0006-0000-0000-00001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3 KVA +3KVA +3 KVA ADDITIONAL
</t>
        </r>
      </text>
    </comment>
    <comment ref="AT10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L11" authorId="1" shapeId="0" xr:uid="{6EA51F76-DC1E-4955-BEFA-0F02A2E434F7}">
      <text>
        <r>
          <rPr>
            <b/>
            <sz val="9"/>
            <color rgb="FF000000"/>
            <rFont val="Tahoma"/>
            <family val="2"/>
          </rPr>
          <t>Mayank: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1 Rack - 6 KVA
</t>
        </r>
        <r>
          <rPr>
            <sz val="9"/>
            <color rgb="FF000000"/>
            <rFont val="Tahoma"/>
            <family val="2"/>
          </rPr>
          <t xml:space="preserve">1 Rack - 3 KVA
</t>
        </r>
        <r>
          <rPr>
            <sz val="9"/>
            <color rgb="FF000000"/>
            <rFont val="Tahoma"/>
            <family val="2"/>
          </rPr>
          <t>1 Rack - 0 KVA</t>
        </r>
      </text>
    </comment>
    <comment ref="Q11" authorId="1" shapeId="0" xr:uid="{EEC89DBD-4150-4271-8A42-5AB6765F7676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860000 for 1 Rack - 6 KVA
Rs 550000 for 1 Rack - 3 KVA
Rs 200000 for 1 Rack - 0 KVA</t>
        </r>
      </text>
    </comment>
    <comment ref="T11" authorId="1" shapeId="0" xr:uid="{2512B411-6EA8-43C6-A405-0767E35FD82D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+ 3 KVA +3KVA +3 KVA ADDITIONAL
</t>
        </r>
      </text>
    </comment>
    <comment ref="AT11" authorId="1" shapeId="0" xr:uid="{81B610CF-3558-4BDF-B027-8205DAC4B9D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Safe vault space + Tape rotaion + 3rd rack space</t>
        </r>
      </text>
    </comment>
    <comment ref="AT12" authorId="1" shapeId="0" xr:uid="{00000000-0006-0000-0000-000020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Etherent Cross connect + Tape rotation</t>
        </r>
      </text>
    </comment>
    <comment ref="L13" authorId="2" shapeId="0" xr:uid="{00000000-0006-0000-0000-000021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14 racks as per Renewal PO
+ 5 Racks additional PO
+ 1 Rack additional PO</t>
        </r>
      </text>
    </comment>
    <comment ref="T13" authorId="3" shapeId="0" xr:uid="{BBA18C2F-F029-4542-B465-8235179E0076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50 Kw for 19 Racks
+ 6 Kw for 20th Rack</t>
        </r>
      </text>
    </comment>
    <comment ref="AT13" authorId="1" shapeId="0" xr:uid="{00000000-0006-0000-0000-000022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Ethernet Cross Connect</t>
        </r>
      </text>
    </comment>
    <comment ref="L14" authorId="1" shapeId="0" xr:uid="{00000000-0006-0000-0000-000023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40 Racks of 800*1000 or 50 Racks of 600*1000</t>
        </r>
      </text>
    </comment>
    <comment ref="AJ14" authorId="1" shapeId="0" xr:uid="{00000000-0006-0000-0000-000024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28 + 1 + 1 Cabin 
+ 1 conf room for 8 people</t>
        </r>
      </text>
    </comment>
    <comment ref="AT14" authorId="1" shapeId="0" xr:uid="{00000000-0006-0000-0000-000025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 Nos of Car parking space</t>
        </r>
      </text>
    </comment>
    <comment ref="L16" authorId="1" shapeId="0" xr:uid="{00000000-0006-0000-0000-00002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Rack without power</t>
        </r>
      </text>
    </comment>
    <comment ref="AT16" authorId="1" shapeId="0" xr:uid="{00000000-0006-0000-0000-00002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Rated power</t>
        </r>
      </text>
    </comment>
    <comment ref="Q17" authorId="1" shapeId="0" xr:uid="{00000000-0006-0000-0000-00002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U Price</t>
        </r>
      </text>
    </comment>
    <comment ref="AT17" authorId="1" shapeId="0" xr:uid="{00000000-0006-0000-0000-00002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T20" authorId="1" shapeId="0" xr:uid="{EAC52CB8-49FD-4F47-9D15-70A6028F706B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FCC</t>
        </r>
      </text>
    </comment>
    <comment ref="Q21" authorId="1" shapeId="0" xr:uid="{00000000-0006-0000-0000-00003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U Price</t>
        </r>
      </text>
    </comment>
    <comment ref="AT21" authorId="1" shapeId="0" xr:uid="{00000000-0006-0000-0000-00003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 Mb internet link</t>
        </r>
      </text>
    </comment>
    <comment ref="AT23" authorId="1" shapeId="0" xr:uid="{00000000-0006-0000-0000-000039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Fiber Cross Connect</t>
        </r>
      </text>
    </comment>
    <comment ref="AT25" authorId="2" shapeId="0" xr:uid="{00000000-0006-0000-0000-00003A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Fiber cross connect -1 No</t>
        </r>
      </text>
    </comment>
    <comment ref="AT28" authorId="1" shapeId="0" xr:uid="{00000000-0006-0000-0000-00003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</t>
        </r>
      </text>
    </comment>
    <comment ref="AT29" authorId="1" shapeId="0" xr:uid="{F5A9C968-3F06-4026-9384-20805BEED698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12 Nos Fiber cross connect</t>
        </r>
      </text>
    </comment>
    <comment ref="AT31" authorId="1" shapeId="0" xr:uid="{00000000-0006-0000-0000-00003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+ 3 TB data transfer link</t>
        </r>
      </text>
    </comment>
    <comment ref="AT33" authorId="2" shapeId="0" xr:uid="{00000000-0006-0000-0000-00003F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cross connect + 1 No of Fiber cross connect</t>
        </r>
      </text>
    </comment>
    <comment ref="AT37" authorId="1" shapeId="0" xr:uid="{00000000-0006-0000-0000-000043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Nos of Ethernet Cross Connect</t>
        </r>
      </text>
    </comment>
    <comment ref="T40" authorId="2" shapeId="0" xr:uid="{00000000-0006-0000-0000-000044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7 KVA steady laod and 10 KVA peak load per rack</t>
        </r>
      </text>
    </comment>
    <comment ref="AT41" authorId="2" shapeId="0" xr:uid="{00000000-0006-0000-0000-000045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FCC</t>
        </r>
      </text>
    </comment>
    <comment ref="AT42" authorId="2" shapeId="0" xr:uid="{00000000-0006-0000-0000-000046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6 Nos of Fiber CC</t>
        </r>
      </text>
    </comment>
    <comment ref="AT43" authorId="2" shapeId="0" xr:uid="{00000000-0006-0000-0000-000047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2 Nos of FCC + RHS</t>
        </r>
      </text>
    </comment>
    <comment ref="T52" authorId="1" shapeId="0" xr:uid="{00000000-0006-0000-0000-00004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+ 2 KVA additional</t>
        </r>
      </text>
    </comment>
    <comment ref="L53" authorId="1" shapeId="0" xr:uid="{00000000-0006-0000-0000-000049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No order in system</t>
        </r>
      </text>
    </comment>
    <comment ref="AT54" authorId="1" shapeId="0" xr:uid="{00000000-0006-0000-0000-00004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82 Nos of Ethernet CC + 7 Nos of Fiber CC + Pole Space + 1u Space</t>
        </r>
      </text>
    </comment>
    <comment ref="L55" authorId="1" shapeId="0" xr:uid="{00000000-0006-0000-0000-00004B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 Racks - 6 KVA
2 Racks - 6 KVA
2 Racks - 8 KVA</t>
        </r>
      </text>
    </comment>
    <comment ref="Q55" authorId="1" shapeId="0" xr:uid="{00000000-0006-0000-0000-00004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1767432 for 8 Racks - 6 KVA
Rs 546856 for 2 Racks - 8 KVA
Rs 1522674 for 9 Racks - 6 KVA</t>
        </r>
      </text>
    </comment>
    <comment ref="T55" authorId="1" shapeId="0" xr:uid="{00000000-0006-0000-0000-00004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6 KVA - 11 Racks = 66
8 KVA - 3 Racks = 24</t>
        </r>
      </text>
    </comment>
    <comment ref="AT55" authorId="1" shapeId="0" xr:uid="{00000000-0006-0000-0000-00004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Fiber cross connect + Ethernet cross connet</t>
        </r>
      </text>
    </comment>
    <comment ref="L57" authorId="1" shapeId="0" xr:uid="{00000000-0006-0000-0000-00004F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 Racks - 7.5 KVA
1 Rack - No power reserved</t>
        </r>
      </text>
    </comment>
    <comment ref="Q57" authorId="1" shapeId="0" xr:uid="{00000000-0006-0000-0000-000050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5551700 for 7 Racks with 7.5 KVA
Rs 242050 for 1 Rack without power</t>
        </r>
      </text>
    </comment>
    <comment ref="T57" authorId="1" shapeId="0" xr:uid="{00000000-0006-0000-0000-000051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7.5 KVA per Rack</t>
        </r>
      </text>
    </comment>
    <comment ref="O58" authorId="4" shapeId="0" xr:uid="{00000000-0006-0000-0000-000052000000}">
      <text>
        <r>
          <rPr>
            <b/>
            <sz val="9"/>
            <color indexed="81"/>
            <rFont val="Tahoma"/>
            <family val="2"/>
          </rPr>
          <t>Sajini John Mathews:</t>
        </r>
        <r>
          <rPr>
            <sz val="9"/>
            <color indexed="81"/>
            <rFont val="Tahoma"/>
            <family val="2"/>
          </rPr>
          <t xml:space="preserve">
How is billed more than provisioned
</t>
        </r>
      </text>
    </comment>
    <comment ref="AT58" authorId="1" shapeId="0" xr:uid="{00000000-0006-0000-0000-000053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 + Space for Fire vault + Ethernet Cross connect</t>
        </r>
      </text>
    </comment>
    <comment ref="L59" authorId="1" shapeId="0" xr:uid="{00000000-0006-0000-0000-000054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3 Racks - 10 KVA
1 Rack - 5 KVA
2 Racks - 10 KVA reserved</t>
        </r>
      </text>
    </comment>
    <comment ref="Q59" authorId="1" shapeId="0" xr:uid="{00000000-0006-0000-0000-000055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Rs 54667 for 3 of 10 KVA
Rs 27333 for 1 of 5 KVA
Rs 10933 for 2 of 10 KVA</t>
        </r>
      </text>
    </comment>
    <comment ref="T59" authorId="1" shapeId="0" xr:uid="{00000000-0006-0000-0000-000056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10 KVA - 5 Racks
5 KVA - 1 Rack</t>
        </r>
      </text>
    </comment>
    <comment ref="AT59" authorId="1" shapeId="0" xr:uid="{00000000-0006-0000-0000-000057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10 Mb Internet link</t>
        </r>
      </text>
    </comment>
    <comment ref="Q60" authorId="1" shapeId="0" xr:uid="{00000000-0006-0000-0000-000058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MRC rate given</t>
        </r>
      </text>
    </comment>
    <comment ref="AT60" authorId="1" shapeId="0" xr:uid="{00000000-0006-0000-0000-000059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 Mb internet link + 1 Mb internet link + 10 Mb internet link</t>
        </r>
      </text>
    </comment>
    <comment ref="AT64" authorId="1" shapeId="0" xr:uid="{00000000-0006-0000-0000-00005A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T67" authorId="1" shapeId="0" xr:uid="{4031E654-4A37-4E53-B7C5-3172B9E117A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20 MB + 32 Extra IP</t>
        </r>
      </text>
    </comment>
    <comment ref="AT68" authorId="1" shapeId="0" xr:uid="{FDA39BFA-16C6-4CF4-9CF0-876D667C4B1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4 Nos of Fiber Cross Connect</t>
        </r>
      </text>
    </comment>
    <comment ref="T69" authorId="2" shapeId="0" xr:uid="{00000000-0006-0000-0000-000065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4 Rack x 3 KVA</t>
        </r>
      </text>
    </comment>
    <comment ref="Q75" authorId="1" shapeId="0" xr:uid="{00000000-0006-0000-0000-00005C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MRC rate given</t>
        </r>
      </text>
    </comment>
    <comment ref="L77" authorId="1" shapeId="0" xr:uid="{00000000-0006-0000-0000-00005D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Q77" authorId="1" shapeId="0" xr:uid="{00000000-0006-0000-0000-00005E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OCM Rack @ 750000
OVM Rack @ 320000
Rack @ 225000</t>
        </r>
      </text>
    </comment>
    <comment ref="AT77" authorId="1" shapeId="0" xr:uid="{00000000-0006-0000-0000-00005F00000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AT78" authorId="1" shapeId="0" xr:uid="{65DFF4FE-541D-4FD7-A383-CB858A5DA86B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50 Mbps internet link</t>
        </r>
      </text>
    </comment>
    <comment ref="T79" authorId="2" shapeId="0" xr:uid="{00000000-0006-0000-0000-000060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Taken 4 KVA per RacK</t>
        </r>
      </text>
    </comment>
    <comment ref="AT80" authorId="2" shapeId="0" xr:uid="{00000000-0006-0000-0000-000061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4 No of RHS + 8 No of ECC + Biometric access + 2 No of Safe Vault + Tape Rotation</t>
        </r>
      </text>
    </comment>
    <comment ref="T83" authorId="2" shapeId="0" xr:uid="{00000000-0006-0000-0000-000062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2 KVA / Rack = 10 KVA</t>
        </r>
      </text>
    </comment>
    <comment ref="AT83" authorId="2" shapeId="0" xr:uid="{00000000-0006-0000-0000-000063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Ethernet CC + 1 No of Fiber CC</t>
        </r>
      </text>
    </comment>
    <comment ref="AT84" authorId="2" shapeId="0" xr:uid="{00000000-0006-0000-0000-000064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16 Cross Connect</t>
        </r>
      </text>
    </comment>
    <comment ref="T86" authorId="2" shapeId="0" xr:uid="{00000000-0006-0000-0000-000066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4 Rack x 3 KVA</t>
        </r>
      </text>
    </comment>
    <comment ref="AT87" authorId="2" shapeId="0" xr:uid="{00000000-0006-0000-0000-000067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 for 6 Racks + 6 ECC + 2 FCC</t>
        </r>
      </text>
    </comment>
    <comment ref="AT88" authorId="2" shapeId="0" xr:uid="{5ABBD62F-D386-4831-8277-87BCE0481353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 for 6 Racks + 6 ECC + 2 FCC</t>
        </r>
      </text>
    </comment>
    <comment ref="AT89" authorId="2" shapeId="0" xr:uid="{B6E3B16E-96DB-4A0B-9F69-FB04D8EA4B22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 for 6 Racks + 6 ECC + 2 FCC</t>
        </r>
      </text>
    </comment>
    <comment ref="AT90" authorId="2" shapeId="0" xr:uid="{00000000-0006-0000-0000-00006A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2 No of FCC + RHS</t>
        </r>
      </text>
    </comment>
    <comment ref="T91" authorId="3" shapeId="0" xr:uid="{FC15F3DA-FB8C-4FA0-9775-52FCDB3F6078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360 + 60 add</t>
        </r>
      </text>
    </comment>
    <comment ref="AT96" authorId="3" shapeId="0" xr:uid="{5EB6ECFB-FC1B-4B9D-97B5-77CA1393AEF0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4 FCC + 1 IX Port</t>
        </r>
      </text>
    </comment>
    <comment ref="AT97" authorId="3" shapeId="0" xr:uid="{270BF267-C586-475D-9BFE-2BB6C69CD4BC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40 KW power
4 Nos of FCC</t>
        </r>
      </text>
    </comment>
    <comment ref="AT98" authorId="2" shapeId="0" xr:uid="{00000000-0006-0000-0000-00006C000000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FCC + RHS</t>
        </r>
      </text>
    </comment>
    <comment ref="AT99" authorId="2" shapeId="0" xr:uid="{55B16D86-244E-46EE-94AC-085ECB28054F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1 No of FCC + RHS</t>
        </r>
      </text>
    </comment>
    <comment ref="AT100" authorId="2" shapeId="0" xr:uid="{468B3F14-764B-444A-A24B-5098B183907D}">
      <text>
        <r>
          <rPr>
            <b/>
            <sz val="9"/>
            <color indexed="81"/>
            <rFont val="Tahoma"/>
            <family val="2"/>
          </rPr>
          <t>8257: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T101" authorId="3" shapeId="0" xr:uid="{159437C3-1348-40A6-AD6F-6E4C80FA5AAE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RHS + 3 FCC</t>
        </r>
      </text>
    </comment>
    <comment ref="AT102" authorId="3" shapeId="0" xr:uid="{774678A8-F93C-4B00-B259-B16A76320B59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2 FCC</t>
        </r>
      </text>
    </comment>
    <comment ref="AT107" authorId="3" shapeId="0" xr:uid="{05296128-9204-4069-BC75-93F811B5006B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2 FCC</t>
        </r>
      </text>
    </comment>
    <comment ref="AT127" authorId="3" shapeId="0" xr:uid="{B4FEDDF9-F416-4807-9645-6B5371CA8A9B}">
      <text>
        <r>
          <rPr>
            <b/>
            <sz val="9"/>
            <color indexed="81"/>
            <rFont val="Tahoma"/>
            <family val="2"/>
          </rPr>
          <t>Mayank  Jain:</t>
        </r>
        <r>
          <rPr>
            <sz val="9"/>
            <color indexed="81"/>
            <rFont val="Tahoma"/>
            <family val="2"/>
          </rPr>
          <t xml:space="preserve">
1 FCC + 1 RHS</t>
        </r>
      </text>
    </comment>
    <comment ref="L224" authorId="1" shapeId="0" xr:uid="{7A69479C-EC0E-40BC-8760-ABA603E0158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Rack without power</t>
        </r>
      </text>
    </comment>
    <comment ref="AT224" authorId="1" shapeId="0" xr:uid="{594362D0-9A27-4FB6-959B-95C7CF3D4A7E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1 KVA Rated power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Sreejith G</author>
    <author>Mayank</author>
  </authors>
  <commentList>
    <comment ref="J1" authorId="0" shapeId="0" xr:uid="{1FFDF37B-6A32-4101-AF71-A1B3BDB136C3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 added</t>
        </r>
      </text>
    </comment>
    <comment ref="Q1" authorId="0" shapeId="0" xr:uid="{C8203966-5488-4582-BE07-8D7EC1136908}">
      <text>
        <r>
          <rPr>
            <b/>
            <sz val="9"/>
            <color rgb="FF000000"/>
            <rFont val="Tahoma"/>
            <family val="2"/>
          </rPr>
          <t>Sreejith 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Formula</t>
        </r>
      </text>
    </comment>
    <comment ref="AB1" authorId="0" shapeId="0" xr:uid="{04DF9276-A92E-4E9D-812A-3C9A594A2334}">
      <text>
        <r>
          <rPr>
            <b/>
            <sz val="9"/>
            <color indexed="81"/>
            <rFont val="Tahoma"/>
            <family val="2"/>
          </rPr>
          <t>Sreejith G: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AS2" authorId="1" shapeId="0" xr:uid="{74E4F7F8-5030-48F5-9696-293677AF1970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3" authorId="1" shapeId="0" xr:uid="{E06B89D1-CC1E-48F4-8310-1335D409947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  <comment ref="AS19" authorId="1" shapeId="0" xr:uid="{09E717DE-2D2B-495F-AC48-699E9D044273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RHS</t>
        </r>
      </text>
    </comment>
    <comment ref="AS20" authorId="1" shapeId="0" xr:uid="{BF07BF9E-9F8E-4083-A365-A4E132FB249A}">
      <text>
        <r>
          <rPr>
            <b/>
            <sz val="9"/>
            <color indexed="81"/>
            <rFont val="Tahoma"/>
            <family val="2"/>
          </rPr>
          <t>Mayank:</t>
        </r>
        <r>
          <rPr>
            <sz val="9"/>
            <color indexed="81"/>
            <rFont val="Tahoma"/>
            <family val="2"/>
          </rPr>
          <t xml:space="preserve">
5.93 KVA 
additional Power + 2 ECC</t>
        </r>
      </text>
    </comment>
  </commentList>
</comments>
</file>

<file path=xl/sharedStrings.xml><?xml version="1.0" encoding="utf-8"?>
<sst xmlns="http://schemas.openxmlformats.org/spreadsheetml/2006/main" count="2793" uniqueCount="584">
  <si>
    <t>Description</t>
  </si>
  <si>
    <t>Value</t>
  </si>
  <si>
    <t>Actual Load KVA</t>
  </si>
  <si>
    <t>As per the Sanction Letter</t>
  </si>
  <si>
    <t>Usage measured on 1of every month</t>
  </si>
  <si>
    <t>Utility Sanction Load KVA</t>
  </si>
  <si>
    <t xml:space="preserve">14000 KVA </t>
  </si>
  <si>
    <t>7760 KVA</t>
  </si>
  <si>
    <t xml:space="preserve">Utility Minimum Demand % </t>
  </si>
  <si>
    <t>Capacity Installed</t>
  </si>
  <si>
    <t>Transformer kW</t>
  </si>
  <si>
    <t>No of TX</t>
  </si>
  <si>
    <t>Catcher TX kW</t>
  </si>
  <si>
    <t xml:space="preserve">No. Of catcher </t>
  </si>
  <si>
    <t>Actual Load kW</t>
  </si>
  <si>
    <t>Generator kW</t>
  </si>
  <si>
    <t xml:space="preserve">No of DG </t>
  </si>
  <si>
    <t>Catcher DG kW</t>
  </si>
  <si>
    <t>UPS kW</t>
  </si>
  <si>
    <t>UPS Config</t>
  </si>
  <si>
    <t>IT capacity Installed kW</t>
  </si>
  <si>
    <t>IT Power Sold in kW ( concidering unity as PF)</t>
  </si>
  <si>
    <t>Allocated IT Power to customer ( Taking 50% as divercity factor for rated power customer )</t>
  </si>
  <si>
    <t>IT kW Usage</t>
  </si>
  <si>
    <t>Avaialble IT kW Design-Used</t>
  </si>
  <si>
    <t>Available IT kW Design-Sold</t>
  </si>
  <si>
    <t>Available IT kW Design-Sold ( Allocated capacity)</t>
  </si>
  <si>
    <t xml:space="preserve">MAX Rack Capacity </t>
  </si>
  <si>
    <t xml:space="preserve">Racks which can be placed on floor  </t>
  </si>
  <si>
    <t>Rack losss ( Cage+ non standard rack+ path)</t>
  </si>
  <si>
    <t>Available space</t>
  </si>
  <si>
    <t>Designed White Space ( in SQ FT)</t>
  </si>
  <si>
    <t>Used White Space( in SQ FT)</t>
  </si>
  <si>
    <t>Avaialble White Space ( in SQ FT)</t>
  </si>
  <si>
    <t>Mention the design kW capacity of Transformer</t>
  </si>
  <si>
    <t>Mention the design kW capacity of Generator</t>
  </si>
  <si>
    <t>Mention the design N capacity in kw in a N+N Configuration</t>
  </si>
  <si>
    <t>Installed including interfloor shared capacity</t>
  </si>
  <si>
    <t>Customer subscribed IT kW</t>
  </si>
  <si>
    <t>Allocated power</t>
  </si>
  <si>
    <t>Measured on 1st of every month</t>
  </si>
  <si>
    <t>L1</t>
  </si>
  <si>
    <t>Bank A ( 1250 KVA* 2)  &amp; Bank B (600 KVA *4 )</t>
  </si>
  <si>
    <t>L2</t>
  </si>
  <si>
    <t>L3</t>
  </si>
  <si>
    <t>L4</t>
  </si>
  <si>
    <t>Bank A ( 400 KVA* 4)  &amp; Bank B (400 KVA *4 )</t>
  </si>
  <si>
    <t>L5</t>
  </si>
  <si>
    <t>L6</t>
  </si>
  <si>
    <t>L7</t>
  </si>
  <si>
    <t>Bank A ( 450 KVA* 4)  &amp; Bank B (450 KVA *4 )</t>
  </si>
  <si>
    <t>From L7 To L6 &amp; l5 =150 KVA L6+ 120 KVA L5</t>
  </si>
  <si>
    <t>Total</t>
  </si>
  <si>
    <t xml:space="preserve">Divisification </t>
  </si>
  <si>
    <t>Rated to Consumed</t>
  </si>
  <si>
    <t>Actual PUE</t>
  </si>
  <si>
    <t>Actual Unit Rate:</t>
  </si>
  <si>
    <t>Genset Hr/Mo</t>
  </si>
  <si>
    <t>Billing Model</t>
  </si>
  <si>
    <t>Space</t>
  </si>
  <si>
    <t>Power Capacity</t>
  </si>
  <si>
    <t>Power Usage</t>
  </si>
  <si>
    <t>Seating Space</t>
  </si>
  <si>
    <t>Revenue (Monthly )</t>
  </si>
  <si>
    <t>Contract Information</t>
  </si>
  <si>
    <t>Floor</t>
  </si>
  <si>
    <t>Floor / Module</t>
  </si>
  <si>
    <t>Customer Name</t>
  </si>
  <si>
    <t>Power Subscription Model (Rated/Subscribed)</t>
  </si>
  <si>
    <t>Power Usage Model (Bundled / Metered)</t>
  </si>
  <si>
    <t>Subscription Mode</t>
  </si>
  <si>
    <t>Caged /Uncaged</t>
  </si>
  <si>
    <t>UoM</t>
  </si>
  <si>
    <t>Subscription</t>
  </si>
  <si>
    <t>In Use</t>
  </si>
  <si>
    <t>Yet to be given/</t>
  </si>
  <si>
    <t>Billed</t>
  </si>
  <si>
    <t>Reserved Capacity if any (Non-Billable)</t>
  </si>
  <si>
    <t>Per Unit rate (MRC)</t>
  </si>
  <si>
    <t>Subscription Model</t>
  </si>
  <si>
    <t xml:space="preserve">Total Capacity Purchased </t>
  </si>
  <si>
    <t>Capacity in Use</t>
  </si>
  <si>
    <t>Capacity to be given</t>
  </si>
  <si>
    <t>Reserved Capacity        if any</t>
  </si>
  <si>
    <t>Subscribed Capacity to be given in KW</t>
  </si>
  <si>
    <t>"Allocated" Capacity in KW (for KVA subscribed customer 50% diversity is used to make kW )</t>
  </si>
  <si>
    <t>DC NW Infra</t>
  </si>
  <si>
    <t>Billable Additional Capacity</t>
  </si>
  <si>
    <t>Additional Capacity Charges (MRC)</t>
  </si>
  <si>
    <t>Usage Model</t>
  </si>
  <si>
    <t>Multiplier</t>
  </si>
  <si>
    <t>Uit rate Model (Fixed/Variable)</t>
  </si>
  <si>
    <t>Unit Rate (per KW-HR)</t>
  </si>
  <si>
    <t>No Of Units 
(KW-HR/ Month</t>
  </si>
  <si>
    <t>Yet to be given</t>
  </si>
  <si>
    <t>Per Unit rate</t>
  </si>
  <si>
    <t>Space revenue including capacity</t>
  </si>
  <si>
    <t>Additional Capacity Revenue</t>
  </si>
  <si>
    <t>Power Usage revenue</t>
  </si>
  <si>
    <t>Any Other Items</t>
  </si>
  <si>
    <t>Total Revenue</t>
  </si>
  <si>
    <t>Billing Frequency</t>
  </si>
  <si>
    <t>Sales Order ref No</t>
  </si>
  <si>
    <t>Contract Start Date</t>
  </si>
  <si>
    <t>Term of Contract (No of Years)</t>
  </si>
  <si>
    <t>Current Exiry Date</t>
  </si>
  <si>
    <t>Remarks if any</t>
  </si>
  <si>
    <t xml:space="preserve">Avg revenue /Rack /Month </t>
  </si>
  <si>
    <t xml:space="preserve">Avg revenue /KW /Month </t>
  </si>
  <si>
    <t>Net Revenue / Resvd KW</t>
  </si>
  <si>
    <t>Proj Net Revenue / Resvd KW</t>
  </si>
  <si>
    <t>Sold Net Revenue / Resvd KW</t>
  </si>
  <si>
    <t>Total Rev (Cap + Power)</t>
  </si>
  <si>
    <t>Capacity Revenue</t>
  </si>
  <si>
    <t>Power Revenue</t>
  </si>
  <si>
    <t>Cost of Power @ Act Usage</t>
  </si>
  <si>
    <t>Proj Cost of Power @ Reserv Cap</t>
  </si>
  <si>
    <t>Cost of Power @ Design Use</t>
  </si>
  <si>
    <t>Net Rev Total</t>
  </si>
  <si>
    <t>Target Capacity Revenue</t>
  </si>
  <si>
    <t>Capacity Surplus/Leakage</t>
  </si>
  <si>
    <t>Power Surplus/Leakage</t>
  </si>
  <si>
    <t>Contribution to Target</t>
  </si>
  <si>
    <t>KW</t>
  </si>
  <si>
    <t>Total Surplus/Leakage</t>
  </si>
  <si>
    <t>Power Surplus/Leakage / KW</t>
  </si>
  <si>
    <t>Capacity Surplus/Leakage / KW</t>
  </si>
  <si>
    <t>Total Surplus/Leakage / KW</t>
  </si>
  <si>
    <t>L5A-05-11</t>
  </si>
  <si>
    <t>KESCO (Kanpur Elec)</t>
  </si>
  <si>
    <t>Rated</t>
  </si>
  <si>
    <t>Bundled</t>
  </si>
  <si>
    <t>Rack</t>
  </si>
  <si>
    <t>Uncaged</t>
  </si>
  <si>
    <t>KVA</t>
  </si>
  <si>
    <t>721003675 &amp; 711080579</t>
  </si>
  <si>
    <t>L4-F-24 &amp; L4-F-29</t>
  </si>
  <si>
    <t>Adani Wilmar Limited</t>
  </si>
  <si>
    <t>121000894 &amp; 121000913</t>
  </si>
  <si>
    <t>L5B-01-05 &amp; L5B-01-06</t>
  </si>
  <si>
    <t>MJUNCTION SERVICES LIMITED</t>
  </si>
  <si>
    <t>No of Seats</t>
  </si>
  <si>
    <t>L4-E-29</t>
  </si>
  <si>
    <t>E2 Info Solution</t>
  </si>
  <si>
    <t>U space</t>
  </si>
  <si>
    <t>L6-F-25</t>
  </si>
  <si>
    <t>NGC Broadband</t>
  </si>
  <si>
    <t>L6-D-30, L6-D-29</t>
  </si>
  <si>
    <t>ECSO</t>
  </si>
  <si>
    <t>Server Hall 5A
L5A-01-08</t>
  </si>
  <si>
    <t>RACSANN TECHNOLOGIES PVT LTD</t>
  </si>
  <si>
    <t>Server Hall L4
L4-D-29</t>
  </si>
  <si>
    <t>Balaji Teleworks</t>
  </si>
  <si>
    <t>Server Hall L6
L6-E-03</t>
  </si>
  <si>
    <t>SAIKRITI TECHSOFT PVT LTD</t>
  </si>
  <si>
    <t>Server Hall L6
L6-F-25</t>
  </si>
  <si>
    <t>ACME DIGINET CORPORATION PVT LTD</t>
  </si>
  <si>
    <t>NAS INTERNET SERVICES PVT LTD</t>
  </si>
  <si>
    <t>Server Hall 5A
L5A-04-11</t>
  </si>
  <si>
    <t>SIMPLE TELECOM PVT LTD</t>
  </si>
  <si>
    <t>L7-E-05</t>
  </si>
  <si>
    <t>SWAKSH INFRATECH</t>
  </si>
  <si>
    <t>L5A-02-02, L5A-02-03, L5A-02-04, L5A-02-05, L5A-02-06 &amp; L5A-02-10</t>
  </si>
  <si>
    <t>L&amp;T (RVNL)</t>
  </si>
  <si>
    <t>Renewal</t>
  </si>
  <si>
    <t>L6-B-33</t>
  </si>
  <si>
    <t>DEHRADUN E NET SOLUTIONS (P) LTD.</t>
  </si>
  <si>
    <t>L6-D-03</t>
  </si>
  <si>
    <t>EMINENCE SOFTECH PVT LTD</t>
  </si>
  <si>
    <t>Subscribed</t>
  </si>
  <si>
    <t>Metered</t>
  </si>
  <si>
    <t>Fixed</t>
  </si>
  <si>
    <t xml:space="preserve"> L7-F-26 to L7-F-29</t>
  </si>
  <si>
    <t>NEXTRA ONLINE SERVICES PRIVATE LIMITED</t>
  </si>
  <si>
    <t>NESECURE TELECOM</t>
  </si>
  <si>
    <t>L4-E-27 &amp; L4-E-28</t>
  </si>
  <si>
    <t>CLOUDFLARE INC</t>
  </si>
  <si>
    <t>L6-D-01, L6-D-02</t>
  </si>
  <si>
    <t>Cloudflare</t>
  </si>
  <si>
    <t>L4-F-30</t>
  </si>
  <si>
    <t>CP WHOLESALE INDIA PVT LTD</t>
  </si>
  <si>
    <t>721005527 &amp; 711120937</t>
  </si>
  <si>
    <t xml:space="preserve">L4-E-33 </t>
  </si>
  <si>
    <t>L7-A-15, L7-A-16, L7-A-17 &amp; L7-A-18</t>
  </si>
  <si>
    <t>Stackpath</t>
  </si>
  <si>
    <t>Caged</t>
  </si>
  <si>
    <t>L4-E-23</t>
  </si>
  <si>
    <t>iBOSS, INC.</t>
  </si>
  <si>
    <t>L7-F-25</t>
  </si>
  <si>
    <t>ONEOTT INTERTAINMENT LTD</t>
  </si>
  <si>
    <t>L5A-01-06</t>
  </si>
  <si>
    <t>STAR BROADBAND SERVICES I PVT LTD</t>
  </si>
  <si>
    <t>L5A-02-01</t>
  </si>
  <si>
    <t>PRACTION NETWORKS PVT LTD</t>
  </si>
  <si>
    <t>SPEEDNET UNIQUE NETWORK PVT LTD</t>
  </si>
  <si>
    <t>Server Hall L4
L4-E-29</t>
  </si>
  <si>
    <t>FIBLIB DIGITAL NETWORKS</t>
  </si>
  <si>
    <t>L6-G-26 to L6-G-33, L6-F-26 to L6-F-33</t>
  </si>
  <si>
    <t>GLORYBIRD INDIA PRIVATE LIMITED</t>
  </si>
  <si>
    <t>Server Hall L6
L6-F-24</t>
  </si>
  <si>
    <t>IPNET BROADBAND NETWORK PVT LTD ( 29U TO 30U)</t>
  </si>
  <si>
    <t>L4-C-28</t>
  </si>
  <si>
    <t>UNITAS GLOBAL INDIA PVT LTD</t>
  </si>
  <si>
    <t>L4-C-29</t>
  </si>
  <si>
    <t>SUBSPACE  COMMUNICATION LLC</t>
  </si>
  <si>
    <t>L5A-01-01</t>
  </si>
  <si>
    <t>THE NAGALAND STATE CO-OPERATIVE BANK LTD</t>
  </si>
  <si>
    <t xml:space="preserve"> L5A-01-11</t>
  </si>
  <si>
    <t>PEERCAST TELECOM INDIA PRIVATE LIMITED</t>
  </si>
  <si>
    <t>ISHAN NETSOL PVT LTD</t>
  </si>
  <si>
    <t>L5A-07-05, L5A-07-06, L5A-07-07, L5A-06-06, L5A-06-07 &amp; L5A-06-08</t>
  </si>
  <si>
    <t>AGRICULTURE INSURANCE COMPANY OF INDIA LIMITED</t>
  </si>
  <si>
    <t>L5A-07-03</t>
  </si>
  <si>
    <t>L5B-10-15, L5B-10-16, L5B-10-17, L5B-10-18, L5B-11-15 &amp; L5B-11-16</t>
  </si>
  <si>
    <t>721004381, 721004451 &amp; 721004508</t>
  </si>
  <si>
    <t>L5A-05-08, L5A-05-09 &amp; L5A-05-10</t>
  </si>
  <si>
    <t>DENSO INTERNATIONAL INDIA PVT LTD</t>
  </si>
  <si>
    <t>L5B-01-03 &amp; L5B-01-04</t>
  </si>
  <si>
    <t>BHARAT SANCHAR NIGAM LIMITED-HOSTING</t>
  </si>
  <si>
    <t>STG SOFTWARE SOLUTION PRIVATE LIMITED</t>
  </si>
  <si>
    <t xml:space="preserve">L5A-01-10 </t>
  </si>
  <si>
    <t>L7-F-18</t>
  </si>
  <si>
    <t>DELACON TECH SOLUTIONS PRIVATE LIMITED</t>
  </si>
  <si>
    <t>L6-F-24</t>
  </si>
  <si>
    <t>REISNET BROADBAND PRIVATE LIMITED ( 5U TO 8U)</t>
  </si>
  <si>
    <t xml:space="preserve">NOI-TB-L1-A-15 TO NOI-TB-L1-A-17                                  </t>
  </si>
  <si>
    <t>ACRO ENGINEERING</t>
  </si>
  <si>
    <t>Racks</t>
  </si>
  <si>
    <t>Bundal Metered</t>
  </si>
  <si>
    <t>Noida -02</t>
  </si>
  <si>
    <t>RHS/SH</t>
  </si>
  <si>
    <t xml:space="preserve"> Sitting Space (Subscription)</t>
  </si>
  <si>
    <t>IR DATE</t>
  </si>
  <si>
    <t>L5A-01-02</t>
  </si>
  <si>
    <t>V2 RETAIL LTD</t>
  </si>
  <si>
    <t>NO</t>
  </si>
  <si>
    <t>L5A-06-10</t>
  </si>
  <si>
    <t>L5A-02-08</t>
  </si>
  <si>
    <t>EXCITEL BROADBAND PVT LTD</t>
  </si>
  <si>
    <t>YES</t>
  </si>
  <si>
    <t>L5A-02-11 &amp; L5A-02-12</t>
  </si>
  <si>
    <t>NEEL METAL PRODUCTS LTD(JBM)</t>
  </si>
  <si>
    <t>not able to trace in inventory or Oracle.</t>
  </si>
  <si>
    <t>L5A-03-10</t>
  </si>
  <si>
    <t>L5A-02-13</t>
  </si>
  <si>
    <t>PRECIOUS NETCOM PVT LTD</t>
  </si>
  <si>
    <t>L5A-04-12</t>
  </si>
  <si>
    <t>PERFECT INTERNET PVT LTD</t>
  </si>
  <si>
    <t>Changed to reflect renewed rate and also the rate for 4 additional racks (total 5 racks). Pls confirm if this is correct.</t>
  </si>
  <si>
    <t>Server Hall L5A</t>
  </si>
  <si>
    <t>GODFREY PHILLIPS INDIA LIMITED</t>
  </si>
  <si>
    <t>MANAGE SERVICES</t>
  </si>
  <si>
    <t>Sq Ft</t>
  </si>
  <si>
    <t>Shouldn’t MRC be 50,662? ARC is 38,58,750 for 7 racks and 396,900 for addl space reservation.</t>
  </si>
  <si>
    <t>L5A-05-09 &amp; L5A-05-10</t>
  </si>
  <si>
    <t>L5A-05-08</t>
  </si>
  <si>
    <t>CATO</t>
  </si>
  <si>
    <t>L5A-06-01, L5A-06-02, L5A-06-03, L5A-07-01 &amp; L5A-07-02</t>
  </si>
  <si>
    <t>NIVA BUPA HEALTH INSURANCE COMPANY LIMITED</t>
  </si>
  <si>
    <t>Server Hall 5A</t>
  </si>
  <si>
    <t>BENNETT, COLEMAN &amp; CO. LTD</t>
  </si>
  <si>
    <t>not able to trace in inventory file.</t>
  </si>
  <si>
    <t>THE JAMMU &amp; KASHMIR BANK LTD</t>
  </si>
  <si>
    <t>NO/RFP</t>
  </si>
  <si>
    <t>721000893, 721000761, 721001050</t>
  </si>
  <si>
    <t>L5A-03-11</t>
  </si>
  <si>
    <t>GSTECH SOFTWARE SYSTEMS PVT.LTD.</t>
  </si>
  <si>
    <t>not able to match with PO. PO ARC value shows 305,000. Also, this client is not found in the Inventory report.  Is it still live?</t>
  </si>
  <si>
    <t xml:space="preserve">ULTRANET SERVICES PVT LTD </t>
  </si>
  <si>
    <t>SPIDER  LINK ( 4U and 6U TO 7U)</t>
  </si>
  <si>
    <t>BIG Data Broadband</t>
  </si>
  <si>
    <t>MYLINK SERVICES PVT LTD ( 20U) (22U)</t>
  </si>
  <si>
    <t>Server Hall 5A
L5A-01-06</t>
  </si>
  <si>
    <t>OZONETEL COMMUNICATIONS PRIVATE LIMITED</t>
  </si>
  <si>
    <t>DBYTE FACILITY NETWORK PVT. LTD. (Space 32U - 35U)</t>
  </si>
  <si>
    <t>NETPLUS</t>
  </si>
  <si>
    <t>Greenmax Technologies Ltd 15U</t>
  </si>
  <si>
    <t>GIGATEL SOLUTIONS PRIVATE LIMITED</t>
  </si>
  <si>
    <t>Geocity Network/ Bhartiya Net</t>
  </si>
  <si>
    <t>ATRIA CONVERGENCE TECHNOLOGIES LTD/ ACT</t>
  </si>
  <si>
    <t>Server Hall 5A
L5A-02-01</t>
  </si>
  <si>
    <t>SITI BROADBAND SERVICES PVT LTD</t>
  </si>
  <si>
    <t>Hathway Cable and Datacom Limited</t>
  </si>
  <si>
    <t>121001073 &amp; 121001074</t>
  </si>
  <si>
    <t>UMBRELLA CABLE SYSTEMS PRIVATE LIMITED 14-15U</t>
  </si>
  <si>
    <t>GLOBE CAPITAL MARKET LIMITED</t>
  </si>
  <si>
    <t>EXTREME CABLES AND BROADBAND  (08U-09U)</t>
  </si>
  <si>
    <t>Sphier Infotech Private Limited</t>
  </si>
  <si>
    <t>SMC INSURANCE BROKERS PVT LTD</t>
  </si>
  <si>
    <t>Earth Communication</t>
  </si>
  <si>
    <t>L5A-06-09</t>
  </si>
  <si>
    <t>LITE BITE FOODS PVT LTD</t>
  </si>
  <si>
    <t>L5A-07-10</t>
  </si>
  <si>
    <t>TELANGANA STATE COOPERATIVE APEX BANK LTD</t>
  </si>
  <si>
    <t>L5A-07-08 &amp; L5A-07-09</t>
  </si>
  <si>
    <t>PIONEER ELABS LIMITED</t>
  </si>
  <si>
    <t>L5A-04-08 &amp; L5A-04-09</t>
  </si>
  <si>
    <t>FASTLY INDIA PRIVATE LIMITED</t>
  </si>
  <si>
    <t>L5A-06-11</t>
  </si>
  <si>
    <t>EXTREME INFOCOM PVT LTD</t>
  </si>
  <si>
    <t>L5A-06-04</t>
  </si>
  <si>
    <t>D.S. Tech Cyber/ FASUTONETTO SERVICES PRIVATE LIMITED</t>
  </si>
  <si>
    <t>L5A-01-07</t>
  </si>
  <si>
    <t>SOFTECH INFOSOL PVT LTD</t>
  </si>
  <si>
    <t>FALCONET INTERNET PRIVATE LIMITED(11U)</t>
  </si>
  <si>
    <t>BLAZENET LIMITED(8U-9U)</t>
  </si>
  <si>
    <t>LALAT COMMUNICATIONS(6U)</t>
  </si>
  <si>
    <t>My Next Film (2U-3U)</t>
  </si>
  <si>
    <t>L5A-04-10</t>
  </si>
  <si>
    <t>KDDI INDIA-CONNECTIVITY</t>
  </si>
  <si>
    <t>L5A-01-03</t>
  </si>
  <si>
    <t>MUNJAL AUTO INDUSTRIES LTD - SOLUTIONS</t>
  </si>
  <si>
    <t>L5B-01-09</t>
  </si>
  <si>
    <t xml:space="preserve">NXTRA DATA LIMITED </t>
  </si>
  <si>
    <t>L5B-02-01, L5B-02-02, L5B-03-01, L5B-03-02 &amp; L5B-03-03</t>
  </si>
  <si>
    <t>TATA Fiber Play  BROADBAND PRIVATE LIMITED</t>
  </si>
  <si>
    <t>L5B-01-07, L5B-01-05 &amp; L5B-06</t>
  </si>
  <si>
    <t>L5B-01-11 &amp; L5B-01-12</t>
  </si>
  <si>
    <t>UPPCL (UP Power Corp Ltd)</t>
  </si>
  <si>
    <t>NA</t>
  </si>
  <si>
    <t>L5B-01-10, L5B-01-15, L5B-01-16 &amp; L5B-01-17</t>
  </si>
  <si>
    <t>FUSIONNET WEB SERVICES PVT LTD</t>
  </si>
  <si>
    <t>not able to trace PO/match price with PO</t>
  </si>
  <si>
    <t>Server Hall 5B</t>
  </si>
  <si>
    <t>HT MEDIA LTD</t>
  </si>
  <si>
    <t>Have updated new renewed rates.  Also number of racks billed Is now 11. Pls confirm this.</t>
  </si>
  <si>
    <t>Sify NOC</t>
  </si>
  <si>
    <t xml:space="preserve">Server Hall 5B </t>
  </si>
  <si>
    <t>HEALTH INSURANCE TPA OF INDIA LTD</t>
  </si>
  <si>
    <t>Updated to yr 3 rates from yr 2 rates.  Pls confirm.</t>
  </si>
  <si>
    <t>MAX LIFE INSURANCE PVT LTD</t>
  </si>
  <si>
    <t>721004019, 731002977</t>
  </si>
  <si>
    <t>AMAZON DATA SERVICES INDIA PVT LTD-HOSTING</t>
  </si>
  <si>
    <t>Variable</t>
  </si>
  <si>
    <t>721002808 &amp; 711067576</t>
  </si>
  <si>
    <t>GOOGLE INDIA PVT LTD(DEL-03 Google)</t>
  </si>
  <si>
    <t>721004425, 721004426, 721004427 &amp; 711101631</t>
  </si>
  <si>
    <t>L5B-01-14</t>
  </si>
  <si>
    <t>UNcaged</t>
  </si>
  <si>
    <t>No of Racks</t>
  </si>
  <si>
    <t>L5B-01-13</t>
  </si>
  <si>
    <t>CYBER24 TECHNOLOGIES PRIVATE LIMITED</t>
  </si>
  <si>
    <t>L5A-02-10</t>
  </si>
  <si>
    <t>SHIVTEL COMMUNICATIONS PRIVATE LIMITED</t>
  </si>
  <si>
    <t>L5B-01-08</t>
  </si>
  <si>
    <t>Abhipra Capital Limited</t>
  </si>
  <si>
    <t>L5B-02-03, L5B-02-04 , L5B-03-04 &amp; L5B-03-05</t>
  </si>
  <si>
    <t>AKAMAI INDIA NETWORKS PRIVATE LIMITED</t>
  </si>
  <si>
    <t>L5B-02-05, L5B-02-06  &amp; L5B-03-06</t>
  </si>
  <si>
    <t>L5A-01-11</t>
  </si>
  <si>
    <t>VELOCITY SIGNALS PRIVATE LIMITED</t>
  </si>
  <si>
    <t>L5B-01-01 &amp; L5B-01-02</t>
  </si>
  <si>
    <t>Telcom L5 &amp;  Network Rack</t>
  </si>
  <si>
    <t>Total of 5th Floor</t>
  </si>
  <si>
    <t>per month</t>
  </si>
  <si>
    <t xml:space="preserve">Rack count </t>
  </si>
  <si>
    <t>Racks in Space</t>
  </si>
  <si>
    <t>DEL1-L4-CC4</t>
  </si>
  <si>
    <t>Adani</t>
  </si>
  <si>
    <t>721005517 &amp; 731004184</t>
  </si>
  <si>
    <t>121000700 &amp; 121000880</t>
  </si>
  <si>
    <t xml:space="preserve"> L4-E-34</t>
  </si>
  <si>
    <t>L4-E-35</t>
  </si>
  <si>
    <t>Server Hall L4</t>
  </si>
  <si>
    <t>Cloud</t>
  </si>
  <si>
    <t xml:space="preserve">DEL1-L4-CC5 </t>
  </si>
  <si>
    <t>PI INDUSTRIES</t>
  </si>
  <si>
    <t>721006231 &amp; 731004518</t>
  </si>
  <si>
    <t>L4-F-29</t>
  </si>
  <si>
    <t>L4-F-31, L4-F-32, L4-F-33, L4-F-34 &amp; L4-F-35</t>
  </si>
  <si>
    <t>THE TATA POWER COMPANY LIMITED</t>
  </si>
  <si>
    <t>DEL1-L4-CC2</t>
  </si>
  <si>
    <t>HAVELLS INDIA LTD</t>
  </si>
  <si>
    <t xml:space="preserve">L4-B-01 &amp; L4-B-02 </t>
  </si>
  <si>
    <t>HONGKONG SEAGA TECHNOLOGY LTD</t>
  </si>
  <si>
    <t>722000099, 121000448, 121000954</t>
  </si>
  <si>
    <t>22 Aug 18 &amp; 17 Dec 19</t>
  </si>
  <si>
    <t xml:space="preserve">Telco Room L4 &amp; Network Rack </t>
  </si>
  <si>
    <t>L4 (L4-A-29) ( 1 Rack)</t>
  </si>
  <si>
    <t xml:space="preserve">Indiabulls Ventures Limited/ SAMMAAN CAPITAL LIMITED. </t>
  </si>
  <si>
    <t>721007295, 721007296 &amp; 721007298, 121000202, 121000147</t>
  </si>
  <si>
    <t xml:space="preserve">8 Oct 18, 8 Oct 18, 10 Oct 18, 12 Oct 18, 9 Feb 19 </t>
  </si>
  <si>
    <t>L4 (L4-B-26 &amp; L4-B-28 &amp; L4-A-26 &amp; L4-B-30) ( 4 Racks)</t>
  </si>
  <si>
    <t xml:space="preserve">IVL Finance Limited / Indiabulls Consumer Finance Limited / SAMMAAN CAPITAL LIMITED. </t>
  </si>
  <si>
    <t>L4 (L4-B-29 &amp; L4-A-28) ( 2 Racks)</t>
  </si>
  <si>
    <t xml:space="preserve">Indiabulls Housing Finance Limited / SAMMAAN CAPITAL LIMITED. </t>
  </si>
  <si>
    <t>L4-E-30, L4-E-31 &amp; L4-E-32</t>
  </si>
  <si>
    <t>ANI NETWORK PVT LTD</t>
  </si>
  <si>
    <t>DEL1-L4-CC6) 60 Racks)</t>
  </si>
  <si>
    <t>EDGE NETWORK SERVICES LIMITED</t>
  </si>
  <si>
    <t>DEL1-L4-CC7</t>
  </si>
  <si>
    <t xml:space="preserve"> GOOGLE INDIA PVT LTD (DEL-12 Google)</t>
  </si>
  <si>
    <t>DEL1-L4-CC8</t>
  </si>
  <si>
    <t>GOOGLE INDIA PVT LTD ( 903)</t>
  </si>
  <si>
    <t>DEL1-L4-CC9( 25 Racks)</t>
  </si>
  <si>
    <t>121000721, 121000722 &amp; 121000808</t>
  </si>
  <si>
    <t>DEL1-L4-CC10( 10 Racks)</t>
  </si>
  <si>
    <t>L4-A-01 &amp; L4-A-02</t>
  </si>
  <si>
    <t>Netskope INC/ Netskope Software India Private Limited</t>
  </si>
  <si>
    <t>121000330 &amp; 121000602</t>
  </si>
  <si>
    <t>L4-D-25, L4-D-26, L4-C-25, L4-C-26 &amp; L4-C-27</t>
  </si>
  <si>
    <t>ZSCALER SOFTECH INDIA PVT LTD</t>
  </si>
  <si>
    <t>121000809 &amp; 121000810</t>
  </si>
  <si>
    <t>L4-F-23</t>
  </si>
  <si>
    <t>U.P. Communication Services Pvt Ltd</t>
  </si>
  <si>
    <t>L4-F-26 &amp; L4-F-27</t>
  </si>
  <si>
    <t xml:space="preserve">Zenlayer </t>
  </si>
  <si>
    <t>L4-E-26</t>
  </si>
  <si>
    <t>TCI SUPPLY CHAIN SOLUTION A DIVISION OF TRANSPORT</t>
  </si>
  <si>
    <t>L4-D-27</t>
  </si>
  <si>
    <t>GIGANTIC INFOTEL PVT LTD</t>
  </si>
  <si>
    <t>121001524 &amp; 121001525</t>
  </si>
  <si>
    <t>L4-D-28</t>
  </si>
  <si>
    <t>DE CIX Interwire Internet Services Private Limited</t>
  </si>
  <si>
    <t>L4-E-28</t>
  </si>
  <si>
    <t>INFOLINK BROADBAND SERVICES PRIVATE LIMITED</t>
  </si>
  <si>
    <t>L4-F-24</t>
  </si>
  <si>
    <t>EDGEREDE PRIVATE LIMITED</t>
  </si>
  <si>
    <t>TEXES CONNECT PRIVATE LIMITE</t>
  </si>
  <si>
    <t>STARTREK TELECOM LTD</t>
  </si>
  <si>
    <t>WINMAX TELECOMMUNICATION INDIA PVT LTD</t>
  </si>
  <si>
    <t>121001685 &amp; 121001687</t>
  </si>
  <si>
    <t>TEJAYS INDUSTRIES PVT LTD</t>
  </si>
  <si>
    <t>HYOSEC SOLUTIONS PRIVATE LIMITED</t>
  </si>
  <si>
    <t>Nexusnet Networks Private Limited/ METANET TELECOMMUNICATIONS</t>
  </si>
  <si>
    <t>CORONET CORPORATION LIMITED ( 10U TO 14U)</t>
  </si>
  <si>
    <t>INSTALINKS</t>
  </si>
  <si>
    <t>ICX Global/ MEGATEL NETWORKS PVT LTD</t>
  </si>
  <si>
    <t>SWIFTIFY PVT LTD</t>
  </si>
  <si>
    <t>EKAM CONVERGENCE</t>
  </si>
  <si>
    <t>SKYNET INTERNET BROADBAND</t>
  </si>
  <si>
    <t xml:space="preserve">JOY DATA SERVICES </t>
  </si>
  <si>
    <t>L4-C-30</t>
  </si>
  <si>
    <t>Total of 4th Floor</t>
  </si>
  <si>
    <t>DEL1-L6-CC1</t>
  </si>
  <si>
    <t>PUNJAB &amp; SIND BANK-CONNECTIVITY</t>
  </si>
  <si>
    <t>L6-I-31 , L6-I-33, L6-G-33,L6-G-32 &amp; L6-D-31</t>
  </si>
  <si>
    <t>L6-G-26, L6-G-27, L6-G-28, L6-G-29, L6-G-30, L6-G-31</t>
  </si>
  <si>
    <t xml:space="preserve"> L6-F-27 to L6-F-33</t>
  </si>
  <si>
    <r>
      <t>ANONET COMMUNICATIONS PRIVATE LIMITED </t>
    </r>
    <r>
      <rPr>
        <sz val="12"/>
        <color rgb="FF000000"/>
        <rFont val="Times New Roman"/>
        <family val="1"/>
      </rPr>
      <t xml:space="preserve"> </t>
    </r>
  </si>
  <si>
    <t>DEL1-L6-CC2</t>
  </si>
  <si>
    <t>SUN PHARMACEUTICAL INDUSTRIES LTD-NORTH</t>
  </si>
  <si>
    <t>L6-E-05, L6-E-06, L6-D-05 &amp; L6-D-06</t>
  </si>
  <si>
    <t>NAINITAL BANK LTD</t>
  </si>
  <si>
    <t>L6-G-24</t>
  </si>
  <si>
    <t>L6-D-29</t>
  </si>
  <si>
    <t>L6-D-30</t>
  </si>
  <si>
    <t>L6-D-04</t>
  </si>
  <si>
    <t>DD TELECOM PVT LTD</t>
  </si>
  <si>
    <t xml:space="preserve"> L6-D-02</t>
  </si>
  <si>
    <t>REISNET BROADBAND PRIVATE LIMITED</t>
  </si>
  <si>
    <t>DEL1-L6-CC3</t>
  </si>
  <si>
    <t>RAIDEN INFOTECH INDIA PRIVATE LIMITED (DEL-21 Google)</t>
  </si>
  <si>
    <t>On actual</t>
  </si>
  <si>
    <t>A P COMTECH</t>
  </si>
  <si>
    <t>DEVDARPAN BROADBAND PRIVATE LIMITED (35U TO 36U)</t>
  </si>
  <si>
    <t>DVCOMM INFOTECH PRIVATE LIMITED</t>
  </si>
  <si>
    <t>Shivam Broadband/ARKTEL NETWORKS PVT LTD</t>
  </si>
  <si>
    <t>R P WORLD TELECOM PRIVATE LIMITED ( 33U TO 38 U)</t>
  </si>
  <si>
    <t>Zenlayer ( 26U)</t>
  </si>
  <si>
    <t>ADN BROADBAND PRIVATE LIMITED ( 11U TO 13U)</t>
  </si>
  <si>
    <t>SHIVTEL COMMUNICATIONS PRIVATE LIMITE ( 15 U TO 20U)</t>
  </si>
  <si>
    <t>INDINET SERVICE PRIVATE LIMITED( 7U TO 8U)</t>
  </si>
  <si>
    <t>L6-E-01 &amp; L6-E-02</t>
  </si>
  <si>
    <t>LIGHTSTORM DATA CENTERS PRIVATE LIMITED</t>
  </si>
  <si>
    <t>L6-G-25</t>
  </si>
  <si>
    <t>CISCO SYSTEMS INDIA PVT LTD</t>
  </si>
  <si>
    <t>L6-E-29 &amp; L6-E-30</t>
  </si>
  <si>
    <t>FIVE NETWORK BROADBAND SOLUTION PVT LTD</t>
  </si>
  <si>
    <t>L6-G-23</t>
  </si>
  <si>
    <t>ESTO NETWORKS PRIVATE LIMITED/ESTO MEDIA PRIVATE LIMITED</t>
  </si>
  <si>
    <t>L6-F-23</t>
  </si>
  <si>
    <t>CDOT</t>
  </si>
  <si>
    <t>L6D-28,L6-D-27,L6-D-26, L6-D-25, L6-D-24 &amp; L6-E-28,L-6-E-27, L6-E-26,L6-E25, L6-E-24</t>
  </si>
  <si>
    <t>WIPRO Limited / NABARD</t>
  </si>
  <si>
    <t>Telco Room L6 &amp; Network Rack</t>
  </si>
  <si>
    <t>Total of 6th Floor</t>
  </si>
  <si>
    <t>MMR-4</t>
  </si>
  <si>
    <t>CANDOR SOLUTION</t>
  </si>
  <si>
    <t>Total of MMR-4</t>
  </si>
  <si>
    <t>RAIDEN INFOTECH INDIA PRIVATE LIMITED</t>
  </si>
  <si>
    <t>On Actual</t>
  </si>
  <si>
    <t>Total of 1,2,3 Floor</t>
  </si>
  <si>
    <t>DEL1-L7-CC1</t>
  </si>
  <si>
    <t>s</t>
  </si>
  <si>
    <t>DEL1-L7-CC2</t>
  </si>
  <si>
    <t>FIVE9 TECHNOLOGIES INDIA PRIVATE LIMITED</t>
  </si>
  <si>
    <t>L7-E-02, L7-E-03, L7-D-01, L7-D-02 &amp; L7-D-03</t>
  </si>
  <si>
    <t>L7-G-15, L7-G-16, L7-G-17, L7-G-18 &amp; L7-G-19</t>
  </si>
  <si>
    <t>L7-E-04</t>
  </si>
  <si>
    <t>ACQUIRE LOGIX TECHNOLOGY PRIVATE LIMITED</t>
  </si>
  <si>
    <t>L7-A-22 to L7-A-28</t>
  </si>
  <si>
    <t>EIH LIMITED</t>
  </si>
  <si>
    <t xml:space="preserve">
L7-D-04</t>
  </si>
  <si>
    <t>R G TECHNOSOLUTIONS PRIVATE LIMITED</t>
  </si>
  <si>
    <t>MULTICRAFT DIGITAL TECHNOLOGIES PVT LTD</t>
  </si>
  <si>
    <t xml:space="preserve">
L7-F-18</t>
  </si>
  <si>
    <t>G.N Electronics</t>
  </si>
  <si>
    <t>RADINET INFO SOLUTIONS PVT. LTD</t>
  </si>
  <si>
    <t>U Space</t>
  </si>
  <si>
    <t>Faridabad Netcom</t>
  </si>
  <si>
    <t>MICRONET GIGAFIBER PRIVATE LIMITED</t>
  </si>
  <si>
    <t>L7-F-22</t>
  </si>
  <si>
    <t>THOUGHTSOL INFOTECH PRIVATE LIMITED</t>
  </si>
  <si>
    <t>L7-F-29</t>
  </si>
  <si>
    <t>SYNCEVO TECHNOLOGIES PRIVATE LIMITED</t>
  </si>
  <si>
    <t xml:space="preserve">
L7-D-05</t>
  </si>
  <si>
    <t>GTPL BROADBAND PVT LTD</t>
  </si>
  <si>
    <t>PROTOACT DIGITAL NETWORK PVT LTD</t>
  </si>
  <si>
    <t>DEL1-L7-CC3</t>
  </si>
  <si>
    <t>L7-G-23 &amp; L7-G-24</t>
  </si>
  <si>
    <t>MOODYS SHARED SERVICES INDIA PRIVATE LIMITED</t>
  </si>
  <si>
    <t>L7-F-23 &amp; L7-F-24</t>
  </si>
  <si>
    <t>DHANI LOANS AND SERVICES LIMITED</t>
  </si>
  <si>
    <t>L7-G-26</t>
  </si>
  <si>
    <t>L7-G-27</t>
  </si>
  <si>
    <t>L7-A-21</t>
  </si>
  <si>
    <t xml:space="preserve">INDIA BULLS HOUSING FINANCE LIMITED / SAMMAAN CAPITAL LIMITED. </t>
  </si>
  <si>
    <t>L7-A-01</t>
  </si>
  <si>
    <t>MEGAHERTZ INTERNET NETWORK PRIVATE LIMITED</t>
  </si>
  <si>
    <t>L7-A-8 TO L7-A-11( L7-101, L7-102,L7-103 &amp; L7-104)</t>
  </si>
  <si>
    <t xml:space="preserve">L7-E-16 TO L7-E-27 &amp; L7-D-16 TO L7-D-27 </t>
  </si>
  <si>
    <t xml:space="preserve">L7-C-06, L7-C-08 , L7-C-10, L7-C-12,L7-B-03, L7-B-05, L7-B-07, L7-B-09, L7-B-11, L7-B-13, L7-G-08, L7-G-10, L7-G-12 , L7-F-09 &amp; L7-F-11 </t>
  </si>
  <si>
    <t>Cloude flare</t>
  </si>
  <si>
    <t>L7-A-15, L7-A-16, L7-A-17 , L7-A-18, L7-A-19 &amp; L7-A-20</t>
  </si>
  <si>
    <t xml:space="preserve">L7-F-21 </t>
  </si>
  <si>
    <t>Onextel Media Pvt. Ltd.</t>
  </si>
  <si>
    <t>L7- G-01, L7-G-02 , L7-F-02</t>
  </si>
  <si>
    <t>Haryana Central Excise project / Wipro Limited</t>
  </si>
  <si>
    <t>L7-F-01</t>
  </si>
  <si>
    <t>Avnatha Power Project/ NTPC</t>
  </si>
  <si>
    <t>L7-G-21</t>
  </si>
  <si>
    <t>L7-G-22</t>
  </si>
  <si>
    <t xml:space="preserve">National Internet Exchange of India </t>
  </si>
  <si>
    <t>L7-G-20</t>
  </si>
  <si>
    <t>On-Remote</t>
  </si>
  <si>
    <t xml:space="preserve"> L7-F-26 </t>
  </si>
  <si>
    <t xml:space="preserve">ELYZIUM TECHNOLOGIES PRIVATE LIMITED </t>
  </si>
  <si>
    <t>VANSHIKA INFOTECH</t>
  </si>
  <si>
    <t>L7-F-27</t>
  </si>
  <si>
    <t xml:space="preserve"> L7-F-28</t>
  </si>
  <si>
    <t xml:space="preserve"> ESTO MEDIA PRIVATE LIMITED</t>
  </si>
  <si>
    <t>L7-A-00</t>
  </si>
  <si>
    <t xml:space="preserve">SAFEGUARD WORLD PAYROLL SERVICES PRIVATE LIMITED (Name Changed -GLOBAL UPSIDE SERVICES INDIA PVT LTD) </t>
  </si>
  <si>
    <t>L7-F-19</t>
  </si>
  <si>
    <t>L7-G-25</t>
  </si>
  <si>
    <t>COINGEIT TECHNOLOGIES PRIVATE LIMITED</t>
  </si>
  <si>
    <t>L7-F-00</t>
  </si>
  <si>
    <t xml:space="preserve">NAS Internet </t>
  </si>
  <si>
    <t>L7-G-28</t>
  </si>
  <si>
    <t xml:space="preserve">DIGITAX INDIA COMMUNICATIONS PRIVATE LIMITED </t>
  </si>
  <si>
    <t>L7-E-5</t>
  </si>
  <si>
    <t>L7-G-00</t>
  </si>
  <si>
    <t>L7-G-29</t>
  </si>
  <si>
    <t>AMITEL INDIA PRIVATE LIMITED</t>
  </si>
  <si>
    <t>L7-F-30 &amp; L7-G-30</t>
  </si>
  <si>
    <t>BT GLOBAL COMMUNICATIONS INDIA PVT LTD</t>
  </si>
  <si>
    <t>L7-F-16 &amp; L7-F-17</t>
  </si>
  <si>
    <t>SPACE WORLD DIGITAL SOLUTIONS PRIVATE LI</t>
  </si>
  <si>
    <t>L7-F-20</t>
  </si>
  <si>
    <t>L7-F-14</t>
  </si>
  <si>
    <t>Praction Network</t>
  </si>
  <si>
    <t>L7-F-15</t>
  </si>
  <si>
    <t xml:space="preserve">ISHAN NETSOL PVT LTD </t>
  </si>
  <si>
    <t>L7-G-14</t>
  </si>
  <si>
    <t>Telco Room L7 &amp; Network Rack</t>
  </si>
  <si>
    <t>Total of 7th Floor</t>
  </si>
  <si>
    <t>NOI-TB-L1-A-03 TO NOI-TB-L1-A-13                                  NOI-TB-L1-B-01 TO NOI-TB-L1-B-08                                            NOI-TB-L1-B-11 TO NOI-TB-L1-B-13</t>
  </si>
  <si>
    <t>NOI-TB-L1-C-03 TO NOI-TB-L1-C-07                                               NOI-TB-L1-D-03 TO NOI-TB-L1-D-07</t>
  </si>
  <si>
    <t>Zscaler</t>
  </si>
  <si>
    <t>Optical Cage</t>
  </si>
  <si>
    <t>IP CAGE</t>
  </si>
  <si>
    <t>NOI-TB-L1-B-15 TO NOI-TB-L1-B-16</t>
  </si>
  <si>
    <t>ONEXTEL</t>
  </si>
  <si>
    <t>Total of 1st Floor</t>
  </si>
  <si>
    <t xml:space="preserve">L2 FLOOR </t>
  </si>
  <si>
    <t>OCI</t>
  </si>
  <si>
    <t>Total of 2nd  Floor</t>
  </si>
  <si>
    <t>Total of 8th  Floor</t>
  </si>
  <si>
    <t>Server HALL L8</t>
  </si>
  <si>
    <t>Fastly</t>
  </si>
  <si>
    <t>NOI02 -TB-L8 -A-20  NOI02 -TB-L8 -A-21</t>
  </si>
  <si>
    <t>Chi Network</t>
  </si>
  <si>
    <t>NOI02 -TB-L8 -B-19  NOI02 -TB-L8 -B-23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</si>
</sst>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_(* #,##0.00_);_(* \(#,##0.00\);_(* &quot;-&quot;??_);_(@_)"/>
    <numFmt numFmtId="166" formatCode="_(* #,##0_);_(* \(#,##0\);_(* &quot;-&quot;??_);_(@_)"/>
    <numFmt numFmtId="167" formatCode="0.00_);[Red]\(0.00\)"/>
    <numFmt numFmtId="168" formatCode="0_);[Red]\(0\)"/>
    <numFmt numFmtId="169" formatCode="_ [$₹-4009]\ * #,##0_ ;_ [$₹-4009]\ * \-#,##0_ ;_ [$₹-4009]\ * &quot;-&quot;??_ ;_ @_ "/>
    <numFmt numFmtId="170" formatCode="_ [$₹-4009]\ * #,##0.00_ ;_ [$₹-4009]\ * \-#,##0.00_ ;_ [$₹-4009]\ * &quot;-&quot;??_ ;_ @_ "/>
    <numFmt numFmtId="171" formatCode="_-[$$-409]* #,##0_ ;_-[$$-409]* \-#,##0\ ;_-[$$-409]* &quot;-&quot;_ ;_-@_ "/>
  </numFmts>
  <fonts count="52"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charset val="1"/>
    </font>
    <font>
      <u/>
      <sz val="11"/>
      <color theme="10"/>
      <name val="Calibri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30"/>
      <name val="Calibri"/>
      <family val="2"/>
      <scheme val="minor"/>
    </font>
    <font>
      <sz val="10"/>
      <name val="Arial"/>
      <family val="2"/>
    </font>
    <font>
      <sz val="10"/>
      <color rgb="FFFF0000"/>
      <name val="Calibri"/>
      <family val="2"/>
      <scheme val="minor"/>
    </font>
    <font>
      <sz val="8"/>
      <name val="Trebuchet MS"/>
      <family val="2"/>
    </font>
    <font>
      <sz val="1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8"/>
      <name val="Calibri"/>
      <family val="2"/>
    </font>
    <font>
      <b/>
      <sz val="6"/>
      <color indexed="8"/>
      <name val="Calibri"/>
      <family val="2"/>
      <scheme val="minor"/>
    </font>
    <font>
      <sz val="6"/>
      <color indexed="8"/>
      <name val="Calibri"/>
      <family val="2"/>
      <scheme val="minor"/>
    </font>
    <font>
      <sz val="6"/>
      <color indexed="8"/>
      <name val="Calibri"/>
      <family val="2"/>
    </font>
    <font>
      <b/>
      <sz val="10"/>
      <color theme="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5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theme="8" tint="0.39997558519241921"/>
        <bgColor indexed="22"/>
      </patternFill>
    </fill>
    <fill>
      <patternFill patternType="solid">
        <fgColor indexed="50"/>
        <bgColor indexed="22"/>
      </patternFill>
    </fill>
    <fill>
      <patternFill patternType="solid">
        <fgColor indexed="9"/>
        <bgColor indexed="8"/>
      </patternFill>
    </fill>
    <fill>
      <patternFill patternType="solid">
        <fgColor indexed="17"/>
        <bgColor indexed="22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22"/>
      </patternFill>
    </fill>
    <fill>
      <patternFill patternType="solid">
        <fgColor rgb="FF00B050"/>
        <bgColor indexed="2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0"/>
        <bgColor indexed="2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22"/>
      </patternFill>
    </fill>
    <fill>
      <patternFill patternType="solid">
        <fgColor rgb="FF00B0F0"/>
        <bgColor indexed="8"/>
      </patternFill>
    </fill>
    <fill>
      <patternFill patternType="solid">
        <fgColor rgb="FF00B0F0"/>
        <bgColor rgb="FFF2F2F2"/>
      </patternFill>
    </fill>
    <fill>
      <patternFill patternType="solid">
        <fgColor theme="0"/>
        <bgColor indexed="8"/>
      </patternFill>
    </fill>
  </fills>
  <borders count="5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90">
    <xf numFmtId="0" fontId="0" fillId="0" borderId="0"/>
    <xf numFmtId="0" fontId="21" fillId="2" borderId="0" applyNumberFormat="0" applyBorder="0" applyAlignment="0" applyProtection="0"/>
    <xf numFmtId="0" fontId="21" fillId="3" borderId="0" applyNumberFormat="0" applyBorder="0" applyAlignment="0" applyProtection="0"/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6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5" borderId="0" applyNumberFormat="0" applyBorder="0" applyAlignment="0" applyProtection="0"/>
    <xf numFmtId="0" fontId="21" fillId="8" borderId="0" applyNumberFormat="0" applyBorder="0" applyAlignment="0" applyProtection="0"/>
    <xf numFmtId="0" fontId="2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4" fillId="0" borderId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1" fillId="0" borderId="0"/>
    <xf numFmtId="0" fontId="21" fillId="23" borderId="7" applyNumberForma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ill="0" applyBorder="0" applyAlignment="0" applyProtection="0"/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29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21" fillId="0" borderId="0"/>
    <xf numFmtId="0" fontId="2" fillId="0" borderId="0"/>
    <xf numFmtId="0" fontId="34" fillId="0" borderId="0"/>
    <xf numFmtId="0" fontId="35" fillId="0" borderId="0"/>
    <xf numFmtId="9" fontId="21" fillId="0" borderId="0" applyFont="0" applyFill="0" applyBorder="0" applyAlignment="0" applyProtection="0"/>
    <xf numFmtId="0" fontId="25" fillId="0" borderId="0"/>
    <xf numFmtId="0" fontId="39" fillId="0" borderId="0"/>
    <xf numFmtId="0" fontId="29" fillId="0" borderId="0"/>
    <xf numFmtId="0" fontId="7" fillId="20" borderId="34" applyNumberFormat="0" applyAlignment="0" applyProtection="0"/>
    <xf numFmtId="0" fontId="14" fillId="7" borderId="34" applyNumberFormat="0" applyAlignment="0" applyProtection="0"/>
    <xf numFmtId="0" fontId="21" fillId="23" borderId="35" applyNumberFormat="0" applyAlignment="0" applyProtection="0"/>
    <xf numFmtId="0" fontId="17" fillId="20" borderId="36" applyNumberFormat="0" applyAlignment="0" applyProtection="0"/>
    <xf numFmtId="0" fontId="19" fillId="0" borderId="37" applyNumberFormat="0" applyFill="0" applyAlignment="0" applyProtection="0"/>
    <xf numFmtId="0" fontId="1" fillId="0" borderId="0"/>
    <xf numFmtId="164" fontId="2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25" fillId="0" borderId="0"/>
  </cellStyleXfs>
  <cellXfs count="493">
    <xf numFmtId="0" fontId="0" fillId="0" borderId="0" xfId="0"/>
    <xf numFmtId="2" fontId="31" fillId="25" borderId="0" xfId="68" applyNumberFormat="1" applyFont="1" applyFill="1" applyAlignment="1">
      <alignment horizontal="center" vertical="center"/>
    </xf>
    <xf numFmtId="166" fontId="31" fillId="25" borderId="0" xfId="66" applyNumberFormat="1" applyFont="1" applyFill="1" applyBorder="1" applyAlignment="1">
      <alignment horizontal="center" vertical="center"/>
    </xf>
    <xf numFmtId="0" fontId="37" fillId="24" borderId="0" xfId="29" applyFont="1" applyFill="1" applyAlignment="1">
      <alignment vertical="center"/>
    </xf>
    <xf numFmtId="2" fontId="37" fillId="24" borderId="0" xfId="28" applyNumberFormat="1" applyFont="1" applyFill="1" applyAlignment="1">
      <alignment vertical="center"/>
    </xf>
    <xf numFmtId="0" fontId="37" fillId="24" borderId="0" xfId="28" applyFont="1" applyFill="1" applyAlignment="1">
      <alignment vertical="center"/>
    </xf>
    <xf numFmtId="167" fontId="37" fillId="24" borderId="0" xfId="28" applyNumberFormat="1" applyFont="1" applyFill="1" applyAlignment="1">
      <alignment vertical="center"/>
    </xf>
    <xf numFmtId="0" fontId="36" fillId="24" borderId="0" xfId="29" applyFont="1" applyFill="1" applyAlignment="1">
      <alignment vertical="center"/>
    </xf>
    <xf numFmtId="0" fontId="37" fillId="24" borderId="0" xfId="28" applyFont="1" applyFill="1" applyAlignment="1">
      <alignment horizontal="left" vertical="center"/>
    </xf>
    <xf numFmtId="2" fontId="37" fillId="24" borderId="0" xfId="29" applyNumberFormat="1" applyFont="1" applyFill="1" applyAlignment="1">
      <alignment vertical="center"/>
    </xf>
    <xf numFmtId="166" fontId="37" fillId="24" borderId="0" xfId="66" applyNumberFormat="1" applyFont="1" applyFill="1" applyBorder="1" applyAlignment="1">
      <alignment vertical="center"/>
    </xf>
    <xf numFmtId="0" fontId="28" fillId="24" borderId="0" xfId="29" applyFont="1" applyFill="1" applyAlignment="1">
      <alignment vertical="center"/>
    </xf>
    <xf numFmtId="167" fontId="37" fillId="24" borderId="0" xfId="29" applyNumberFormat="1" applyFont="1" applyFill="1" applyAlignment="1">
      <alignment vertical="center"/>
    </xf>
    <xf numFmtId="2" fontId="37" fillId="24" borderId="0" xfId="29" applyNumberFormat="1" applyFont="1" applyFill="1" applyAlignment="1">
      <alignment horizontal="center" vertical="center"/>
    </xf>
    <xf numFmtId="167" fontId="37" fillId="24" borderId="0" xfId="68" applyNumberFormat="1" applyFont="1" applyFill="1" applyAlignment="1">
      <alignment vertical="center"/>
    </xf>
    <xf numFmtId="2" fontId="37" fillId="24" borderId="0" xfId="68" applyNumberFormat="1" applyFont="1" applyFill="1" applyAlignment="1">
      <alignment horizontal="center" vertical="center"/>
    </xf>
    <xf numFmtId="0" fontId="37" fillId="38" borderId="0" xfId="28" applyFont="1" applyFill="1" applyAlignment="1">
      <alignment vertical="center"/>
    </xf>
    <xf numFmtId="2" fontId="37" fillId="24" borderId="0" xfId="28" applyNumberFormat="1" applyFont="1" applyFill="1" applyAlignment="1">
      <alignment horizontal="center" vertical="center"/>
    </xf>
    <xf numFmtId="2" fontId="31" fillId="26" borderId="0" xfId="68" applyNumberFormat="1" applyFont="1" applyFill="1" applyAlignment="1">
      <alignment horizontal="center" vertical="center"/>
    </xf>
    <xf numFmtId="166" fontId="31" fillId="26" borderId="0" xfId="66" applyNumberFormat="1" applyFont="1" applyFill="1" applyBorder="1" applyAlignment="1">
      <alignment horizontal="center" vertical="center"/>
    </xf>
    <xf numFmtId="2" fontId="31" fillId="25" borderId="0" xfId="68" applyNumberFormat="1" applyFont="1" applyFill="1" applyAlignment="1">
      <alignment horizontal="left" vertical="center"/>
    </xf>
    <xf numFmtId="9" fontId="37" fillId="24" borderId="0" xfId="75" applyFont="1" applyFill="1" applyBorder="1" applyAlignment="1">
      <alignment horizontal="center" vertical="center"/>
    </xf>
    <xf numFmtId="166" fontId="37" fillId="24" borderId="0" xfId="28" applyNumberFormat="1" applyFont="1" applyFill="1" applyAlignment="1">
      <alignment vertical="center"/>
    </xf>
    <xf numFmtId="0" fontId="28" fillId="24" borderId="0" xfId="28" applyFont="1" applyFill="1" applyAlignment="1">
      <alignment vertical="center"/>
    </xf>
    <xf numFmtId="0" fontId="28" fillId="38" borderId="0" xfId="28" applyFont="1" applyFill="1" applyAlignment="1">
      <alignment vertical="center"/>
    </xf>
    <xf numFmtId="169" fontId="31" fillId="25" borderId="0" xfId="28" applyNumberFormat="1" applyFont="1" applyFill="1" applyAlignment="1">
      <alignment vertical="center"/>
    </xf>
    <xf numFmtId="169" fontId="0" fillId="0" borderId="0" xfId="0" applyNumberFormat="1"/>
    <xf numFmtId="166" fontId="31" fillId="25" borderId="0" xfId="66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37" fillId="24" borderId="0" xfId="28" applyNumberFormat="1" applyFon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2" fontId="36" fillId="24" borderId="0" xfId="28" applyNumberFormat="1" applyFont="1" applyFill="1" applyAlignment="1">
      <alignment vertical="center" wrapText="1"/>
    </xf>
    <xf numFmtId="0" fontId="46" fillId="24" borderId="10" xfId="29" applyFont="1" applyFill="1" applyBorder="1" applyAlignment="1">
      <alignment horizontal="center" vertical="center" wrapText="1"/>
    </xf>
    <xf numFmtId="2" fontId="47" fillId="24" borderId="10" xfId="28" applyNumberFormat="1" applyFont="1" applyFill="1" applyBorder="1" applyAlignment="1">
      <alignment horizontal="left" vertical="center" wrapText="1"/>
    </xf>
    <xf numFmtId="2" fontId="47" fillId="24" borderId="0" xfId="28" applyNumberFormat="1" applyFont="1" applyFill="1" applyAlignment="1">
      <alignment horizontal="left" vertical="center" wrapText="1"/>
    </xf>
    <xf numFmtId="0" fontId="48" fillId="0" borderId="0" xfId="0" applyFont="1" applyAlignment="1">
      <alignment horizontal="left" wrapText="1"/>
    </xf>
    <xf numFmtId="2" fontId="37" fillId="24" borderId="0" xfId="28" applyNumberFormat="1" applyFont="1" applyFill="1" applyAlignment="1">
      <alignment vertical="center" wrapText="1"/>
    </xf>
    <xf numFmtId="0" fontId="19" fillId="0" borderId="0" xfId="0" applyFont="1" applyAlignment="1">
      <alignment wrapText="1"/>
    </xf>
    <xf numFmtId="2" fontId="36" fillId="40" borderId="20" xfId="29" applyNumberFormat="1" applyFont="1" applyFill="1" applyBorder="1" applyAlignment="1">
      <alignment horizontal="center" vertical="center" wrapText="1"/>
    </xf>
    <xf numFmtId="0" fontId="36" fillId="40" borderId="13" xfId="29" applyFont="1" applyFill="1" applyBorder="1" applyAlignment="1">
      <alignment horizontal="center" vertical="center" wrapText="1"/>
    </xf>
    <xf numFmtId="2" fontId="36" fillId="40" borderId="14" xfId="29" applyNumberFormat="1" applyFont="1" applyFill="1" applyBorder="1" applyAlignment="1">
      <alignment horizontal="center" vertical="center" wrapText="1"/>
    </xf>
    <xf numFmtId="2" fontId="36" fillId="40" borderId="15" xfId="29" applyNumberFormat="1" applyFont="1" applyFill="1" applyBorder="1" applyAlignment="1">
      <alignment horizontal="center" vertical="center" wrapText="1"/>
    </xf>
    <xf numFmtId="0" fontId="36" fillId="40" borderId="19" xfId="29" applyFont="1" applyFill="1" applyBorder="1" applyAlignment="1">
      <alignment horizontal="center" vertical="center" wrapText="1"/>
    </xf>
    <xf numFmtId="0" fontId="36" fillId="40" borderId="20" xfId="28" applyFont="1" applyFill="1" applyBorder="1" applyAlignment="1">
      <alignment vertical="center" wrapText="1"/>
    </xf>
    <xf numFmtId="2" fontId="36" fillId="40" borderId="21" xfId="29" applyNumberFormat="1" applyFont="1" applyFill="1" applyBorder="1" applyAlignment="1">
      <alignment horizontal="center" vertical="center" wrapText="1"/>
    </xf>
    <xf numFmtId="2" fontId="36" fillId="40" borderId="20" xfId="28" applyNumberFormat="1" applyFont="1" applyFill="1" applyBorder="1" applyAlignment="1">
      <alignment vertical="center" wrapText="1"/>
    </xf>
    <xf numFmtId="2" fontId="36" fillId="40" borderId="21" xfId="28" applyNumberFormat="1" applyFont="1" applyFill="1" applyBorder="1" applyAlignment="1">
      <alignment vertical="center" wrapText="1"/>
    </xf>
    <xf numFmtId="2" fontId="36" fillId="46" borderId="20" xfId="29" applyNumberFormat="1" applyFont="1" applyFill="1" applyBorder="1" applyAlignment="1">
      <alignment horizontal="center" vertical="center" wrapText="1"/>
    </xf>
    <xf numFmtId="2" fontId="36" fillId="46" borderId="21" xfId="29" applyNumberFormat="1" applyFont="1" applyFill="1" applyBorder="1" applyAlignment="1">
      <alignment horizontal="center" vertical="center" wrapText="1"/>
    </xf>
    <xf numFmtId="0" fontId="36" fillId="25" borderId="14" xfId="29" applyFont="1" applyFill="1" applyBorder="1" applyAlignment="1">
      <alignment horizontal="center" vertical="center"/>
    </xf>
    <xf numFmtId="0" fontId="36" fillId="25" borderId="14" xfId="29" applyFont="1" applyFill="1" applyBorder="1" applyAlignment="1">
      <alignment horizontal="center" vertical="center" wrapText="1"/>
    </xf>
    <xf numFmtId="2" fontId="27" fillId="25" borderId="14" xfId="29" applyNumberFormat="1" applyFont="1" applyFill="1" applyBorder="1" applyAlignment="1">
      <alignment horizontal="center" vertical="center" wrapText="1"/>
    </xf>
    <xf numFmtId="167" fontId="36" fillId="25" borderId="14" xfId="29" applyNumberFormat="1" applyFont="1" applyFill="1" applyBorder="1" applyAlignment="1">
      <alignment horizontal="center" vertical="center" wrapText="1"/>
    </xf>
    <xf numFmtId="0" fontId="36" fillId="25" borderId="14" xfId="50" applyFont="1" applyFill="1" applyBorder="1" applyAlignment="1">
      <alignment horizontal="center" vertical="center" wrapText="1"/>
    </xf>
    <xf numFmtId="167" fontId="27" fillId="25" borderId="14" xfId="29" applyNumberFormat="1" applyFont="1" applyFill="1" applyBorder="1" applyAlignment="1">
      <alignment horizontal="center" vertical="center" wrapText="1"/>
    </xf>
    <xf numFmtId="0" fontId="36" fillId="0" borderId="14" xfId="31" applyFont="1" applyBorder="1" applyAlignment="1">
      <alignment horizontal="center" vertical="center" wrapText="1"/>
    </xf>
    <xf numFmtId="0" fontId="36" fillId="25" borderId="14" xfId="28" applyFont="1" applyFill="1" applyBorder="1" applyAlignment="1">
      <alignment vertical="center"/>
    </xf>
    <xf numFmtId="0" fontId="36" fillId="25" borderId="14" xfId="28" applyFont="1" applyFill="1" applyBorder="1" applyAlignment="1">
      <alignment vertical="center" wrapText="1"/>
    </xf>
    <xf numFmtId="166" fontId="27" fillId="25" borderId="14" xfId="66" applyNumberFormat="1" applyFont="1" applyFill="1" applyBorder="1" applyAlignment="1">
      <alignment horizontal="center" vertical="center" wrapText="1"/>
    </xf>
    <xf numFmtId="0" fontId="36" fillId="25" borderId="14" xfId="28" applyFont="1" applyFill="1" applyBorder="1" applyAlignment="1">
      <alignment horizontal="left" vertical="center" wrapText="1"/>
    </xf>
    <xf numFmtId="0" fontId="36" fillId="25" borderId="15" xfId="28" applyFont="1" applyFill="1" applyBorder="1" applyAlignment="1">
      <alignment vertical="center"/>
    </xf>
    <xf numFmtId="0" fontId="36" fillId="24" borderId="13" xfId="28" applyFont="1" applyFill="1" applyBorder="1" applyAlignment="1">
      <alignment vertical="center"/>
    </xf>
    <xf numFmtId="2" fontId="36" fillId="40" borderId="25" xfId="29" applyNumberFormat="1" applyFont="1" applyFill="1" applyBorder="1" applyAlignment="1">
      <alignment horizontal="center" vertical="center" wrapText="1"/>
    </xf>
    <xf numFmtId="2" fontId="27" fillId="40" borderId="14" xfId="29" applyNumberFormat="1" applyFont="1" applyFill="1" applyBorder="1" applyAlignment="1">
      <alignment horizontal="center" vertical="center" wrapText="1"/>
    </xf>
    <xf numFmtId="0" fontId="37" fillId="47" borderId="0" xfId="28" applyFont="1" applyFill="1" applyAlignment="1">
      <alignment vertical="center"/>
    </xf>
    <xf numFmtId="166" fontId="37" fillId="47" borderId="0" xfId="28" applyNumberFormat="1" applyFont="1" applyFill="1" applyAlignment="1">
      <alignment vertical="center"/>
    </xf>
    <xf numFmtId="0" fontId="37" fillId="49" borderId="0" xfId="28" applyFont="1" applyFill="1" applyAlignment="1">
      <alignment vertical="center"/>
    </xf>
    <xf numFmtId="0" fontId="37" fillId="0" borderId="0" xfId="28" applyFont="1" applyAlignment="1">
      <alignment vertical="center"/>
    </xf>
    <xf numFmtId="166" fontId="37" fillId="0" borderId="0" xfId="28" applyNumberFormat="1" applyFont="1" applyAlignment="1">
      <alignment vertical="center"/>
    </xf>
    <xf numFmtId="2" fontId="37" fillId="35" borderId="10" xfId="31" applyNumberFormat="1" applyFont="1" applyFill="1" applyBorder="1" applyAlignment="1">
      <alignment horizontal="center" vertical="center" wrapText="1"/>
    </xf>
    <xf numFmtId="0" fontId="37" fillId="24" borderId="10" xfId="31" applyFont="1" applyFill="1" applyBorder="1" applyAlignment="1">
      <alignment horizontal="center" vertical="center"/>
    </xf>
    <xf numFmtId="0" fontId="36" fillId="0" borderId="13" xfId="28" applyFont="1" applyBorder="1" applyAlignment="1">
      <alignment vertical="center"/>
    </xf>
    <xf numFmtId="0" fontId="36" fillId="0" borderId="14" xfId="28" applyFont="1" applyBorder="1" applyAlignment="1">
      <alignment vertical="center"/>
    </xf>
    <xf numFmtId="0" fontId="36" fillId="0" borderId="15" xfId="31" applyFont="1" applyBorder="1" applyAlignment="1">
      <alignment horizontal="center" vertical="center" wrapText="1"/>
    </xf>
    <xf numFmtId="0" fontId="37" fillId="38" borderId="0" xfId="28" applyFont="1" applyFill="1" applyAlignment="1">
      <alignment horizontal="center" vertical="center" wrapText="1"/>
    </xf>
    <xf numFmtId="0" fontId="37" fillId="47" borderId="26" xfId="28" applyFont="1" applyFill="1" applyBorder="1" applyAlignment="1">
      <alignment vertical="center"/>
    </xf>
    <xf numFmtId="0" fontId="36" fillId="48" borderId="27" xfId="31" applyFont="1" applyFill="1" applyBorder="1" applyAlignment="1">
      <alignment horizontal="center" vertical="center" wrapText="1"/>
    </xf>
    <xf numFmtId="0" fontId="37" fillId="47" borderId="27" xfId="28" applyFont="1" applyFill="1" applyBorder="1" applyAlignment="1">
      <alignment vertical="center"/>
    </xf>
    <xf numFmtId="168" fontId="36" fillId="48" borderId="27" xfId="31" applyNumberFormat="1" applyFont="1" applyFill="1" applyBorder="1" applyAlignment="1">
      <alignment horizontal="center" vertical="center" wrapText="1"/>
    </xf>
    <xf numFmtId="2" fontId="37" fillId="47" borderId="27" xfId="29" applyNumberFormat="1" applyFont="1" applyFill="1" applyBorder="1" applyAlignment="1">
      <alignment horizontal="center" vertical="center"/>
    </xf>
    <xf numFmtId="2" fontId="36" fillId="48" borderId="27" xfId="31" applyNumberFormat="1" applyFont="1" applyFill="1" applyBorder="1" applyAlignment="1">
      <alignment horizontal="center" vertical="center" wrapText="1"/>
    </xf>
    <xf numFmtId="167" fontId="36" fillId="48" borderId="27" xfId="31" applyNumberFormat="1" applyFont="1" applyFill="1" applyBorder="1" applyAlignment="1">
      <alignment horizontal="center" vertical="center" wrapText="1"/>
    </xf>
    <xf numFmtId="2" fontId="37" fillId="47" borderId="27" xfId="68" applyNumberFormat="1" applyFont="1" applyFill="1" applyBorder="1" applyAlignment="1">
      <alignment horizontal="center" vertical="center"/>
    </xf>
    <xf numFmtId="166" fontId="37" fillId="48" borderId="27" xfId="66" applyNumberFormat="1" applyFont="1" applyFill="1" applyBorder="1" applyAlignment="1">
      <alignment horizontal="center" vertical="center" wrapText="1"/>
    </xf>
    <xf numFmtId="0" fontId="37" fillId="47" borderId="27" xfId="31" applyFont="1" applyFill="1" applyBorder="1" applyAlignment="1">
      <alignment horizontal="left" vertical="center"/>
    </xf>
    <xf numFmtId="169" fontId="36" fillId="48" borderId="27" xfId="66" applyNumberFormat="1" applyFont="1" applyFill="1" applyBorder="1" applyAlignment="1">
      <alignment horizontal="center" vertical="center" wrapText="1"/>
    </xf>
    <xf numFmtId="0" fontId="37" fillId="47" borderId="27" xfId="28" applyFont="1" applyFill="1" applyBorder="1" applyAlignment="1">
      <alignment horizontal="left" vertical="center"/>
    </xf>
    <xf numFmtId="0" fontId="37" fillId="47" borderId="27" xfId="28" applyFont="1" applyFill="1" applyBorder="1" applyAlignment="1">
      <alignment horizontal="center" vertical="center"/>
    </xf>
    <xf numFmtId="0" fontId="37" fillId="47" borderId="28" xfId="28" applyFont="1" applyFill="1" applyBorder="1" applyAlignment="1">
      <alignment vertical="center"/>
    </xf>
    <xf numFmtId="0" fontId="37" fillId="38" borderId="31" xfId="28" applyFont="1" applyFill="1" applyBorder="1" applyAlignment="1">
      <alignment vertical="center"/>
    </xf>
    <xf numFmtId="0" fontId="0" fillId="0" borderId="12" xfId="0" applyBorder="1" applyAlignment="1">
      <alignment horizontal="center" wrapText="1"/>
    </xf>
    <xf numFmtId="2" fontId="37" fillId="35" borderId="12" xfId="31" applyNumberFormat="1" applyFont="1" applyFill="1" applyBorder="1" applyAlignment="1">
      <alignment horizontal="center" vertical="center" wrapText="1"/>
    </xf>
    <xf numFmtId="0" fontId="37" fillId="24" borderId="12" xfId="31" applyFont="1" applyFill="1" applyBorder="1" applyAlignment="1">
      <alignment horizontal="center" vertical="center"/>
    </xf>
    <xf numFmtId="168" fontId="37" fillId="35" borderId="12" xfId="31" applyNumberFormat="1" applyFont="1" applyFill="1" applyBorder="1" applyAlignment="1">
      <alignment horizontal="center" vertical="center" wrapText="1"/>
    </xf>
    <xf numFmtId="169" fontId="37" fillId="35" borderId="12" xfId="31" applyNumberFormat="1" applyFont="1" applyFill="1" applyBorder="1" applyAlignment="1">
      <alignment horizontal="center" vertical="center" wrapText="1"/>
    </xf>
    <xf numFmtId="2" fontId="37" fillId="24" borderId="12" xfId="29" applyNumberFormat="1" applyFont="1" applyFill="1" applyBorder="1" applyAlignment="1">
      <alignment horizontal="center" vertical="center"/>
    </xf>
    <xf numFmtId="169" fontId="31" fillId="33" borderId="12" xfId="66" applyNumberFormat="1" applyFont="1" applyFill="1" applyBorder="1" applyAlignment="1">
      <alignment horizontal="center" vertical="center" wrapText="1"/>
    </xf>
    <xf numFmtId="2" fontId="37" fillId="24" borderId="12" xfId="68" applyNumberFormat="1" applyFont="1" applyFill="1" applyBorder="1" applyAlignment="1">
      <alignment horizontal="center" vertical="center"/>
    </xf>
    <xf numFmtId="170" fontId="37" fillId="35" borderId="12" xfId="31" applyNumberFormat="1" applyFont="1" applyFill="1" applyBorder="1" applyAlignment="1">
      <alignment horizontal="center" vertical="center" wrapText="1"/>
    </xf>
    <xf numFmtId="166" fontId="37" fillId="35" borderId="12" xfId="66" applyNumberFormat="1" applyFont="1" applyFill="1" applyBorder="1" applyAlignment="1">
      <alignment horizontal="center" vertical="center" wrapText="1"/>
    </xf>
    <xf numFmtId="0" fontId="37" fillId="24" borderId="12" xfId="31" applyFont="1" applyFill="1" applyBorder="1" applyAlignment="1">
      <alignment horizontal="left" vertical="center"/>
    </xf>
    <xf numFmtId="169" fontId="37" fillId="38" borderId="12" xfId="66" applyNumberFormat="1" applyFont="1" applyFill="1" applyBorder="1" applyAlignment="1">
      <alignment vertical="center"/>
    </xf>
    <xf numFmtId="169" fontId="37" fillId="24" borderId="12" xfId="66" applyNumberFormat="1" applyFont="1" applyFill="1" applyBorder="1" applyAlignment="1">
      <alignment vertical="center"/>
    </xf>
    <xf numFmtId="169" fontId="37" fillId="24" borderId="12" xfId="28" applyNumberFormat="1" applyFont="1" applyFill="1" applyBorder="1" applyAlignment="1">
      <alignment vertical="center"/>
    </xf>
    <xf numFmtId="169" fontId="36" fillId="38" borderId="12" xfId="66" applyNumberFormat="1" applyFont="1" applyFill="1" applyBorder="1" applyAlignment="1">
      <alignment vertical="center"/>
    </xf>
    <xf numFmtId="0" fontId="37" fillId="24" borderId="12" xfId="28" applyFont="1" applyFill="1" applyBorder="1" applyAlignment="1">
      <alignment horizontal="left" vertical="center" wrapText="1"/>
    </xf>
    <xf numFmtId="17" fontId="37" fillId="24" borderId="12" xfId="28" applyNumberFormat="1" applyFont="1" applyFill="1" applyBorder="1" applyAlignment="1">
      <alignment horizontal="left" vertical="center"/>
    </xf>
    <xf numFmtId="0" fontId="37" fillId="24" borderId="12" xfId="28" applyFont="1" applyFill="1" applyBorder="1" applyAlignment="1">
      <alignment horizontal="center" vertical="center"/>
    </xf>
    <xf numFmtId="0" fontId="37" fillId="24" borderId="32" xfId="28" applyFont="1" applyFill="1" applyBorder="1" applyAlignment="1">
      <alignment vertical="center"/>
    </xf>
    <xf numFmtId="2" fontId="0" fillId="0" borderId="0" xfId="0" applyNumberFormat="1" applyAlignment="1">
      <alignment wrapText="1"/>
    </xf>
    <xf numFmtId="0" fontId="37" fillId="25" borderId="11" xfId="28" applyFont="1" applyFill="1" applyBorder="1" applyAlignment="1">
      <alignment vertical="center"/>
    </xf>
    <xf numFmtId="0" fontId="37" fillId="24" borderId="29" xfId="28" applyFont="1" applyFill="1" applyBorder="1" applyAlignment="1">
      <alignment vertical="center"/>
    </xf>
    <xf numFmtId="168" fontId="37" fillId="35" borderId="10" xfId="31" applyNumberFormat="1" applyFont="1" applyFill="1" applyBorder="1" applyAlignment="1">
      <alignment horizontal="center" vertical="center" wrapText="1"/>
    </xf>
    <xf numFmtId="169" fontId="37" fillId="35" borderId="10" xfId="31" applyNumberFormat="1" applyFont="1" applyFill="1" applyBorder="1" applyAlignment="1">
      <alignment horizontal="center" vertical="center" wrapText="1"/>
    </xf>
    <xf numFmtId="2" fontId="37" fillId="24" borderId="10" xfId="29" applyNumberFormat="1" applyFont="1" applyFill="1" applyBorder="1" applyAlignment="1">
      <alignment horizontal="center" vertical="center"/>
    </xf>
    <xf numFmtId="2" fontId="33" fillId="42" borderId="10" xfId="31" applyNumberFormat="1" applyFont="1" applyFill="1" applyBorder="1" applyAlignment="1">
      <alignment horizontal="center" vertical="center" wrapText="1"/>
    </xf>
    <xf numFmtId="167" fontId="37" fillId="35" borderId="10" xfId="31" applyNumberFormat="1" applyFont="1" applyFill="1" applyBorder="1" applyAlignment="1">
      <alignment horizontal="center" vertical="center" wrapText="1"/>
    </xf>
    <xf numFmtId="169" fontId="31" fillId="33" borderId="10" xfId="66" applyNumberFormat="1" applyFont="1" applyFill="1" applyBorder="1" applyAlignment="1">
      <alignment horizontal="center" vertical="center" wrapText="1"/>
    </xf>
    <xf numFmtId="2" fontId="37" fillId="24" borderId="10" xfId="68" applyNumberFormat="1" applyFont="1" applyFill="1" applyBorder="1" applyAlignment="1">
      <alignment horizontal="center" vertical="center"/>
    </xf>
    <xf numFmtId="170" fontId="37" fillId="0" borderId="10" xfId="31" applyNumberFormat="1" applyFont="1" applyBorder="1" applyAlignment="1">
      <alignment horizontal="center" vertical="center" wrapText="1"/>
    </xf>
    <xf numFmtId="166" fontId="37" fillId="35" borderId="10" xfId="66" applyNumberFormat="1" applyFont="1" applyFill="1" applyBorder="1" applyAlignment="1">
      <alignment horizontal="center" vertical="center" wrapText="1"/>
    </xf>
    <xf numFmtId="0" fontId="37" fillId="24" borderId="10" xfId="31" applyFont="1" applyFill="1" applyBorder="1" applyAlignment="1">
      <alignment horizontal="left" vertical="center"/>
    </xf>
    <xf numFmtId="169" fontId="37" fillId="38" borderId="10" xfId="66" applyNumberFormat="1" applyFont="1" applyFill="1" applyBorder="1" applyAlignment="1">
      <alignment vertical="center"/>
    </xf>
    <xf numFmtId="169" fontId="37" fillId="24" borderId="10" xfId="66" applyNumberFormat="1" applyFont="1" applyFill="1" applyBorder="1" applyAlignment="1">
      <alignment vertical="center"/>
    </xf>
    <xf numFmtId="169" fontId="37" fillId="24" borderId="10" xfId="28" applyNumberFormat="1" applyFont="1" applyFill="1" applyBorder="1" applyAlignment="1">
      <alignment vertical="center"/>
    </xf>
    <xf numFmtId="169" fontId="36" fillId="38" borderId="10" xfId="66" applyNumberFormat="1" applyFont="1" applyFill="1" applyBorder="1" applyAlignment="1">
      <alignment vertical="center"/>
    </xf>
    <xf numFmtId="0" fontId="28" fillId="24" borderId="10" xfId="28" applyFont="1" applyFill="1" applyBorder="1" applyAlignment="1">
      <alignment horizontal="left" vertical="center"/>
    </xf>
    <xf numFmtId="17" fontId="28" fillId="24" borderId="10" xfId="28" applyNumberFormat="1" applyFont="1" applyFill="1" applyBorder="1" applyAlignment="1">
      <alignment horizontal="left" vertical="center"/>
    </xf>
    <xf numFmtId="0" fontId="28" fillId="24" borderId="10" xfId="28" applyFont="1" applyFill="1" applyBorder="1" applyAlignment="1">
      <alignment horizontal="center" vertical="center"/>
    </xf>
    <xf numFmtId="0" fontId="28" fillId="24" borderId="33" xfId="28" applyFont="1" applyFill="1" applyBorder="1" applyAlignment="1">
      <alignment horizontal="left" vertical="center"/>
    </xf>
    <xf numFmtId="169" fontId="31" fillId="25" borderId="10" xfId="28" applyNumberFormat="1" applyFont="1" applyFill="1" applyBorder="1" applyAlignment="1">
      <alignment vertical="center"/>
    </xf>
    <xf numFmtId="169" fontId="0" fillId="0" borderId="10" xfId="0" applyNumberFormat="1" applyBorder="1"/>
    <xf numFmtId="166" fontId="31" fillId="25" borderId="10" xfId="66" applyNumberFormat="1" applyFont="1" applyFill="1" applyBorder="1" applyAlignment="1">
      <alignment vertical="center"/>
    </xf>
    <xf numFmtId="169" fontId="37" fillId="35" borderId="10" xfId="66" applyNumberFormat="1" applyFont="1" applyFill="1" applyBorder="1" applyAlignment="1">
      <alignment horizontal="center" vertical="center" wrapText="1"/>
    </xf>
    <xf numFmtId="2" fontId="33" fillId="36" borderId="10" xfId="31" applyNumberFormat="1" applyFont="1" applyFill="1" applyBorder="1" applyAlignment="1">
      <alignment horizontal="center" vertical="center" wrapText="1"/>
    </xf>
    <xf numFmtId="170" fontId="37" fillId="35" borderId="10" xfId="31" applyNumberFormat="1" applyFont="1" applyFill="1" applyBorder="1" applyAlignment="1">
      <alignment horizontal="center" vertical="center" wrapText="1"/>
    </xf>
    <xf numFmtId="0" fontId="37" fillId="24" borderId="10" xfId="28" applyFont="1" applyFill="1" applyBorder="1" applyAlignment="1">
      <alignment horizontal="left" vertical="center" wrapText="1"/>
    </xf>
    <xf numFmtId="17" fontId="37" fillId="24" borderId="10" xfId="28" applyNumberFormat="1" applyFont="1" applyFill="1" applyBorder="1" applyAlignment="1">
      <alignment horizontal="left" vertical="center"/>
    </xf>
    <xf numFmtId="0" fontId="37" fillId="24" borderId="10" xfId="28" applyFont="1" applyFill="1" applyBorder="1" applyAlignment="1">
      <alignment horizontal="center" vertical="center"/>
    </xf>
    <xf numFmtId="0" fontId="37" fillId="24" borderId="33" xfId="28" applyFont="1" applyFill="1" applyBorder="1" applyAlignment="1">
      <alignment vertical="center"/>
    </xf>
    <xf numFmtId="0" fontId="37" fillId="25" borderId="10" xfId="31" applyFont="1" applyFill="1" applyBorder="1" applyAlignment="1">
      <alignment horizontal="center" vertical="center"/>
    </xf>
    <xf numFmtId="169" fontId="37" fillId="45" borderId="38" xfId="85" applyNumberFormat="1" applyFont="1" applyFill="1" applyBorder="1" applyAlignment="1">
      <alignment horizontal="center" vertical="center" wrapText="1"/>
    </xf>
    <xf numFmtId="0" fontId="37" fillId="38" borderId="39" xfId="28" applyFont="1" applyFill="1" applyBorder="1" applyAlignment="1">
      <alignment vertical="center"/>
    </xf>
    <xf numFmtId="0" fontId="33" fillId="0" borderId="38" xfId="31" applyFont="1" applyBorder="1" applyAlignment="1">
      <alignment horizontal="center" vertical="center" wrapText="1"/>
    </xf>
    <xf numFmtId="0" fontId="0" fillId="0" borderId="38" xfId="0" applyBorder="1" applyAlignment="1">
      <alignment horizontal="center" wrapText="1"/>
    </xf>
    <xf numFmtId="0" fontId="37" fillId="35" borderId="38" xfId="31" applyFont="1" applyFill="1" applyBorder="1" applyAlignment="1">
      <alignment horizontal="center" vertical="center" wrapText="1"/>
    </xf>
    <xf numFmtId="2" fontId="37" fillId="35" borderId="38" xfId="31" applyNumberFormat="1" applyFont="1" applyFill="1" applyBorder="1" applyAlignment="1">
      <alignment horizontal="center" vertical="center" wrapText="1"/>
    </xf>
    <xf numFmtId="0" fontId="37" fillId="24" borderId="38" xfId="31" applyFont="1" applyFill="1" applyBorder="1" applyAlignment="1">
      <alignment horizontal="center" vertical="center"/>
    </xf>
    <xf numFmtId="168" fontId="37" fillId="35" borderId="38" xfId="31" applyNumberFormat="1" applyFont="1" applyFill="1" applyBorder="1" applyAlignment="1">
      <alignment horizontal="center" vertical="center" wrapText="1"/>
    </xf>
    <xf numFmtId="169" fontId="37" fillId="35" borderId="38" xfId="31" applyNumberFormat="1" applyFont="1" applyFill="1" applyBorder="1" applyAlignment="1">
      <alignment horizontal="center" vertical="center" wrapText="1"/>
    </xf>
    <xf numFmtId="2" fontId="37" fillId="24" borderId="38" xfId="29" applyNumberFormat="1" applyFont="1" applyFill="1" applyBorder="1" applyAlignment="1">
      <alignment horizontal="center" vertical="center"/>
    </xf>
    <xf numFmtId="2" fontId="33" fillId="36" borderId="38" xfId="31" applyNumberFormat="1" applyFont="1" applyFill="1" applyBorder="1" applyAlignment="1">
      <alignment horizontal="center" vertical="center" wrapText="1"/>
    </xf>
    <xf numFmtId="169" fontId="31" fillId="33" borderId="38" xfId="66" applyNumberFormat="1" applyFont="1" applyFill="1" applyBorder="1" applyAlignment="1">
      <alignment horizontal="center" vertical="center" wrapText="1"/>
    </xf>
    <xf numFmtId="2" fontId="37" fillId="24" borderId="38" xfId="68" applyNumberFormat="1" applyFont="1" applyFill="1" applyBorder="1" applyAlignment="1">
      <alignment horizontal="center" vertical="center"/>
    </xf>
    <xf numFmtId="170" fontId="37" fillId="35" borderId="38" xfId="31" applyNumberFormat="1" applyFont="1" applyFill="1" applyBorder="1" applyAlignment="1">
      <alignment horizontal="center" vertical="center" wrapText="1"/>
    </xf>
    <xf numFmtId="166" fontId="37" fillId="35" borderId="38" xfId="66" applyNumberFormat="1" applyFont="1" applyFill="1" applyBorder="1" applyAlignment="1">
      <alignment horizontal="center" vertical="center" wrapText="1"/>
    </xf>
    <xf numFmtId="0" fontId="37" fillId="24" borderId="38" xfId="31" applyFont="1" applyFill="1" applyBorder="1" applyAlignment="1">
      <alignment horizontal="left" vertical="center"/>
    </xf>
    <xf numFmtId="169" fontId="37" fillId="38" borderId="38" xfId="66" applyNumberFormat="1" applyFont="1" applyFill="1" applyBorder="1" applyAlignment="1">
      <alignment vertical="center"/>
    </xf>
    <xf numFmtId="169" fontId="37" fillId="24" borderId="38" xfId="66" applyNumberFormat="1" applyFont="1" applyFill="1" applyBorder="1" applyAlignment="1">
      <alignment vertical="center"/>
    </xf>
    <xf numFmtId="169" fontId="37" fillId="24" borderId="38" xfId="28" applyNumberFormat="1" applyFont="1" applyFill="1" applyBorder="1" applyAlignment="1">
      <alignment vertical="center"/>
    </xf>
    <xf numFmtId="169" fontId="36" fillId="38" borderId="38" xfId="66" applyNumberFormat="1" applyFont="1" applyFill="1" applyBorder="1" applyAlignment="1">
      <alignment vertical="center"/>
    </xf>
    <xf numFmtId="0" fontId="37" fillId="24" borderId="38" xfId="28" applyFont="1" applyFill="1" applyBorder="1" applyAlignment="1">
      <alignment horizontal="left" vertical="center" wrapText="1"/>
    </xf>
    <xf numFmtId="17" fontId="37" fillId="24" borderId="38" xfId="28" applyNumberFormat="1" applyFont="1" applyFill="1" applyBorder="1" applyAlignment="1">
      <alignment horizontal="left" vertical="center"/>
    </xf>
    <xf numFmtId="0" fontId="37" fillId="24" borderId="38" xfId="28" applyFont="1" applyFill="1" applyBorder="1" applyAlignment="1">
      <alignment horizontal="center" vertical="center"/>
    </xf>
    <xf numFmtId="0" fontId="37" fillId="24" borderId="40" xfId="28" applyFont="1" applyFill="1" applyBorder="1" applyAlignment="1">
      <alignment vertical="center"/>
    </xf>
    <xf numFmtId="169" fontId="31" fillId="25" borderId="38" xfId="28" applyNumberFormat="1" applyFont="1" applyFill="1" applyBorder="1" applyAlignment="1">
      <alignment vertical="center"/>
    </xf>
    <xf numFmtId="169" fontId="0" fillId="0" borderId="38" xfId="0" applyNumberFormat="1" applyBorder="1"/>
    <xf numFmtId="166" fontId="31" fillId="25" borderId="38" xfId="66" applyNumberFormat="1" applyFont="1" applyFill="1" applyBorder="1" applyAlignment="1">
      <alignment vertical="center"/>
    </xf>
    <xf numFmtId="0" fontId="37" fillId="0" borderId="38" xfId="31" applyFont="1" applyBorder="1" applyAlignment="1">
      <alignment horizontal="center" vertical="center" wrapText="1"/>
    </xf>
    <xf numFmtId="2" fontId="46" fillId="24" borderId="10" xfId="29" applyNumberFormat="1" applyFont="1" applyFill="1" applyBorder="1" applyAlignment="1">
      <alignment horizontal="left" vertical="center" wrapText="1"/>
    </xf>
    <xf numFmtId="2" fontId="37" fillId="48" borderId="12" xfId="31" applyNumberFormat="1" applyFont="1" applyFill="1" applyBorder="1" applyAlignment="1">
      <alignment horizontal="center" vertical="center" wrapText="1"/>
    </xf>
    <xf numFmtId="2" fontId="37" fillId="48" borderId="10" xfId="31" applyNumberFormat="1" applyFont="1" applyFill="1" applyBorder="1" applyAlignment="1">
      <alignment horizontal="center" vertical="center" wrapText="1"/>
    </xf>
    <xf numFmtId="0" fontId="37" fillId="0" borderId="12" xfId="31" applyFont="1" applyBorder="1" applyAlignment="1">
      <alignment horizontal="center" vertical="center" wrapText="1"/>
    </xf>
    <xf numFmtId="0" fontId="37" fillId="0" borderId="10" xfId="31" applyFont="1" applyBorder="1" applyAlignment="1">
      <alignment horizontal="center" vertical="center" wrapText="1"/>
    </xf>
    <xf numFmtId="0" fontId="37" fillId="35" borderId="12" xfId="31" applyFont="1" applyFill="1" applyBorder="1" applyAlignment="1">
      <alignment horizontal="center" vertical="center" wrapText="1"/>
    </xf>
    <xf numFmtId="0" fontId="37" fillId="35" borderId="10" xfId="31" applyFont="1" applyFill="1" applyBorder="1" applyAlignment="1">
      <alignment horizontal="center" vertical="center" wrapText="1"/>
    </xf>
    <xf numFmtId="0" fontId="36" fillId="25" borderId="22" xfId="29" applyFont="1" applyFill="1" applyBorder="1" applyAlignment="1">
      <alignment horizontal="center" vertical="center"/>
    </xf>
    <xf numFmtId="0" fontId="37" fillId="0" borderId="42" xfId="31" applyFont="1" applyBorder="1" applyAlignment="1">
      <alignment horizontal="center" vertical="center" wrapText="1"/>
    </xf>
    <xf numFmtId="0" fontId="28" fillId="0" borderId="42" xfId="31" applyFont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37" fillId="0" borderId="42" xfId="31" applyFont="1" applyBorder="1" applyAlignment="1">
      <alignment vertical="center" wrapText="1"/>
    </xf>
    <xf numFmtId="0" fontId="0" fillId="0" borderId="42" xfId="0" applyBorder="1" applyAlignment="1">
      <alignment wrapText="1"/>
    </xf>
    <xf numFmtId="0" fontId="33" fillId="0" borderId="42" xfId="31" applyFont="1" applyBorder="1" applyAlignment="1">
      <alignment horizontal="left" vertical="center" wrapText="1"/>
    </xf>
    <xf numFmtId="0" fontId="33" fillId="0" borderId="43" xfId="31" applyFont="1" applyBorder="1" applyAlignment="1">
      <alignment horizontal="center" vertical="center" wrapText="1"/>
    </xf>
    <xf numFmtId="0" fontId="33" fillId="0" borderId="42" xfId="31" applyFont="1" applyBorder="1" applyAlignment="1">
      <alignment horizontal="center" vertical="center" wrapText="1"/>
    </xf>
    <xf numFmtId="0" fontId="28" fillId="0" borderId="43" xfId="31" applyFont="1" applyBorder="1" applyAlignment="1">
      <alignment horizontal="center" vertical="center" wrapText="1"/>
    </xf>
    <xf numFmtId="0" fontId="37" fillId="38" borderId="42" xfId="28" applyFont="1" applyFill="1" applyBorder="1" applyAlignment="1">
      <alignment vertical="center" wrapText="1"/>
    </xf>
    <xf numFmtId="0" fontId="28" fillId="0" borderId="43" xfId="31" applyFont="1" applyBorder="1" applyAlignment="1">
      <alignment vertical="center" wrapText="1"/>
    </xf>
    <xf numFmtId="0" fontId="0" fillId="0" borderId="42" xfId="0" applyBorder="1"/>
    <xf numFmtId="0" fontId="36" fillId="25" borderId="24" xfId="29" applyFont="1" applyFill="1" applyBorder="1" applyAlignment="1">
      <alignment horizontal="center" vertical="center" wrapText="1"/>
    </xf>
    <xf numFmtId="0" fontId="37" fillId="35" borderId="45" xfId="31" applyFont="1" applyFill="1" applyBorder="1" applyAlignment="1">
      <alignment horizontal="center" vertical="center" wrapText="1"/>
    </xf>
    <xf numFmtId="0" fontId="37" fillId="35" borderId="44" xfId="31" applyFont="1" applyFill="1" applyBorder="1" applyAlignment="1">
      <alignment horizontal="center" vertical="center" wrapText="1"/>
    </xf>
    <xf numFmtId="0" fontId="37" fillId="35" borderId="18" xfId="31" applyFont="1" applyFill="1" applyBorder="1" applyAlignment="1">
      <alignment horizontal="center" vertical="center" wrapText="1"/>
    </xf>
    <xf numFmtId="0" fontId="36" fillId="24" borderId="38" xfId="29" applyFont="1" applyFill="1" applyBorder="1" applyAlignment="1">
      <alignment vertical="center"/>
    </xf>
    <xf numFmtId="0" fontId="36" fillId="25" borderId="38" xfId="29" applyFont="1" applyFill="1" applyBorder="1" applyAlignment="1">
      <alignment horizontal="center" vertical="center"/>
    </xf>
    <xf numFmtId="0" fontId="36" fillId="25" borderId="38" xfId="29" applyFont="1" applyFill="1" applyBorder="1" applyAlignment="1">
      <alignment horizontal="center" vertical="center" wrapText="1"/>
    </xf>
    <xf numFmtId="0" fontId="37" fillId="41" borderId="38" xfId="31" applyFont="1" applyFill="1" applyBorder="1" applyAlignment="1">
      <alignment horizontal="center" vertical="center" wrapText="1"/>
    </xf>
    <xf numFmtId="0" fontId="37" fillId="0" borderId="38" xfId="31" quotePrefix="1" applyFont="1" applyBorder="1" applyAlignment="1">
      <alignment horizontal="center" vertical="center" wrapText="1"/>
    </xf>
    <xf numFmtId="0" fontId="37" fillId="43" borderId="38" xfId="31" applyFont="1" applyFill="1" applyBorder="1" applyAlignment="1">
      <alignment horizontal="center" vertical="center" wrapText="1"/>
    </xf>
    <xf numFmtId="0" fontId="0" fillId="0" borderId="38" xfId="0" applyBorder="1" applyAlignment="1">
      <alignment wrapText="1"/>
    </xf>
    <xf numFmtId="0" fontId="37" fillId="45" borderId="38" xfId="31" applyFont="1" applyFill="1" applyBorder="1" applyAlignment="1">
      <alignment horizontal="center" vertical="center" wrapText="1"/>
    </xf>
    <xf numFmtId="0" fontId="38" fillId="41" borderId="38" xfId="31" applyFont="1" applyFill="1" applyBorder="1" applyAlignment="1">
      <alignment horizontal="center" vertical="center" wrapText="1"/>
    </xf>
    <xf numFmtId="0" fontId="37" fillId="38" borderId="46" xfId="28" applyFont="1" applyFill="1" applyBorder="1" applyAlignment="1">
      <alignment vertical="center"/>
    </xf>
    <xf numFmtId="0" fontId="37" fillId="0" borderId="41" xfId="31" applyFont="1" applyBorder="1" applyAlignment="1">
      <alignment horizontal="center" vertical="center" wrapText="1"/>
    </xf>
    <xf numFmtId="0" fontId="37" fillId="35" borderId="41" xfId="31" applyFont="1" applyFill="1" applyBorder="1" applyAlignment="1">
      <alignment horizontal="center" vertical="center" wrapText="1"/>
    </xf>
    <xf numFmtId="2" fontId="37" fillId="35" borderId="41" xfId="31" applyNumberFormat="1" applyFont="1" applyFill="1" applyBorder="1" applyAlignment="1">
      <alignment horizontal="center" vertical="center" wrapText="1"/>
    </xf>
    <xf numFmtId="0" fontId="37" fillId="24" borderId="41" xfId="31" applyFont="1" applyFill="1" applyBorder="1" applyAlignment="1">
      <alignment horizontal="center" vertical="center"/>
    </xf>
    <xf numFmtId="168" fontId="37" fillId="35" borderId="41" xfId="31" applyNumberFormat="1" applyFont="1" applyFill="1" applyBorder="1" applyAlignment="1">
      <alignment horizontal="center" vertical="center" wrapText="1"/>
    </xf>
    <xf numFmtId="169" fontId="37" fillId="35" borderId="41" xfId="31" applyNumberFormat="1" applyFont="1" applyFill="1" applyBorder="1" applyAlignment="1">
      <alignment horizontal="center" vertical="center" wrapText="1"/>
    </xf>
    <xf numFmtId="2" fontId="37" fillId="24" borderId="41" xfId="29" applyNumberFormat="1" applyFont="1" applyFill="1" applyBorder="1" applyAlignment="1">
      <alignment horizontal="center" vertical="center"/>
    </xf>
    <xf numFmtId="0" fontId="28" fillId="0" borderId="41" xfId="31" applyFont="1" applyBorder="1" applyAlignment="1">
      <alignment horizontal="center" vertical="center" wrapText="1"/>
    </xf>
    <xf numFmtId="2" fontId="33" fillId="36" borderId="41" xfId="31" applyNumberFormat="1" applyFont="1" applyFill="1" applyBorder="1" applyAlignment="1">
      <alignment horizontal="center" vertical="center" wrapText="1"/>
    </xf>
    <xf numFmtId="167" fontId="37" fillId="35" borderId="41" xfId="31" applyNumberFormat="1" applyFont="1" applyFill="1" applyBorder="1" applyAlignment="1">
      <alignment horizontal="center" vertical="center" wrapText="1"/>
    </xf>
    <xf numFmtId="169" fontId="31" fillId="33" borderId="41" xfId="66" applyNumberFormat="1" applyFont="1" applyFill="1" applyBorder="1" applyAlignment="1">
      <alignment horizontal="center" vertical="center" wrapText="1"/>
    </xf>
    <xf numFmtId="2" fontId="37" fillId="24" borderId="41" xfId="68" applyNumberFormat="1" applyFont="1" applyFill="1" applyBorder="1" applyAlignment="1">
      <alignment horizontal="center" vertical="center"/>
    </xf>
    <xf numFmtId="170" fontId="37" fillId="35" borderId="41" xfId="31" applyNumberFormat="1" applyFont="1" applyFill="1" applyBorder="1" applyAlignment="1">
      <alignment horizontal="center" vertical="center" wrapText="1"/>
    </xf>
    <xf numFmtId="166" fontId="37" fillId="35" borderId="41" xfId="66" applyNumberFormat="1" applyFont="1" applyFill="1" applyBorder="1" applyAlignment="1">
      <alignment horizontal="center" vertical="center" wrapText="1"/>
    </xf>
    <xf numFmtId="0" fontId="37" fillId="24" borderId="41" xfId="31" applyFont="1" applyFill="1" applyBorder="1" applyAlignment="1">
      <alignment horizontal="left" vertical="center"/>
    </xf>
    <xf numFmtId="169" fontId="37" fillId="38" borderId="41" xfId="66" applyNumberFormat="1" applyFont="1" applyFill="1" applyBorder="1" applyAlignment="1">
      <alignment vertical="center"/>
    </xf>
    <xf numFmtId="169" fontId="37" fillId="24" borderId="41" xfId="66" applyNumberFormat="1" applyFont="1" applyFill="1" applyBorder="1" applyAlignment="1">
      <alignment vertical="center"/>
    </xf>
    <xf numFmtId="169" fontId="37" fillId="24" borderId="41" xfId="28" applyNumberFormat="1" applyFont="1" applyFill="1" applyBorder="1" applyAlignment="1">
      <alignment vertical="center"/>
    </xf>
    <xf numFmtId="169" fontId="36" fillId="38" borderId="41" xfId="66" applyNumberFormat="1" applyFont="1" applyFill="1" applyBorder="1" applyAlignment="1">
      <alignment vertical="center"/>
    </xf>
    <xf numFmtId="0" fontId="40" fillId="24" borderId="41" xfId="28" applyFont="1" applyFill="1" applyBorder="1" applyAlignment="1">
      <alignment horizontal="left" vertical="center"/>
    </xf>
    <xf numFmtId="17" fontId="40" fillId="24" borderId="41" xfId="28" applyNumberFormat="1" applyFont="1" applyFill="1" applyBorder="1" applyAlignment="1">
      <alignment horizontal="left" vertical="center"/>
    </xf>
    <xf numFmtId="0" fontId="40" fillId="24" borderId="41" xfId="28" applyFont="1" applyFill="1" applyBorder="1" applyAlignment="1">
      <alignment horizontal="center" vertical="center"/>
    </xf>
    <xf numFmtId="0" fontId="40" fillId="24" borderId="47" xfId="28" applyFont="1" applyFill="1" applyBorder="1" applyAlignment="1">
      <alignment vertical="center"/>
    </xf>
    <xf numFmtId="169" fontId="31" fillId="25" borderId="41" xfId="28" applyNumberFormat="1" applyFont="1" applyFill="1" applyBorder="1" applyAlignment="1">
      <alignment vertical="center"/>
    </xf>
    <xf numFmtId="169" fontId="0" fillId="0" borderId="41" xfId="0" applyNumberFormat="1" applyBorder="1"/>
    <xf numFmtId="166" fontId="31" fillId="25" borderId="41" xfId="66" applyNumberFormat="1" applyFont="1" applyFill="1" applyBorder="1" applyAlignment="1">
      <alignment vertical="center"/>
    </xf>
    <xf numFmtId="0" fontId="37" fillId="24" borderId="38" xfId="28" applyFont="1" applyFill="1" applyBorder="1" applyAlignment="1">
      <alignment vertical="center"/>
    </xf>
    <xf numFmtId="0" fontId="21" fillId="0" borderId="38" xfId="0" applyFont="1" applyBorder="1" applyAlignment="1">
      <alignment horizontal="left" wrapText="1"/>
    </xf>
    <xf numFmtId="2" fontId="28" fillId="42" borderId="38" xfId="31" applyNumberFormat="1" applyFont="1" applyFill="1" applyBorder="1" applyAlignment="1">
      <alignment horizontal="center" vertical="center" wrapText="1"/>
    </xf>
    <xf numFmtId="167" fontId="37" fillId="35" borderId="38" xfId="31" applyNumberFormat="1" applyFont="1" applyFill="1" applyBorder="1" applyAlignment="1">
      <alignment horizontal="center" vertical="center" wrapText="1"/>
    </xf>
    <xf numFmtId="0" fontId="37" fillId="35" borderId="38" xfId="66" applyNumberFormat="1" applyFont="1" applyFill="1" applyBorder="1" applyAlignment="1">
      <alignment horizontal="center" vertical="center" wrapText="1"/>
    </xf>
    <xf numFmtId="0" fontId="28" fillId="24" borderId="38" xfId="28" applyFont="1" applyFill="1" applyBorder="1" applyAlignment="1">
      <alignment horizontal="left" vertical="center"/>
    </xf>
    <xf numFmtId="17" fontId="28" fillId="24" borderId="38" xfId="28" applyNumberFormat="1" applyFont="1" applyFill="1" applyBorder="1" applyAlignment="1">
      <alignment horizontal="left" vertical="center"/>
    </xf>
    <xf numFmtId="0" fontId="28" fillId="24" borderId="38" xfId="28" applyFont="1" applyFill="1" applyBorder="1" applyAlignment="1">
      <alignment horizontal="center" vertical="center"/>
    </xf>
    <xf numFmtId="0" fontId="28" fillId="24" borderId="38" xfId="28" applyFont="1" applyFill="1" applyBorder="1" applyAlignment="1">
      <alignment vertical="center"/>
    </xf>
    <xf numFmtId="0" fontId="37" fillId="38" borderId="38" xfId="28" applyFont="1" applyFill="1" applyBorder="1" applyAlignment="1">
      <alignment vertical="center"/>
    </xf>
    <xf numFmtId="2" fontId="46" fillId="24" borderId="10" xfId="29" applyNumberFormat="1" applyFont="1" applyFill="1" applyBorder="1" applyAlignment="1">
      <alignment horizontal="left" vertical="center" wrapText="1"/>
    </xf>
    <xf numFmtId="2" fontId="46" fillId="24" borderId="16" xfId="29" applyNumberFormat="1" applyFont="1" applyFill="1" applyBorder="1" applyAlignment="1">
      <alignment horizontal="center" vertical="center" wrapText="1"/>
    </xf>
    <xf numFmtId="2" fontId="46" fillId="24" borderId="17" xfId="29" applyNumberFormat="1" applyFont="1" applyFill="1" applyBorder="1" applyAlignment="1">
      <alignment horizontal="center" vertical="center" wrapText="1"/>
    </xf>
    <xf numFmtId="2" fontId="46" fillId="24" borderId="18" xfId="29" applyNumberFormat="1" applyFont="1" applyFill="1" applyBorder="1" applyAlignment="1">
      <alignment horizontal="center" vertical="center" wrapText="1"/>
    </xf>
    <xf numFmtId="0" fontId="37" fillId="24" borderId="12" xfId="28" applyFont="1" applyFill="1" applyBorder="1" applyAlignment="1">
      <alignment horizontal="center" vertical="center" wrapText="1"/>
    </xf>
    <xf numFmtId="0" fontId="37" fillId="24" borderId="10" xfId="28" applyFont="1" applyFill="1" applyBorder="1" applyAlignment="1">
      <alignment horizontal="center" vertical="center" wrapText="1"/>
    </xf>
    <xf numFmtId="2" fontId="46" fillId="24" borderId="22" xfId="29" applyNumberFormat="1" applyFont="1" applyFill="1" applyBorder="1" applyAlignment="1">
      <alignment horizontal="center" vertical="center" wrapText="1"/>
    </xf>
    <xf numFmtId="2" fontId="46" fillId="24" borderId="23" xfId="29" applyNumberFormat="1" applyFont="1" applyFill="1" applyBorder="1" applyAlignment="1">
      <alignment horizontal="center" vertical="center" wrapText="1"/>
    </xf>
    <xf numFmtId="2" fontId="46" fillId="24" borderId="24" xfId="29" applyNumberFormat="1" applyFont="1" applyFill="1" applyBorder="1" applyAlignment="1">
      <alignment horizontal="center" vertical="center" wrapText="1"/>
    </xf>
    <xf numFmtId="0" fontId="37" fillId="24" borderId="10" xfId="28" applyFont="1" applyFill="1" applyBorder="1" applyAlignment="1">
      <alignment horizontal="right" vertical="center" wrapText="1"/>
    </xf>
    <xf numFmtId="0" fontId="32" fillId="30" borderId="38" xfId="29" applyFont="1" applyFill="1" applyBorder="1" applyAlignment="1">
      <alignment horizontal="center" vertical="center" wrapText="1"/>
    </xf>
    <xf numFmtId="0" fontId="27" fillId="34" borderId="44" xfId="29" applyFont="1" applyFill="1" applyBorder="1" applyAlignment="1">
      <alignment horizontal="center" vertical="center"/>
    </xf>
    <xf numFmtId="0" fontId="33" fillId="0" borderId="10" xfId="31" applyFont="1" applyBorder="1" applyAlignment="1">
      <alignment horizontal="center" vertical="center"/>
    </xf>
    <xf numFmtId="2" fontId="28" fillId="42" borderId="10" xfId="31" applyNumberFormat="1" applyFont="1" applyFill="1" applyBorder="1" applyAlignment="1">
      <alignment horizontal="center" vertical="center" wrapText="1"/>
    </xf>
    <xf numFmtId="2" fontId="37" fillId="48" borderId="12" xfId="31" applyNumberFormat="1" applyFont="1" applyFill="1" applyBorder="1" applyAlignment="1">
      <alignment horizontal="center" vertical="center" wrapText="1"/>
    </xf>
    <xf numFmtId="2" fontId="37" fillId="48" borderId="10" xfId="31" applyNumberFormat="1" applyFont="1" applyFill="1" applyBorder="1" applyAlignment="1">
      <alignment horizontal="center" vertical="center" wrapText="1"/>
    </xf>
    <xf numFmtId="0" fontId="37" fillId="38" borderId="30" xfId="28" applyFont="1" applyFill="1" applyBorder="1" applyAlignment="1">
      <alignment horizontal="left" vertical="center"/>
    </xf>
    <xf numFmtId="0" fontId="37" fillId="38" borderId="29" xfId="28" applyFont="1" applyFill="1" applyBorder="1" applyAlignment="1">
      <alignment horizontal="left" vertical="center"/>
    </xf>
    <xf numFmtId="2" fontId="28" fillId="42" borderId="12" xfId="31" applyNumberFormat="1" applyFont="1" applyFill="1" applyBorder="1" applyAlignment="1">
      <alignment horizontal="center" vertical="center" wrapText="1"/>
    </xf>
    <xf numFmtId="0" fontId="37" fillId="0" borderId="12" xfId="31" applyFont="1" applyBorder="1" applyAlignment="1">
      <alignment horizontal="center" vertical="center" wrapText="1"/>
    </xf>
    <xf numFmtId="0" fontId="37" fillId="0" borderId="10" xfId="31" applyFont="1" applyBorder="1" applyAlignment="1">
      <alignment horizontal="center" vertical="center" wrapText="1"/>
    </xf>
    <xf numFmtId="0" fontId="37" fillId="38" borderId="30" xfId="28" applyFont="1" applyFill="1" applyBorder="1" applyAlignment="1">
      <alignment horizontal="center" vertical="center"/>
    </xf>
    <xf numFmtId="0" fontId="37" fillId="38" borderId="29" xfId="28" applyFont="1" applyFill="1" applyBorder="1" applyAlignment="1">
      <alignment horizontal="center" vertical="center"/>
    </xf>
    <xf numFmtId="0" fontId="33" fillId="0" borderId="10" xfId="31" applyFont="1" applyBorder="1" applyAlignment="1">
      <alignment horizontal="center" vertical="center" wrapText="1"/>
    </xf>
    <xf numFmtId="0" fontId="37" fillId="35" borderId="12" xfId="31" applyFont="1" applyFill="1" applyBorder="1" applyAlignment="1">
      <alignment horizontal="center" vertical="center" wrapText="1"/>
    </xf>
    <xf numFmtId="0" fontId="37" fillId="35" borderId="10" xfId="31" applyFont="1" applyFill="1" applyBorder="1" applyAlignment="1">
      <alignment horizontal="center" vertical="center" wrapText="1"/>
    </xf>
    <xf numFmtId="0" fontId="28" fillId="0" borderId="12" xfId="31" applyFont="1" applyBorder="1" applyAlignment="1">
      <alignment horizontal="center" vertical="center" wrapText="1"/>
    </xf>
    <xf numFmtId="0" fontId="28" fillId="0" borderId="10" xfId="31" applyFont="1" applyBorder="1" applyAlignment="1">
      <alignment horizontal="center" vertical="center" wrapText="1"/>
    </xf>
    <xf numFmtId="0" fontId="33" fillId="0" borderId="12" xfId="31" applyFont="1" applyBorder="1" applyAlignment="1">
      <alignment horizontal="center" vertical="center" wrapText="1"/>
    </xf>
    <xf numFmtId="2" fontId="36" fillId="24" borderId="45" xfId="29" applyNumberFormat="1" applyFont="1" applyFill="1" applyBorder="1" applyAlignment="1">
      <alignment horizontal="center" vertical="center" wrapText="1"/>
    </xf>
    <xf numFmtId="2" fontId="36" fillId="24" borderId="38" xfId="29" applyNumberFormat="1" applyFont="1" applyFill="1" applyBorder="1" applyAlignment="1">
      <alignment horizontal="center" vertical="center" wrapText="1"/>
    </xf>
    <xf numFmtId="0" fontId="37" fillId="24" borderId="38" xfId="28" applyFont="1" applyFill="1" applyBorder="1" applyAlignment="1">
      <alignment vertical="center" wrapText="1"/>
    </xf>
    <xf numFmtId="2" fontId="37" fillId="24" borderId="38" xfId="28" applyNumberFormat="1" applyFont="1" applyFill="1" applyBorder="1" applyAlignment="1">
      <alignment vertical="center" wrapText="1"/>
    </xf>
    <xf numFmtId="0" fontId="36" fillId="24" borderId="39" xfId="29" applyFont="1" applyFill="1" applyBorder="1" applyAlignment="1">
      <alignment horizontal="left" vertical="center" wrapText="1"/>
    </xf>
    <xf numFmtId="2" fontId="36" fillId="24" borderId="38" xfId="29" applyNumberFormat="1" applyFont="1" applyFill="1" applyBorder="1" applyAlignment="1">
      <alignment horizontal="left" vertical="center" wrapText="1"/>
    </xf>
    <xf numFmtId="2" fontId="36" fillId="24" borderId="40" xfId="29" applyNumberFormat="1" applyFont="1" applyFill="1" applyBorder="1" applyAlignment="1">
      <alignment horizontal="left" vertical="center" wrapText="1"/>
    </xf>
    <xf numFmtId="2" fontId="36" fillId="24" borderId="45" xfId="29" applyNumberFormat="1" applyFont="1" applyFill="1" applyBorder="1" applyAlignment="1">
      <alignment horizontal="left" vertical="center" wrapText="1"/>
    </xf>
    <xf numFmtId="2" fontId="37" fillId="24" borderId="38" xfId="28" applyNumberFormat="1" applyFont="1" applyFill="1" applyBorder="1" applyAlignment="1">
      <alignment horizontal="left" vertical="center" wrapText="1"/>
    </xf>
    <xf numFmtId="0" fontId="36" fillId="24" borderId="39" xfId="29" applyFont="1" applyFill="1" applyBorder="1" applyAlignment="1">
      <alignment horizontal="center" vertical="center" wrapText="1"/>
    </xf>
    <xf numFmtId="2" fontId="37" fillId="24" borderId="38" xfId="29" applyNumberFormat="1" applyFont="1" applyFill="1" applyBorder="1" applyAlignment="1">
      <alignment horizontal="center" vertical="center" wrapText="1"/>
    </xf>
    <xf numFmtId="0" fontId="37" fillId="24" borderId="40" xfId="28" applyFont="1" applyFill="1" applyBorder="1" applyAlignment="1">
      <alignment horizontal="center" vertical="center" wrapText="1"/>
    </xf>
    <xf numFmtId="0" fontId="37" fillId="24" borderId="45" xfId="28" applyFont="1" applyFill="1" applyBorder="1" applyAlignment="1">
      <alignment vertical="center" wrapText="1"/>
    </xf>
    <xf numFmtId="0" fontId="36" fillId="24" borderId="46" xfId="29" applyFont="1" applyFill="1" applyBorder="1" applyAlignment="1">
      <alignment horizontal="center" vertical="center" wrapText="1"/>
    </xf>
    <xf numFmtId="2" fontId="36" fillId="24" borderId="41" xfId="29" applyNumberFormat="1" applyFont="1" applyFill="1" applyBorder="1" applyAlignment="1">
      <alignment horizontal="center" vertical="center" wrapText="1"/>
    </xf>
    <xf numFmtId="0" fontId="37" fillId="24" borderId="47" xfId="28" applyFont="1" applyFill="1" applyBorder="1" applyAlignment="1">
      <alignment vertical="center" wrapText="1"/>
    </xf>
    <xf numFmtId="0" fontId="37" fillId="24" borderId="44" xfId="28" applyFont="1" applyFill="1" applyBorder="1" applyAlignment="1">
      <alignment vertical="center" wrapText="1"/>
    </xf>
    <xf numFmtId="0" fontId="37" fillId="24" borderId="41" xfId="28" applyFont="1" applyFill="1" applyBorder="1" applyAlignment="1">
      <alignment vertical="center" wrapText="1"/>
    </xf>
    <xf numFmtId="2" fontId="37" fillId="24" borderId="41" xfId="28" applyNumberFormat="1" applyFont="1" applyFill="1" applyBorder="1" applyAlignment="1">
      <alignment vertical="center" wrapText="1"/>
    </xf>
    <xf numFmtId="0" fontId="37" fillId="24" borderId="38" xfId="29" applyFont="1" applyFill="1" applyBorder="1" applyAlignment="1">
      <alignment horizontal="center" vertical="center" wrapText="1"/>
    </xf>
    <xf numFmtId="0" fontId="37" fillId="24" borderId="41" xfId="28" applyFont="1" applyFill="1" applyBorder="1" applyAlignment="1">
      <alignment horizontal="center" vertical="center" wrapText="1"/>
    </xf>
    <xf numFmtId="2" fontId="49" fillId="24" borderId="38" xfId="29" applyNumberFormat="1" applyFont="1" applyFill="1" applyBorder="1" applyAlignment="1">
      <alignment horizontal="center" vertical="center" wrapText="1"/>
    </xf>
    <xf numFmtId="2" fontId="37" fillId="46" borderId="38" xfId="29" applyNumberFormat="1" applyFont="1" applyFill="1" applyBorder="1" applyAlignment="1">
      <alignment horizontal="center" vertical="center" wrapText="1"/>
    </xf>
    <xf numFmtId="2" fontId="37" fillId="0" borderId="38" xfId="29" applyNumberFormat="1" applyFont="1" applyBorder="1" applyAlignment="1">
      <alignment horizontal="center" vertical="center" wrapText="1"/>
    </xf>
    <xf numFmtId="2" fontId="49" fillId="24" borderId="38" xfId="31" applyNumberFormat="1" applyFont="1" applyFill="1" applyBorder="1" applyAlignment="1">
      <alignment horizontal="center" vertical="center" wrapText="1"/>
    </xf>
    <xf numFmtId="0" fontId="37" fillId="24" borderId="41" xfId="28" applyFont="1" applyFill="1" applyBorder="1" applyAlignment="1">
      <alignment horizontal="right" vertical="center" wrapText="1"/>
    </xf>
    <xf numFmtId="0" fontId="36" fillId="46" borderId="38" xfId="29" applyFont="1" applyFill="1" applyBorder="1" applyAlignment="1">
      <alignment horizontal="right" vertical="center" wrapText="1"/>
    </xf>
    <xf numFmtId="0" fontId="36" fillId="46" borderId="38" xfId="29" applyFont="1" applyFill="1" applyBorder="1" applyAlignment="1">
      <alignment horizontal="right" vertical="center" wrapText="1"/>
    </xf>
    <xf numFmtId="2" fontId="36" fillId="46" borderId="38" xfId="29" applyNumberFormat="1" applyFont="1" applyFill="1" applyBorder="1" applyAlignment="1">
      <alignment horizontal="center" vertical="center" wrapText="1"/>
    </xf>
    <xf numFmtId="0" fontId="37" fillId="46" borderId="38" xfId="28" applyFont="1" applyFill="1" applyBorder="1" applyAlignment="1">
      <alignment vertical="center" wrapText="1"/>
    </xf>
    <xf numFmtId="2" fontId="36" fillId="40" borderId="38" xfId="29" applyNumberFormat="1" applyFont="1" applyFill="1" applyBorder="1" applyAlignment="1">
      <alignment horizontal="center" vertical="center" wrapText="1"/>
    </xf>
    <xf numFmtId="2" fontId="36" fillId="0" borderId="38" xfId="29" applyNumberFormat="1" applyFont="1" applyBorder="1" applyAlignment="1">
      <alignment horizontal="center" vertical="center" wrapText="1"/>
    </xf>
    <xf numFmtId="170" fontId="31" fillId="29" borderId="38" xfId="31" applyNumberFormat="1" applyFont="1" applyFill="1" applyBorder="1" applyAlignment="1">
      <alignment horizontal="center" vertical="center" wrapText="1"/>
    </xf>
    <xf numFmtId="0" fontId="27" fillId="34" borderId="41" xfId="29" applyFont="1" applyFill="1" applyBorder="1" applyAlignment="1">
      <alignment horizontal="center" vertical="center"/>
    </xf>
    <xf numFmtId="2" fontId="32" fillId="31" borderId="41" xfId="29" applyNumberFormat="1" applyFont="1" applyFill="1" applyBorder="1" applyAlignment="1">
      <alignment horizontal="center" vertical="center"/>
    </xf>
    <xf numFmtId="167" fontId="32" fillId="31" borderId="41" xfId="29" applyNumberFormat="1" applyFont="1" applyFill="1" applyBorder="1" applyAlignment="1">
      <alignment horizontal="center" vertical="center"/>
    </xf>
    <xf numFmtId="2" fontId="32" fillId="27" borderId="41" xfId="29" applyNumberFormat="1" applyFont="1" applyFill="1" applyBorder="1" applyAlignment="1">
      <alignment horizontal="center" vertical="center"/>
    </xf>
    <xf numFmtId="166" fontId="32" fillId="27" borderId="41" xfId="66" applyNumberFormat="1" applyFont="1" applyFill="1" applyBorder="1" applyAlignment="1">
      <alignment horizontal="center" vertical="center"/>
    </xf>
    <xf numFmtId="2" fontId="32" fillId="32" borderId="43" xfId="29" applyNumberFormat="1" applyFont="1" applyFill="1" applyBorder="1" applyAlignment="1">
      <alignment horizontal="center" vertical="center"/>
    </xf>
    <xf numFmtId="2" fontId="32" fillId="32" borderId="48" xfId="29" applyNumberFormat="1" applyFont="1" applyFill="1" applyBorder="1" applyAlignment="1">
      <alignment horizontal="center" vertical="center"/>
    </xf>
    <xf numFmtId="2" fontId="32" fillId="32" borderId="44" xfId="29" applyNumberFormat="1" applyFont="1" applyFill="1" applyBorder="1" applyAlignment="1">
      <alignment horizontal="center" vertical="center"/>
    </xf>
    <xf numFmtId="0" fontId="32" fillId="27" borderId="41" xfId="28" applyFont="1" applyFill="1" applyBorder="1" applyAlignment="1">
      <alignment horizontal="center" vertical="center"/>
    </xf>
    <xf numFmtId="0" fontId="31" fillId="28" borderId="41" xfId="28" applyFont="1" applyFill="1" applyBorder="1" applyAlignment="1">
      <alignment horizontal="center" vertical="center"/>
    </xf>
    <xf numFmtId="0" fontId="31" fillId="25" borderId="38" xfId="28" applyFont="1" applyFill="1" applyBorder="1" applyAlignment="1">
      <alignment vertical="center" wrapText="1"/>
    </xf>
    <xf numFmtId="0" fontId="31" fillId="25" borderId="38" xfId="28" applyFont="1" applyFill="1" applyBorder="1" applyAlignment="1">
      <alignment vertical="center"/>
    </xf>
    <xf numFmtId="0" fontId="37" fillId="24" borderId="39" xfId="28" applyFont="1" applyFill="1" applyBorder="1" applyAlignment="1">
      <alignment vertical="center"/>
    </xf>
    <xf numFmtId="169" fontId="37" fillId="37" borderId="38" xfId="31" applyNumberFormat="1" applyFont="1" applyFill="1" applyBorder="1" applyAlignment="1">
      <alignment horizontal="center" vertical="center" wrapText="1"/>
    </xf>
    <xf numFmtId="0" fontId="28" fillId="24" borderId="38" xfId="28" applyFont="1" applyFill="1" applyBorder="1" applyAlignment="1">
      <alignment horizontal="left" vertical="center" wrapText="1"/>
    </xf>
    <xf numFmtId="0" fontId="28" fillId="24" borderId="40" xfId="28" applyFont="1" applyFill="1" applyBorder="1" applyAlignment="1">
      <alignment vertical="center"/>
    </xf>
    <xf numFmtId="0" fontId="28" fillId="35" borderId="38" xfId="31" applyFont="1" applyFill="1" applyBorder="1" applyAlignment="1">
      <alignment horizontal="center" vertical="center" wrapText="1"/>
    </xf>
    <xf numFmtId="17" fontId="40" fillId="24" borderId="38" xfId="28" applyNumberFormat="1" applyFont="1" applyFill="1" applyBorder="1" applyAlignment="1">
      <alignment horizontal="left" vertical="center"/>
    </xf>
    <xf numFmtId="0" fontId="40" fillId="24" borderId="38" xfId="28" applyFont="1" applyFill="1" applyBorder="1" applyAlignment="1">
      <alignment horizontal="center" vertical="center"/>
    </xf>
    <xf numFmtId="0" fontId="40" fillId="24" borderId="40" xfId="28" applyFont="1" applyFill="1" applyBorder="1" applyAlignment="1">
      <alignment vertical="center"/>
    </xf>
    <xf numFmtId="0" fontId="28" fillId="0" borderId="38" xfId="31" applyFont="1" applyBorder="1" applyAlignment="1">
      <alignment horizontal="center" vertical="center" wrapText="1"/>
    </xf>
    <xf numFmtId="0" fontId="40" fillId="24" borderId="38" xfId="28" applyFont="1" applyFill="1" applyBorder="1" applyAlignment="1">
      <alignment horizontal="left" vertical="center"/>
    </xf>
    <xf numFmtId="168" fontId="37" fillId="45" borderId="38" xfId="31" applyNumberFormat="1" applyFont="1" applyFill="1" applyBorder="1" applyAlignment="1">
      <alignment horizontal="center" vertical="center" wrapText="1"/>
    </xf>
    <xf numFmtId="169" fontId="37" fillId="45" borderId="38" xfId="31" applyNumberFormat="1" applyFont="1" applyFill="1" applyBorder="1" applyAlignment="1">
      <alignment horizontal="center" vertical="center" wrapText="1"/>
    </xf>
    <xf numFmtId="2" fontId="28" fillId="42" borderId="41" xfId="31" applyNumberFormat="1" applyFont="1" applyFill="1" applyBorder="1" applyAlignment="1">
      <alignment horizontal="center" vertical="center" wrapText="1"/>
    </xf>
    <xf numFmtId="0" fontId="37" fillId="24" borderId="41" xfId="28" applyFont="1" applyFill="1" applyBorder="1" applyAlignment="1">
      <alignment horizontal="left" vertical="center" wrapText="1"/>
    </xf>
    <xf numFmtId="2" fontId="33" fillId="42" borderId="38" xfId="31" applyNumberFormat="1" applyFont="1" applyFill="1" applyBorder="1" applyAlignment="1">
      <alignment horizontal="center" vertical="center" wrapText="1"/>
    </xf>
    <xf numFmtId="2" fontId="37" fillId="44" borderId="38" xfId="31" applyNumberFormat="1" applyFont="1" applyFill="1" applyBorder="1" applyAlignment="1">
      <alignment horizontal="center" vertical="center" wrapText="1"/>
    </xf>
    <xf numFmtId="0" fontId="0" fillId="0" borderId="38" xfId="0" applyBorder="1"/>
    <xf numFmtId="0" fontId="40" fillId="24" borderId="38" xfId="28" applyFont="1" applyFill="1" applyBorder="1" applyAlignment="1">
      <alignment vertical="center"/>
    </xf>
    <xf numFmtId="171" fontId="37" fillId="35" borderId="38" xfId="31" applyNumberFormat="1" applyFont="1" applyFill="1" applyBorder="1" applyAlignment="1">
      <alignment horizontal="center" vertical="center" wrapText="1"/>
    </xf>
    <xf numFmtId="171" fontId="36" fillId="35" borderId="38" xfId="31" applyNumberFormat="1" applyFont="1" applyFill="1" applyBorder="1" applyAlignment="1">
      <alignment horizontal="center" vertical="center" wrapText="1"/>
    </xf>
    <xf numFmtId="17" fontId="37" fillId="24" borderId="41" xfId="28" applyNumberFormat="1" applyFont="1" applyFill="1" applyBorder="1" applyAlignment="1">
      <alignment horizontal="left" vertical="center"/>
    </xf>
    <xf numFmtId="0" fontId="37" fillId="24" borderId="41" xfId="28" applyFont="1" applyFill="1" applyBorder="1" applyAlignment="1">
      <alignment horizontal="center" vertical="center"/>
    </xf>
    <xf numFmtId="0" fontId="37" fillId="24" borderId="47" xfId="28" applyFont="1" applyFill="1" applyBorder="1" applyAlignment="1">
      <alignment vertical="center"/>
    </xf>
    <xf numFmtId="169" fontId="37" fillId="35" borderId="38" xfId="66" applyNumberFormat="1" applyFont="1" applyFill="1" applyBorder="1" applyAlignment="1">
      <alignment horizontal="center" vertical="center" wrapText="1"/>
    </xf>
    <xf numFmtId="0" fontId="28" fillId="24" borderId="40" xfId="28" applyFont="1" applyFill="1" applyBorder="1" applyAlignment="1">
      <alignment horizontal="left" vertical="center"/>
    </xf>
    <xf numFmtId="170" fontId="37" fillId="0" borderId="38" xfId="31" applyNumberFormat="1" applyFont="1" applyBorder="1" applyAlignment="1">
      <alignment horizontal="center" vertical="center" wrapText="1"/>
    </xf>
    <xf numFmtId="169" fontId="37" fillId="37" borderId="38" xfId="66" applyNumberFormat="1" applyFont="1" applyFill="1" applyBorder="1" applyAlignment="1">
      <alignment horizontal="center" vertical="center" wrapText="1"/>
    </xf>
    <xf numFmtId="0" fontId="33" fillId="41" borderId="38" xfId="31" applyFont="1" applyFill="1" applyBorder="1" applyAlignment="1">
      <alignment horizontal="center" vertical="center" wrapText="1"/>
    </xf>
    <xf numFmtId="2" fontId="37" fillId="0" borderId="38" xfId="31" applyNumberFormat="1" applyFont="1" applyBorder="1" applyAlignment="1">
      <alignment horizontal="center" vertical="center" wrapText="1"/>
    </xf>
    <xf numFmtId="0" fontId="37" fillId="25" borderId="39" xfId="28" applyFont="1" applyFill="1" applyBorder="1" applyAlignment="1">
      <alignment vertical="center"/>
    </xf>
    <xf numFmtId="0" fontId="37" fillId="25" borderId="38" xfId="31" applyFont="1" applyFill="1" applyBorder="1" applyAlignment="1">
      <alignment horizontal="center" vertical="center" wrapText="1"/>
    </xf>
    <xf numFmtId="0" fontId="0" fillId="25" borderId="38" xfId="0" applyFill="1" applyBorder="1" applyAlignment="1">
      <alignment horizontal="center" wrapText="1"/>
    </xf>
    <xf numFmtId="0" fontId="37" fillId="24" borderId="46" xfId="28" applyFont="1" applyFill="1" applyBorder="1" applyAlignment="1">
      <alignment vertical="center"/>
    </xf>
    <xf numFmtId="0" fontId="37" fillId="41" borderId="41" xfId="31" applyFont="1" applyFill="1" applyBorder="1" applyAlignment="1">
      <alignment horizontal="center" vertical="center" wrapText="1"/>
    </xf>
    <xf numFmtId="169" fontId="37" fillId="35" borderId="41" xfId="66" applyNumberFormat="1" applyFont="1" applyFill="1" applyBorder="1" applyAlignment="1">
      <alignment horizontal="center" vertical="center" wrapText="1"/>
    </xf>
    <xf numFmtId="2" fontId="33" fillId="42" borderId="41" xfId="31" applyNumberFormat="1" applyFont="1" applyFill="1" applyBorder="1" applyAlignment="1">
      <alignment horizontal="center" vertical="center" wrapText="1"/>
    </xf>
    <xf numFmtId="169" fontId="37" fillId="37" borderId="41" xfId="31" applyNumberFormat="1" applyFont="1" applyFill="1" applyBorder="1" applyAlignment="1">
      <alignment horizontal="center" vertical="center" wrapText="1"/>
    </xf>
    <xf numFmtId="0" fontId="37" fillId="25" borderId="38" xfId="28" applyFont="1" applyFill="1" applyBorder="1" applyAlignment="1">
      <alignment vertical="center"/>
    </xf>
    <xf numFmtId="2" fontId="37" fillId="45" borderId="38" xfId="31" applyNumberFormat="1" applyFont="1" applyFill="1" applyBorder="1" applyAlignment="1">
      <alignment horizontal="center" vertical="center" wrapText="1"/>
    </xf>
    <xf numFmtId="0" fontId="37" fillId="25" borderId="38" xfId="31" applyFont="1" applyFill="1" applyBorder="1" applyAlignment="1">
      <alignment horizontal="center" vertical="center"/>
    </xf>
    <xf numFmtId="0" fontId="37" fillId="25" borderId="38" xfId="28" applyFont="1" applyFill="1" applyBorder="1" applyAlignment="1">
      <alignment horizontal="center" vertical="center"/>
    </xf>
    <xf numFmtId="2" fontId="37" fillId="25" borderId="38" xfId="28" applyNumberFormat="1" applyFont="1" applyFill="1" applyBorder="1" applyAlignment="1">
      <alignment vertical="center"/>
    </xf>
    <xf numFmtId="2" fontId="37" fillId="25" borderId="38" xfId="29" applyNumberFormat="1" applyFont="1" applyFill="1" applyBorder="1" applyAlignment="1">
      <alignment horizontal="center" vertical="center"/>
    </xf>
    <xf numFmtId="2" fontId="37" fillId="25" borderId="38" xfId="28" applyNumberFormat="1" applyFont="1" applyFill="1" applyBorder="1" applyAlignment="1">
      <alignment horizontal="center" vertical="center"/>
    </xf>
    <xf numFmtId="167" fontId="37" fillId="25" borderId="38" xfId="28" applyNumberFormat="1" applyFont="1" applyFill="1" applyBorder="1" applyAlignment="1">
      <alignment vertical="center"/>
    </xf>
    <xf numFmtId="166" fontId="37" fillId="25" borderId="38" xfId="66" applyNumberFormat="1" applyFont="1" applyFill="1" applyBorder="1" applyAlignment="1">
      <alignment vertical="center"/>
    </xf>
    <xf numFmtId="0" fontId="37" fillId="25" borderId="38" xfId="28" applyFont="1" applyFill="1" applyBorder="1" applyAlignment="1">
      <alignment horizontal="left" vertical="center"/>
    </xf>
    <xf numFmtId="0" fontId="37" fillId="0" borderId="41" xfId="31" applyFont="1" applyBorder="1" applyAlignment="1">
      <alignment horizontal="center" vertical="center" wrapText="1"/>
    </xf>
    <xf numFmtId="2" fontId="28" fillId="42" borderId="38" xfId="31" applyNumberFormat="1" applyFont="1" applyFill="1" applyBorder="1" applyAlignment="1">
      <alignment horizontal="center" vertical="center" wrapText="1"/>
    </xf>
    <xf numFmtId="0" fontId="37" fillId="0" borderId="38" xfId="31" applyFont="1" applyBorder="1" applyAlignment="1">
      <alignment horizontal="center" vertical="center" wrapText="1"/>
    </xf>
    <xf numFmtId="1" fontId="37" fillId="35" borderId="38" xfId="31" applyNumberFormat="1" applyFont="1" applyFill="1" applyBorder="1" applyAlignment="1">
      <alignment horizontal="center" vertical="center" wrapText="1"/>
    </xf>
    <xf numFmtId="14" fontId="0" fillId="0" borderId="38" xfId="0" applyNumberFormat="1" applyBorder="1" applyAlignment="1">
      <alignment horizontal="center" wrapText="1"/>
    </xf>
    <xf numFmtId="2" fontId="28" fillId="42" borderId="41" xfId="31" applyNumberFormat="1" applyFont="1" applyFill="1" applyBorder="1" applyAlignment="1">
      <alignment horizontal="center" vertical="center" wrapText="1"/>
    </xf>
    <xf numFmtId="0" fontId="37" fillId="38" borderId="46" xfId="28" applyFont="1" applyFill="1" applyBorder="1" applyAlignment="1">
      <alignment horizontal="left" vertical="center"/>
    </xf>
    <xf numFmtId="0" fontId="37" fillId="37" borderId="38" xfId="31" applyFont="1" applyFill="1" applyBorder="1" applyAlignment="1">
      <alignment horizontal="center" vertical="center" wrapText="1"/>
    </xf>
    <xf numFmtId="0" fontId="37" fillId="39" borderId="38" xfId="31" applyFont="1" applyFill="1" applyBorder="1" applyAlignment="1">
      <alignment horizontal="center" vertical="center" wrapText="1"/>
    </xf>
    <xf numFmtId="0" fontId="28" fillId="35" borderId="41" xfId="31" applyFont="1" applyFill="1" applyBorder="1" applyAlignment="1">
      <alignment horizontal="center" vertical="center" wrapText="1"/>
    </xf>
    <xf numFmtId="0" fontId="28" fillId="45" borderId="41" xfId="31" applyFont="1" applyFill="1" applyBorder="1" applyAlignment="1">
      <alignment horizontal="left" vertical="center" wrapText="1"/>
    </xf>
    <xf numFmtId="0" fontId="37" fillId="45" borderId="41" xfId="31" applyFont="1" applyFill="1" applyBorder="1" applyAlignment="1">
      <alignment horizontal="center" vertical="center" wrapText="1"/>
    </xf>
    <xf numFmtId="2" fontId="37" fillId="45" borderId="41" xfId="31" applyNumberFormat="1" applyFont="1" applyFill="1" applyBorder="1" applyAlignment="1">
      <alignment horizontal="center" vertical="center" wrapText="1"/>
    </xf>
    <xf numFmtId="0" fontId="37" fillId="40" borderId="38" xfId="31" applyFont="1" applyFill="1" applyBorder="1" applyAlignment="1">
      <alignment horizontal="center" vertical="center" wrapText="1"/>
    </xf>
    <xf numFmtId="2" fontId="37" fillId="0" borderId="38" xfId="68" applyNumberFormat="1" applyFont="1" applyBorder="1" applyAlignment="1">
      <alignment horizontal="center" vertical="center"/>
    </xf>
    <xf numFmtId="0" fontId="37" fillId="47" borderId="39" xfId="28" applyFont="1" applyFill="1" applyBorder="1" applyAlignment="1">
      <alignment vertical="center"/>
    </xf>
    <xf numFmtId="0" fontId="36" fillId="47" borderId="38" xfId="31" applyFont="1" applyFill="1" applyBorder="1" applyAlignment="1">
      <alignment horizontal="center" vertical="center" wrapText="1"/>
    </xf>
    <xf numFmtId="0" fontId="36" fillId="48" borderId="38" xfId="31" applyFont="1" applyFill="1" applyBorder="1" applyAlignment="1">
      <alignment horizontal="center" vertical="center" wrapText="1"/>
    </xf>
    <xf numFmtId="0" fontId="37" fillId="47" borderId="38" xfId="28" applyFont="1" applyFill="1" applyBorder="1" applyAlignment="1">
      <alignment vertical="center"/>
    </xf>
    <xf numFmtId="0" fontId="37" fillId="47" borderId="41" xfId="28" applyFont="1" applyFill="1" applyBorder="1" applyAlignment="1">
      <alignment vertical="center"/>
    </xf>
    <xf numFmtId="0" fontId="36" fillId="48" borderId="41" xfId="31" applyFont="1" applyFill="1" applyBorder="1" applyAlignment="1">
      <alignment horizontal="center" vertical="center" wrapText="1"/>
    </xf>
    <xf numFmtId="168" fontId="36" fillId="48" borderId="38" xfId="31" applyNumberFormat="1" applyFont="1" applyFill="1" applyBorder="1" applyAlignment="1">
      <alignment horizontal="center" vertical="center" wrapText="1"/>
    </xf>
    <xf numFmtId="2" fontId="37" fillId="47" borderId="38" xfId="29" applyNumberFormat="1" applyFont="1" applyFill="1" applyBorder="1" applyAlignment="1">
      <alignment horizontal="center" vertical="center"/>
    </xf>
    <xf numFmtId="2" fontId="36" fillId="48" borderId="38" xfId="31" applyNumberFormat="1" applyFont="1" applyFill="1" applyBorder="1" applyAlignment="1">
      <alignment vertical="center" wrapText="1"/>
    </xf>
    <xf numFmtId="167" fontId="36" fillId="48" borderId="38" xfId="31" applyNumberFormat="1" applyFont="1" applyFill="1" applyBorder="1" applyAlignment="1">
      <alignment vertical="center" wrapText="1"/>
    </xf>
    <xf numFmtId="2" fontId="36" fillId="48" borderId="38" xfId="31" applyNumberFormat="1" applyFont="1" applyFill="1" applyBorder="1" applyAlignment="1">
      <alignment horizontal="center" vertical="center" wrapText="1"/>
    </xf>
    <xf numFmtId="2" fontId="37" fillId="47" borderId="38" xfId="68" applyNumberFormat="1" applyFont="1" applyFill="1" applyBorder="1" applyAlignment="1">
      <alignment horizontal="center" vertical="center"/>
    </xf>
    <xf numFmtId="166" fontId="37" fillId="48" borderId="38" xfId="66" applyNumberFormat="1" applyFont="1" applyFill="1" applyBorder="1" applyAlignment="1">
      <alignment horizontal="center" vertical="center" wrapText="1"/>
    </xf>
    <xf numFmtId="0" fontId="37" fillId="47" borderId="38" xfId="31" applyFont="1" applyFill="1" applyBorder="1" applyAlignment="1">
      <alignment horizontal="left" vertical="center"/>
    </xf>
    <xf numFmtId="169" fontId="36" fillId="48" borderId="38" xfId="66" applyNumberFormat="1" applyFont="1" applyFill="1" applyBorder="1" applyAlignment="1">
      <alignment horizontal="center" vertical="center" wrapText="1"/>
    </xf>
    <xf numFmtId="0" fontId="37" fillId="47" borderId="38" xfId="28" applyFont="1" applyFill="1" applyBorder="1" applyAlignment="1">
      <alignment horizontal="left" vertical="center"/>
    </xf>
    <xf numFmtId="0" fontId="37" fillId="47" borderId="38" xfId="28" applyFont="1" applyFill="1" applyBorder="1" applyAlignment="1">
      <alignment horizontal="center" vertical="center"/>
    </xf>
    <xf numFmtId="0" fontId="37" fillId="47" borderId="40" xfId="28" applyFont="1" applyFill="1" applyBorder="1" applyAlignment="1">
      <alignment vertical="center"/>
    </xf>
    <xf numFmtId="0" fontId="37" fillId="0" borderId="39" xfId="28" applyFont="1" applyBorder="1" applyAlignment="1">
      <alignment vertical="center"/>
    </xf>
    <xf numFmtId="0" fontId="36" fillId="0" borderId="38" xfId="31" applyFont="1" applyBorder="1" applyAlignment="1">
      <alignment horizontal="center" vertical="center" wrapText="1"/>
    </xf>
    <xf numFmtId="0" fontId="36" fillId="0" borderId="42" xfId="31" applyFont="1" applyBorder="1" applyAlignment="1">
      <alignment horizontal="center" vertical="center" wrapText="1"/>
    </xf>
    <xf numFmtId="0" fontId="37" fillId="0" borderId="42" xfId="28" applyFont="1" applyBorder="1" applyAlignment="1">
      <alignment vertical="center"/>
    </xf>
    <xf numFmtId="0" fontId="36" fillId="0" borderId="45" xfId="31" applyFont="1" applyBorder="1" applyAlignment="1">
      <alignment horizontal="center" vertical="center" wrapText="1"/>
    </xf>
    <xf numFmtId="168" fontId="36" fillId="0" borderId="38" xfId="31" applyNumberFormat="1" applyFont="1" applyBorder="1" applyAlignment="1">
      <alignment horizontal="center" vertical="center" wrapText="1"/>
    </xf>
    <xf numFmtId="2" fontId="37" fillId="0" borderId="38" xfId="29" applyNumberFormat="1" applyFont="1" applyBorder="1" applyAlignment="1">
      <alignment horizontal="center" vertical="center"/>
    </xf>
    <xf numFmtId="2" fontId="36" fillId="0" borderId="38" xfId="31" applyNumberFormat="1" applyFont="1" applyBorder="1" applyAlignment="1">
      <alignment horizontal="center" vertical="center" wrapText="1"/>
    </xf>
    <xf numFmtId="167" fontId="36" fillId="0" borderId="38" xfId="31" applyNumberFormat="1" applyFont="1" applyBorder="1" applyAlignment="1">
      <alignment horizontal="center" vertical="center" wrapText="1"/>
    </xf>
    <xf numFmtId="166" fontId="37" fillId="0" borderId="38" xfId="66" applyNumberFormat="1" applyFont="1" applyFill="1" applyBorder="1" applyAlignment="1">
      <alignment horizontal="center" vertical="center" wrapText="1"/>
    </xf>
    <xf numFmtId="0" fontId="37" fillId="0" borderId="38" xfId="31" applyFont="1" applyBorder="1" applyAlignment="1">
      <alignment horizontal="left" vertical="center"/>
    </xf>
    <xf numFmtId="169" fontId="36" fillId="0" borderId="38" xfId="66" applyNumberFormat="1" applyFont="1" applyFill="1" applyBorder="1" applyAlignment="1">
      <alignment horizontal="center" vertical="center" wrapText="1"/>
    </xf>
    <xf numFmtId="0" fontId="37" fillId="0" borderId="38" xfId="28" applyFont="1" applyBorder="1" applyAlignment="1">
      <alignment vertical="center"/>
    </xf>
    <xf numFmtId="0" fontId="37" fillId="0" borderId="38" xfId="28" applyFont="1" applyBorder="1" applyAlignment="1">
      <alignment horizontal="left" vertical="center"/>
    </xf>
    <xf numFmtId="0" fontId="37" fillId="0" borderId="38" xfId="28" applyFont="1" applyBorder="1" applyAlignment="1">
      <alignment horizontal="center" vertical="center"/>
    </xf>
    <xf numFmtId="0" fontId="37" fillId="0" borderId="40" xfId="28" applyFont="1" applyBorder="1" applyAlignment="1">
      <alignment vertical="center"/>
    </xf>
    <xf numFmtId="0" fontId="36" fillId="0" borderId="39" xfId="28" applyFont="1" applyBorder="1" applyAlignment="1">
      <alignment vertical="center"/>
    </xf>
    <xf numFmtId="0" fontId="36" fillId="0" borderId="38" xfId="28" applyFont="1" applyBorder="1" applyAlignment="1">
      <alignment vertical="center"/>
    </xf>
    <xf numFmtId="1" fontId="36" fillId="0" borderId="40" xfId="31" applyNumberFormat="1" applyFont="1" applyBorder="1" applyAlignment="1">
      <alignment horizontal="center" vertical="center" wrapText="1"/>
    </xf>
    <xf numFmtId="0" fontId="36" fillId="0" borderId="38" xfId="28" applyFont="1" applyBorder="1" applyAlignment="1">
      <alignment horizontal="center" vertical="center"/>
    </xf>
    <xf numFmtId="0" fontId="37" fillId="24" borderId="42" xfId="28" applyFont="1" applyFill="1" applyBorder="1" applyAlignment="1">
      <alignment vertical="center"/>
    </xf>
    <xf numFmtId="0" fontId="37" fillId="24" borderId="49" xfId="28" applyFont="1" applyFill="1" applyBorder="1" applyAlignment="1">
      <alignment vertical="center"/>
    </xf>
    <xf numFmtId="0" fontId="37" fillId="24" borderId="50" xfId="28" applyFont="1" applyFill="1" applyBorder="1" applyAlignment="1">
      <alignment vertical="center"/>
    </xf>
    <xf numFmtId="0" fontId="36" fillId="26" borderId="50" xfId="28" applyFont="1" applyFill="1" applyBorder="1" applyAlignment="1">
      <alignment vertical="center"/>
    </xf>
    <xf numFmtId="1" fontId="36" fillId="26" borderId="51" xfId="28" applyNumberFormat="1" applyFont="1" applyFill="1" applyBorder="1" applyAlignment="1">
      <alignment horizontal="center" vertical="center"/>
    </xf>
    <xf numFmtId="0" fontId="37" fillId="24" borderId="45" xfId="28" applyFont="1" applyFill="1" applyBorder="1" applyAlignment="1">
      <alignment vertical="center"/>
    </xf>
    <xf numFmtId="167" fontId="37" fillId="24" borderId="38" xfId="28" applyNumberFormat="1" applyFont="1" applyFill="1" applyBorder="1" applyAlignment="1">
      <alignment vertical="center"/>
    </xf>
    <xf numFmtId="2" fontId="37" fillId="24" borderId="38" xfId="28" applyNumberFormat="1" applyFont="1" applyFill="1" applyBorder="1" applyAlignment="1">
      <alignment vertical="center"/>
    </xf>
    <xf numFmtId="1" fontId="37" fillId="24" borderId="38" xfId="28" applyNumberFormat="1" applyFont="1" applyFill="1" applyBorder="1" applyAlignment="1">
      <alignment vertical="center"/>
    </xf>
    <xf numFmtId="2" fontId="37" fillId="24" borderId="38" xfId="28" applyNumberFormat="1" applyFont="1" applyFill="1" applyBorder="1" applyAlignment="1">
      <alignment horizontal="center" vertical="center"/>
    </xf>
    <xf numFmtId="166" fontId="37" fillId="24" borderId="38" xfId="66" applyNumberFormat="1" applyFont="1" applyFill="1" applyBorder="1" applyAlignment="1">
      <alignment vertical="center"/>
    </xf>
    <xf numFmtId="0" fontId="37" fillId="24" borderId="38" xfId="28" applyFont="1" applyFill="1" applyBorder="1" applyAlignment="1">
      <alignment horizontal="left" vertical="center"/>
    </xf>
    <xf numFmtId="0" fontId="28" fillId="0" borderId="38" xfId="31" applyFont="1" applyBorder="1" applyAlignment="1">
      <alignment horizontal="center" vertical="center" wrapText="1"/>
    </xf>
    <xf numFmtId="2" fontId="28" fillId="35" borderId="38" xfId="31" applyNumberFormat="1" applyFont="1" applyFill="1" applyBorder="1" applyAlignment="1">
      <alignment horizontal="center" vertical="center" wrapText="1"/>
    </xf>
    <xf numFmtId="17" fontId="37" fillId="24" borderId="38" xfId="28" applyNumberFormat="1" applyFont="1" applyFill="1" applyBorder="1" applyAlignment="1">
      <alignment horizontal="left" vertical="center" wrapText="1"/>
    </xf>
    <xf numFmtId="0" fontId="37" fillId="35" borderId="41" xfId="31" applyFont="1" applyFill="1" applyBorder="1" applyAlignment="1">
      <alignment horizontal="center" vertical="center" wrapText="1"/>
    </xf>
    <xf numFmtId="0" fontId="37" fillId="38" borderId="46" xfId="28" applyFont="1" applyFill="1" applyBorder="1" applyAlignment="1">
      <alignment horizontal="center" vertical="center"/>
    </xf>
    <xf numFmtId="0" fontId="28" fillId="0" borderId="41" xfId="31" applyFont="1" applyBorder="1" applyAlignment="1">
      <alignment horizontal="center" vertical="center" wrapText="1"/>
    </xf>
    <xf numFmtId="167" fontId="36" fillId="48" borderId="38" xfId="31" applyNumberFormat="1" applyFont="1" applyFill="1" applyBorder="1" applyAlignment="1">
      <alignment horizontal="center" vertical="center" wrapText="1"/>
    </xf>
    <xf numFmtId="0" fontId="36" fillId="0" borderId="40" xfId="31" applyFont="1" applyBorder="1" applyAlignment="1">
      <alignment horizontal="center" vertical="center" wrapText="1"/>
    </xf>
    <xf numFmtId="14" fontId="37" fillId="0" borderId="38" xfId="31" applyNumberFormat="1" applyFont="1" applyBorder="1" applyAlignment="1">
      <alignment horizontal="center" vertical="center" wrapText="1"/>
    </xf>
    <xf numFmtId="0" fontId="33" fillId="0" borderId="41" xfId="31" applyFont="1" applyBorder="1" applyAlignment="1">
      <alignment horizontal="center" vertical="center" wrapText="1"/>
    </xf>
    <xf numFmtId="0" fontId="33" fillId="0" borderId="38" xfId="31" applyFont="1" applyBorder="1" applyAlignment="1">
      <alignment horizontal="center" vertical="center" wrapText="1"/>
    </xf>
    <xf numFmtId="0" fontId="37" fillId="38" borderId="38" xfId="28" applyFont="1" applyFill="1" applyBorder="1" applyAlignment="1">
      <alignment horizontal="center" vertical="center" wrapText="1"/>
    </xf>
    <xf numFmtId="0" fontId="28" fillId="24" borderId="38" xfId="31" applyFont="1" applyFill="1" applyBorder="1" applyAlignment="1">
      <alignment horizontal="center" vertical="center"/>
    </xf>
    <xf numFmtId="168" fontId="28" fillId="35" borderId="38" xfId="31" applyNumberFormat="1" applyFont="1" applyFill="1" applyBorder="1" applyAlignment="1">
      <alignment horizontal="center" vertical="center" wrapText="1"/>
    </xf>
    <xf numFmtId="169" fontId="28" fillId="35" borderId="38" xfId="31" applyNumberFormat="1" applyFont="1" applyFill="1" applyBorder="1" applyAlignment="1">
      <alignment horizontal="center" vertical="center" wrapText="1"/>
    </xf>
    <xf numFmtId="2" fontId="28" fillId="24" borderId="38" xfId="29" applyNumberFormat="1" applyFont="1" applyFill="1" applyBorder="1" applyAlignment="1">
      <alignment horizontal="center" vertical="center"/>
    </xf>
    <xf numFmtId="167" fontId="28" fillId="35" borderId="38" xfId="31" applyNumberFormat="1" applyFont="1" applyFill="1" applyBorder="1" applyAlignment="1">
      <alignment horizontal="center" vertical="center" wrapText="1"/>
    </xf>
    <xf numFmtId="169" fontId="41" fillId="33" borderId="38" xfId="66" applyNumberFormat="1" applyFont="1" applyFill="1" applyBorder="1" applyAlignment="1">
      <alignment horizontal="center" vertical="center" wrapText="1"/>
    </xf>
    <xf numFmtId="2" fontId="28" fillId="24" borderId="38" xfId="68" applyNumberFormat="1" applyFont="1" applyFill="1" applyBorder="1" applyAlignment="1">
      <alignment horizontal="center" vertical="center"/>
    </xf>
    <xf numFmtId="170" fontId="28" fillId="35" borderId="38" xfId="31" applyNumberFormat="1" applyFont="1" applyFill="1" applyBorder="1" applyAlignment="1">
      <alignment horizontal="center" vertical="center" wrapText="1"/>
    </xf>
    <xf numFmtId="166" fontId="28" fillId="35" borderId="38" xfId="66" applyNumberFormat="1" applyFont="1" applyFill="1" applyBorder="1" applyAlignment="1">
      <alignment horizontal="center" vertical="center" wrapText="1"/>
    </xf>
    <xf numFmtId="0" fontId="28" fillId="24" borderId="38" xfId="31" applyFont="1" applyFill="1" applyBorder="1" applyAlignment="1">
      <alignment horizontal="left" vertical="center"/>
    </xf>
    <xf numFmtId="169" fontId="28" fillId="38" borderId="38" xfId="66" applyNumberFormat="1" applyFont="1" applyFill="1" applyBorder="1" applyAlignment="1">
      <alignment vertical="center"/>
    </xf>
    <xf numFmtId="169" fontId="28" fillId="24" borderId="38" xfId="66" applyNumberFormat="1" applyFont="1" applyFill="1" applyBorder="1" applyAlignment="1">
      <alignment vertical="center"/>
    </xf>
    <xf numFmtId="169" fontId="28" fillId="24" borderId="38" xfId="28" applyNumberFormat="1" applyFont="1" applyFill="1" applyBorder="1" applyAlignment="1">
      <alignment vertical="center"/>
    </xf>
    <xf numFmtId="169" fontId="27" fillId="38" borderId="38" xfId="66" applyNumberFormat="1" applyFont="1" applyFill="1" applyBorder="1" applyAlignment="1">
      <alignment vertical="center"/>
    </xf>
    <xf numFmtId="169" fontId="41" fillId="25" borderId="38" xfId="28" applyNumberFormat="1" applyFont="1" applyFill="1" applyBorder="1" applyAlignment="1">
      <alignment vertical="center"/>
    </xf>
    <xf numFmtId="169" fontId="42" fillId="0" borderId="38" xfId="0" applyNumberFormat="1" applyFont="1" applyBorder="1"/>
    <xf numFmtId="166" fontId="41" fillId="25" borderId="38" xfId="66" applyNumberFormat="1" applyFont="1" applyFill="1" applyBorder="1" applyAlignment="1">
      <alignment vertical="center"/>
    </xf>
    <xf numFmtId="0" fontId="36" fillId="35" borderId="38" xfId="31" applyFont="1" applyFill="1" applyBorder="1" applyAlignment="1">
      <alignment horizontal="center" vertical="center" wrapText="1"/>
    </xf>
    <xf numFmtId="168" fontId="36" fillId="35" borderId="38" xfId="31" applyNumberFormat="1" applyFont="1" applyFill="1" applyBorder="1" applyAlignment="1">
      <alignment horizontal="center" vertical="center" wrapText="1"/>
    </xf>
    <xf numFmtId="2" fontId="36" fillId="35" borderId="38" xfId="31" applyNumberFormat="1" applyFont="1" applyFill="1" applyBorder="1" applyAlignment="1">
      <alignment horizontal="center" vertical="center" wrapText="1"/>
    </xf>
    <xf numFmtId="167" fontId="36" fillId="35" borderId="38" xfId="31" applyNumberFormat="1" applyFont="1" applyFill="1" applyBorder="1" applyAlignment="1">
      <alignment horizontal="center" vertical="center" wrapText="1"/>
    </xf>
    <xf numFmtId="169" fontId="36" fillId="35" borderId="38" xfId="66" applyNumberFormat="1" applyFont="1" applyFill="1" applyBorder="1" applyAlignment="1">
      <alignment horizontal="center" vertical="center" wrapText="1"/>
    </xf>
    <xf numFmtId="0" fontId="37" fillId="49" borderId="39" xfId="28" applyFont="1" applyFill="1" applyBorder="1" applyAlignment="1">
      <alignment vertical="center"/>
    </xf>
    <xf numFmtId="0" fontId="37" fillId="47" borderId="38" xfId="31" applyFont="1" applyFill="1" applyBorder="1" applyAlignment="1">
      <alignment horizontal="center" vertical="center" wrapText="1"/>
    </xf>
    <xf numFmtId="0" fontId="37" fillId="48" borderId="38" xfId="31" applyFont="1" applyFill="1" applyBorder="1" applyAlignment="1">
      <alignment horizontal="center" vertical="center" wrapText="1"/>
    </xf>
    <xf numFmtId="2" fontId="37" fillId="48" borderId="41" xfId="31" applyNumberFormat="1" applyFont="1" applyFill="1" applyBorder="1" applyAlignment="1">
      <alignment horizontal="center" vertical="center" wrapText="1"/>
    </xf>
    <xf numFmtId="2" fontId="37" fillId="48" borderId="41" xfId="31" applyNumberFormat="1" applyFont="1" applyFill="1" applyBorder="1" applyAlignment="1">
      <alignment horizontal="center" vertical="center" wrapText="1"/>
    </xf>
    <xf numFmtId="2" fontId="37" fillId="48" borderId="38" xfId="31" applyNumberFormat="1" applyFont="1" applyFill="1" applyBorder="1" applyAlignment="1">
      <alignment horizontal="center" vertical="center" wrapText="1"/>
    </xf>
    <xf numFmtId="0" fontId="37" fillId="47" borderId="38" xfId="31" applyFont="1" applyFill="1" applyBorder="1" applyAlignment="1">
      <alignment horizontal="center" vertical="center"/>
    </xf>
    <xf numFmtId="168" fontId="37" fillId="48" borderId="38" xfId="31" applyNumberFormat="1" applyFont="1" applyFill="1" applyBorder="1" applyAlignment="1">
      <alignment horizontal="center" vertical="center" wrapText="1"/>
    </xf>
    <xf numFmtId="169" fontId="37" fillId="48" borderId="38" xfId="31" applyNumberFormat="1" applyFont="1" applyFill="1" applyBorder="1" applyAlignment="1">
      <alignment horizontal="center" vertical="center" wrapText="1"/>
    </xf>
    <xf numFmtId="2" fontId="50" fillId="47" borderId="38" xfId="29" applyNumberFormat="1" applyFont="1" applyFill="1" applyBorder="1" applyAlignment="1">
      <alignment horizontal="center" vertical="center" wrapText="1"/>
    </xf>
    <xf numFmtId="167" fontId="37" fillId="48" borderId="38" xfId="31" applyNumberFormat="1" applyFont="1" applyFill="1" applyBorder="1" applyAlignment="1">
      <alignment horizontal="center" vertical="center" wrapText="1"/>
    </xf>
    <xf numFmtId="169" fontId="31" fillId="50" borderId="38" xfId="66" applyNumberFormat="1" applyFont="1" applyFill="1" applyBorder="1" applyAlignment="1">
      <alignment horizontal="center" vertical="center" wrapText="1"/>
    </xf>
    <xf numFmtId="170" fontId="37" fillId="48" borderId="38" xfId="31" applyNumberFormat="1" applyFont="1" applyFill="1" applyBorder="1" applyAlignment="1">
      <alignment horizontal="center" vertical="center" wrapText="1"/>
    </xf>
    <xf numFmtId="169" fontId="37" fillId="49" borderId="38" xfId="66" applyNumberFormat="1" applyFont="1" applyFill="1" applyBorder="1" applyAlignment="1">
      <alignment vertical="center"/>
    </xf>
    <xf numFmtId="169" fontId="37" fillId="47" borderId="38" xfId="66" applyNumberFormat="1" applyFont="1" applyFill="1" applyBorder="1" applyAlignment="1">
      <alignment vertical="center"/>
    </xf>
    <xf numFmtId="169" fontId="37" fillId="47" borderId="38" xfId="28" applyNumberFormat="1" applyFont="1" applyFill="1" applyBorder="1" applyAlignment="1">
      <alignment vertical="center"/>
    </xf>
    <xf numFmtId="169" fontId="36" fillId="49" borderId="38" xfId="66" applyNumberFormat="1" applyFont="1" applyFill="1" applyBorder="1" applyAlignment="1">
      <alignment vertical="center"/>
    </xf>
    <xf numFmtId="0" fontId="37" fillId="47" borderId="38" xfId="28" applyFont="1" applyFill="1" applyBorder="1" applyAlignment="1">
      <alignment horizontal="left" vertical="center" wrapText="1"/>
    </xf>
    <xf numFmtId="17" fontId="37" fillId="47" borderId="38" xfId="28" applyNumberFormat="1" applyFont="1" applyFill="1" applyBorder="1" applyAlignment="1">
      <alignment horizontal="left" vertical="center"/>
    </xf>
    <xf numFmtId="169" fontId="31" fillId="47" borderId="38" xfId="28" applyNumberFormat="1" applyFont="1" applyFill="1" applyBorder="1" applyAlignment="1">
      <alignment vertical="center"/>
    </xf>
    <xf numFmtId="169" fontId="0" fillId="47" borderId="38" xfId="0" applyNumberFormat="1" applyFill="1" applyBorder="1"/>
    <xf numFmtId="166" fontId="31" fillId="47" borderId="38" xfId="66" applyNumberFormat="1" applyFont="1" applyFill="1" applyBorder="1" applyAlignment="1">
      <alignment vertical="center"/>
    </xf>
    <xf numFmtId="0" fontId="37" fillId="41" borderId="38" xfId="31" applyFont="1" applyFill="1" applyBorder="1" applyAlignment="1">
      <alignment horizontal="left" vertical="center" wrapText="1"/>
    </xf>
    <xf numFmtId="171" fontId="37" fillId="41" borderId="38" xfId="31" applyNumberFormat="1" applyFont="1" applyFill="1" applyBorder="1" applyAlignment="1">
      <alignment horizontal="center" vertical="center" wrapText="1"/>
    </xf>
    <xf numFmtId="0" fontId="37" fillId="51" borderId="39" xfId="28" applyFont="1" applyFill="1" applyBorder="1" applyAlignment="1">
      <alignment vertical="center"/>
    </xf>
    <xf numFmtId="0" fontId="33" fillId="25" borderId="38" xfId="31" applyFont="1" applyFill="1" applyBorder="1" applyAlignment="1">
      <alignment horizontal="center" vertical="center" wrapText="1"/>
    </xf>
    <xf numFmtId="0" fontId="37" fillId="38" borderId="38" xfId="28" applyFont="1" applyFill="1" applyBorder="1" applyAlignment="1">
      <alignment horizontal="center" vertical="center"/>
    </xf>
    <xf numFmtId="2" fontId="33" fillId="45" borderId="38" xfId="31" applyNumberFormat="1" applyFont="1" applyFill="1" applyBorder="1" applyAlignment="1">
      <alignment horizontal="center" vertical="center" wrapText="1"/>
    </xf>
    <xf numFmtId="0" fontId="37" fillId="38" borderId="38" xfId="28" applyFont="1" applyFill="1" applyBorder="1" applyAlignment="1">
      <alignment vertical="center" wrapText="1"/>
    </xf>
    <xf numFmtId="0" fontId="33" fillId="0" borderId="41" xfId="31" applyFont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37" fillId="0" borderId="38" xfId="31" applyFont="1" applyBorder="1" applyAlignment="1">
      <alignment horizontal="left" vertical="center" wrapText="1"/>
    </xf>
    <xf numFmtId="169" fontId="37" fillId="45" borderId="38" xfId="66" applyNumberFormat="1" applyFont="1" applyFill="1" applyBorder="1" applyAlignment="1">
      <alignment horizontal="center" vertical="center" wrapText="1"/>
    </xf>
    <xf numFmtId="169" fontId="36" fillId="0" borderId="38" xfId="31" applyNumberFormat="1" applyFont="1" applyBorder="1" applyAlignment="1">
      <alignment horizontal="center" vertical="center" wrapText="1"/>
    </xf>
  </cellXfs>
  <cellStyles count="9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alculation 2" xfId="79" xr:uid="{42129294-1EF0-46EC-AE19-AAF3D6614F24}"/>
    <cellStyle name="Check Cell" xfId="27" builtinId="23" customBuiltin="1"/>
    <cellStyle name="Comma" xfId="66" builtinId="3"/>
    <cellStyle name="Comma 2" xfId="85" xr:uid="{05A5D018-916E-4660-92D0-4A9C1344B6AB}"/>
    <cellStyle name="Excel Built-in Hyperlink" xfId="49" xr:uid="{00000000-0005-0000-0000-00001C000000}"/>
    <cellStyle name="Excel Built-in Normal" xfId="28" xr:uid="{00000000-0005-0000-0000-00001D000000}"/>
    <cellStyle name="Excel Built-in Normal 1" xfId="29" xr:uid="{00000000-0005-0000-0000-00001E000000}"/>
    <cellStyle name="Excel Built-in Normal 1 1" xfId="30" xr:uid="{00000000-0005-0000-0000-00001F000000}"/>
    <cellStyle name="Excel Built-in Normal 1 1 1" xfId="31" xr:uid="{00000000-0005-0000-0000-000020000000}"/>
    <cellStyle name="Excel Built-in Normal 1 1 1 1" xfId="48" xr:uid="{00000000-0005-0000-0000-000021000000}"/>
    <cellStyle name="Excel Built-in Normal 1 1 1 1 1" xfId="50" xr:uid="{00000000-0005-0000-0000-000022000000}"/>
    <cellStyle name="Excel Built-in Normal 1 1 1 1 2" xfId="51" xr:uid="{00000000-0005-0000-0000-000023000000}"/>
    <cellStyle name="Excel Built-in Normal 1 1 1 1 2 1" xfId="60" xr:uid="{00000000-0005-0000-0000-000024000000}"/>
    <cellStyle name="Excel Built-in Normal 1 1 1 1 2 1 2" xfId="78" xr:uid="{00000000-0005-0000-0000-000025000000}"/>
    <cellStyle name="Excel Built-in Normal 1 1 1 1 5" xfId="64" xr:uid="{00000000-0005-0000-0000-000026000000}"/>
    <cellStyle name="Excel Built-in Normal 1 1 1 3" xfId="52" xr:uid="{00000000-0005-0000-0000-000027000000}"/>
    <cellStyle name="Excel Built-in Normal 1 1 1 3 2" xfId="61" xr:uid="{00000000-0005-0000-0000-000028000000}"/>
    <cellStyle name="Excel Built-in Normal 1 1 1 4" xfId="53" xr:uid="{00000000-0005-0000-0000-000029000000}"/>
    <cellStyle name="Excel Built-in Normal 1 1 1 4 2" xfId="62" xr:uid="{00000000-0005-0000-0000-00002A000000}"/>
    <cellStyle name="Excel Built-in Normal 1 1 1 4 3" xfId="63" xr:uid="{00000000-0005-0000-0000-00002B000000}"/>
    <cellStyle name="Excel Built-in Normal 1 1 1 5" xfId="54" xr:uid="{00000000-0005-0000-0000-00002C000000}"/>
    <cellStyle name="Excel Built-in Normal 1 1 1 5 4" xfId="65" xr:uid="{00000000-0005-0000-0000-00002D000000}"/>
    <cellStyle name="Excel Built-in Normal 2" xfId="68" xr:uid="{00000000-0005-0000-0000-00002E000000}"/>
    <cellStyle name="Excel Built-in Normal_Airoli" xfId="32" xr:uid="{00000000-0005-0000-0000-00002F000000}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yperlink 2" xfId="57" xr:uid="{00000000-0005-0000-0000-000036000000}"/>
    <cellStyle name="Hyperlink 3" xfId="58" xr:uid="{00000000-0005-0000-0000-000037000000}"/>
    <cellStyle name="Hyperlink 4" xfId="69" xr:uid="{00000000-0005-0000-0000-000038000000}"/>
    <cellStyle name="Input" xfId="39" builtinId="20" customBuiltin="1"/>
    <cellStyle name="Input 2" xfId="80" xr:uid="{C18D694A-29A0-40A0-A713-0D5F3F73E2C6}"/>
    <cellStyle name="Linked Cell" xfId="40" builtinId="24" customBuiltin="1"/>
    <cellStyle name="Neutral" xfId="41" builtinId="28" customBuiltin="1"/>
    <cellStyle name="Normal" xfId="0" builtinId="0"/>
    <cellStyle name="Normal 10" xfId="71" xr:uid="{00000000-0005-0000-0000-00003D000000}"/>
    <cellStyle name="Normal 11" xfId="72" xr:uid="{00000000-0005-0000-0000-00003E000000}"/>
    <cellStyle name="Normal 11 2" xfId="87" xr:uid="{A9DD8121-74D0-44BD-A6CF-B2E6591B1609}"/>
    <cellStyle name="Normal 14" xfId="73" xr:uid="{00000000-0005-0000-0000-00003F000000}"/>
    <cellStyle name="Normal 14 2" xfId="88" xr:uid="{3E940A50-392B-4105-AC7C-2621001AD05B}"/>
    <cellStyle name="Normal 2" xfId="42" xr:uid="{00000000-0005-0000-0000-000040000000}"/>
    <cellStyle name="Normal 3" xfId="56" xr:uid="{00000000-0005-0000-0000-000041000000}"/>
    <cellStyle name="Normal 4" xfId="59" xr:uid="{00000000-0005-0000-0000-000042000000}"/>
    <cellStyle name="Normal 4 2" xfId="84" xr:uid="{A9AEED42-D7D6-4883-8549-20084028A777}"/>
    <cellStyle name="Normal 5" xfId="67" xr:uid="{00000000-0005-0000-0000-000043000000}"/>
    <cellStyle name="Normal 6" xfId="76" xr:uid="{00000000-0005-0000-0000-000044000000}"/>
    <cellStyle name="Normal 6 2" xfId="77" xr:uid="{00000000-0005-0000-0000-000045000000}"/>
    <cellStyle name="Normal 6 2 2" xfId="89" xr:uid="{EDEE59A2-2223-48C7-8C86-4400C3A0EA9C}"/>
    <cellStyle name="Normal 8" xfId="70" xr:uid="{00000000-0005-0000-0000-000046000000}"/>
    <cellStyle name="Normal 8 2" xfId="86" xr:uid="{2B59F296-CB75-43DC-99D4-D6E1D8B2824A}"/>
    <cellStyle name="Note" xfId="43" builtinId="10" customBuiltin="1"/>
    <cellStyle name="Note 2" xfId="81" xr:uid="{52DC4BD8-8FA9-4B08-9746-A0C57C39B91A}"/>
    <cellStyle name="Output" xfId="44" builtinId="21" customBuiltin="1"/>
    <cellStyle name="Output 2" xfId="82" xr:uid="{37AFC410-1AE3-4F04-B04A-ED90D48CCC3A}"/>
    <cellStyle name="Per cent" xfId="75" builtinId="5"/>
    <cellStyle name="Percent 2" xfId="55" xr:uid="{00000000-0005-0000-0000-00004A000000}"/>
    <cellStyle name="TableStyleLight1" xfId="74" xr:uid="{00000000-0005-0000-0000-00004B000000}"/>
    <cellStyle name="Title" xfId="45" builtinId="15" customBuiltin="1"/>
    <cellStyle name="Total" xfId="46" builtinId="25" customBuiltin="1"/>
    <cellStyle name="Total 2" xfId="83" xr:uid="{E8E0AD48-C452-495A-B3E3-6F7FBF867409}"/>
    <cellStyle name="Warning Text" xfId="47" builtinId="11" customBuiltin="1"/>
  </cellStyles>
  <dxfs count="64"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theme="6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"/>
  <sheetViews>
    <sheetView zoomScale="132" workbookViewId="0">
      <selection activeCell="A14" sqref="A14"/>
    </sheetView>
  </sheetViews>
  <sheetFormatPr defaultColWidth="9" defaultRowHeight="12.95"/>
  <cols>
    <col min="1" max="1" width="24.140625" style="28" bestFit="1" customWidth="1"/>
    <col min="2" max="11" width="15" style="28" customWidth="1"/>
    <col min="12" max="12" width="19.7109375" style="28" customWidth="1"/>
    <col min="13" max="14" width="15" style="28" customWidth="1"/>
    <col min="15" max="15" width="18.140625" style="28" customWidth="1"/>
    <col min="16" max="26" width="15" style="28" customWidth="1"/>
    <col min="27" max="27" width="18.42578125" style="28" customWidth="1"/>
    <col min="28" max="16384" width="9" style="28"/>
  </cols>
  <sheetData>
    <row r="1" spans="1:28">
      <c r="A1" s="39" t="s">
        <v>0</v>
      </c>
      <c r="B1" s="40" t="s">
        <v>1</v>
      </c>
      <c r="C1" s="41" t="s">
        <v>2</v>
      </c>
      <c r="D1" s="268"/>
      <c r="E1" s="269"/>
      <c r="F1" s="269"/>
      <c r="G1" s="269"/>
      <c r="H1" s="269"/>
      <c r="I1" s="270"/>
      <c r="J1" s="270"/>
      <c r="K1" s="270"/>
      <c r="L1" s="270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71"/>
      <c r="Y1" s="271"/>
      <c r="Z1" s="271"/>
      <c r="AA1" s="36"/>
      <c r="AB1" s="36"/>
    </row>
    <row r="2" spans="1:28" s="30" customFormat="1" ht="39">
      <c r="A2" s="272"/>
      <c r="B2" s="273" t="s">
        <v>3</v>
      </c>
      <c r="C2" s="274" t="s">
        <v>4</v>
      </c>
      <c r="D2" s="275"/>
      <c r="E2" s="273"/>
      <c r="F2" s="273"/>
      <c r="G2" s="273"/>
      <c r="H2" s="273"/>
      <c r="I2" s="161"/>
      <c r="J2" s="161"/>
      <c r="K2" s="161"/>
      <c r="L2" s="161"/>
      <c r="M2" s="273"/>
      <c r="N2" s="269"/>
      <c r="O2" s="273"/>
      <c r="P2" s="273"/>
      <c r="Q2" s="273"/>
      <c r="R2" s="273"/>
      <c r="S2" s="273"/>
      <c r="T2" s="273"/>
      <c r="U2" s="273"/>
      <c r="V2" s="273"/>
      <c r="W2" s="273"/>
      <c r="X2" s="276"/>
      <c r="Y2" s="276"/>
      <c r="Z2" s="276"/>
      <c r="AA2" s="29"/>
      <c r="AB2" s="29"/>
    </row>
    <row r="3" spans="1:28">
      <c r="A3" s="277" t="s">
        <v>5</v>
      </c>
      <c r="B3" s="278" t="s">
        <v>6</v>
      </c>
      <c r="C3" s="279" t="s">
        <v>7</v>
      </c>
      <c r="D3" s="280"/>
      <c r="E3" s="270"/>
      <c r="F3" s="270"/>
      <c r="G3" s="269"/>
      <c r="H3" s="269"/>
      <c r="I3" s="270"/>
      <c r="J3" s="270"/>
      <c r="K3" s="269"/>
      <c r="L3" s="270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71"/>
      <c r="Y3" s="271"/>
      <c r="Z3" s="271"/>
      <c r="AA3" s="36"/>
      <c r="AB3" s="36"/>
    </row>
    <row r="4" spans="1:28" ht="26.1">
      <c r="A4" s="277" t="s">
        <v>8</v>
      </c>
      <c r="B4" s="278">
        <v>75</v>
      </c>
      <c r="C4" s="278"/>
      <c r="D4" s="280"/>
      <c r="E4" s="270"/>
      <c r="F4" s="270"/>
      <c r="G4" s="269"/>
      <c r="H4" s="269"/>
      <c r="I4" s="270"/>
      <c r="J4" s="270"/>
      <c r="K4" s="269"/>
      <c r="L4" s="270"/>
      <c r="M4" s="269"/>
      <c r="N4" s="269"/>
      <c r="O4" s="269"/>
      <c r="P4" s="269"/>
      <c r="Q4" s="269"/>
      <c r="R4" s="269"/>
      <c r="S4" s="269"/>
      <c r="T4" s="269"/>
      <c r="U4" s="269"/>
      <c r="V4" s="269"/>
      <c r="W4" s="269"/>
      <c r="X4" s="271"/>
      <c r="Y4" s="271"/>
      <c r="Z4" s="271"/>
      <c r="AA4" s="36"/>
      <c r="AB4" s="36"/>
    </row>
    <row r="5" spans="1:28" ht="13.5" thickBot="1">
      <c r="A5" s="281"/>
      <c r="B5" s="282"/>
      <c r="C5" s="283"/>
      <c r="D5" s="284"/>
      <c r="E5" s="285"/>
      <c r="F5" s="285"/>
      <c r="G5" s="282"/>
      <c r="H5" s="282"/>
      <c r="I5" s="285"/>
      <c r="J5" s="285"/>
      <c r="K5" s="282"/>
      <c r="L5" s="285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6"/>
      <c r="Y5" s="286"/>
      <c r="Z5" s="286"/>
      <c r="AA5" s="36"/>
      <c r="AB5" s="36"/>
    </row>
    <row r="6" spans="1:28" s="37" customFormat="1" ht="78.599999999999994" thickBot="1">
      <c r="A6" s="42" t="s">
        <v>9</v>
      </c>
      <c r="B6" s="38" t="s">
        <v>10</v>
      </c>
      <c r="C6" s="43" t="s">
        <v>11</v>
      </c>
      <c r="D6" s="43" t="s">
        <v>12</v>
      </c>
      <c r="E6" s="43" t="s">
        <v>13</v>
      </c>
      <c r="F6" s="43" t="s">
        <v>14</v>
      </c>
      <c r="G6" s="38" t="s">
        <v>15</v>
      </c>
      <c r="H6" s="43" t="s">
        <v>16</v>
      </c>
      <c r="I6" s="43" t="s">
        <v>17</v>
      </c>
      <c r="J6" s="43" t="s">
        <v>13</v>
      </c>
      <c r="K6" s="38" t="s">
        <v>18</v>
      </c>
      <c r="L6" s="43" t="s">
        <v>19</v>
      </c>
      <c r="M6" s="38" t="s">
        <v>20</v>
      </c>
      <c r="N6" s="47" t="s">
        <v>21</v>
      </c>
      <c r="O6" s="47" t="s">
        <v>22</v>
      </c>
      <c r="P6" s="38" t="s">
        <v>23</v>
      </c>
      <c r="Q6" s="38" t="s">
        <v>24</v>
      </c>
      <c r="R6" s="44" t="s">
        <v>25</v>
      </c>
      <c r="S6" s="48" t="s">
        <v>26</v>
      </c>
      <c r="T6" s="62" t="s">
        <v>27</v>
      </c>
      <c r="U6" s="62" t="s">
        <v>28</v>
      </c>
      <c r="V6" s="62" t="s">
        <v>29</v>
      </c>
      <c r="W6" s="62" t="s">
        <v>30</v>
      </c>
      <c r="X6" s="45" t="s">
        <v>31</v>
      </c>
      <c r="Y6" s="45" t="s">
        <v>32</v>
      </c>
      <c r="Z6" s="46" t="s">
        <v>33</v>
      </c>
      <c r="AA6" s="31"/>
      <c r="AB6" s="31"/>
    </row>
    <row r="7" spans="1:28" s="35" customFormat="1" ht="15.95">
      <c r="A7" s="32"/>
      <c r="B7" s="240" t="s">
        <v>34</v>
      </c>
      <c r="C7" s="241"/>
      <c r="D7" s="241"/>
      <c r="E7" s="241"/>
      <c r="F7" s="242"/>
      <c r="G7" s="245" t="s">
        <v>35</v>
      </c>
      <c r="H7" s="246"/>
      <c r="I7" s="246"/>
      <c r="J7" s="247"/>
      <c r="K7" s="239" t="s">
        <v>36</v>
      </c>
      <c r="L7" s="239"/>
      <c r="M7" s="169" t="s">
        <v>37</v>
      </c>
      <c r="N7" s="169" t="s">
        <v>38</v>
      </c>
      <c r="O7" s="169" t="s">
        <v>39</v>
      </c>
      <c r="P7" s="169" t="s">
        <v>40</v>
      </c>
      <c r="Q7" s="169" t="s">
        <v>40</v>
      </c>
      <c r="R7" s="169" t="s">
        <v>40</v>
      </c>
      <c r="S7" s="169" t="s">
        <v>40</v>
      </c>
      <c r="T7" s="169"/>
      <c r="U7" s="169"/>
      <c r="V7" s="169"/>
      <c r="W7" s="169"/>
      <c r="X7" s="33"/>
      <c r="Y7" s="33"/>
      <c r="Z7" s="33"/>
      <c r="AA7" s="34"/>
      <c r="AB7" s="34"/>
    </row>
    <row r="8" spans="1:28" ht="39">
      <c r="A8" s="287" t="s">
        <v>41</v>
      </c>
      <c r="B8" s="278">
        <f>2750*0.9</f>
        <v>2475</v>
      </c>
      <c r="C8" s="270">
        <v>1</v>
      </c>
      <c r="D8" s="288">
        <f>2750*0.9</f>
        <v>2475</v>
      </c>
      <c r="E8" s="288">
        <v>1</v>
      </c>
      <c r="F8" s="270">
        <v>1046</v>
      </c>
      <c r="G8" s="278">
        <f>3000*0.8</f>
        <v>2400</v>
      </c>
      <c r="H8" s="270">
        <v>1</v>
      </c>
      <c r="I8" s="288">
        <f>3000*0.8</f>
        <v>2400</v>
      </c>
      <c r="J8" s="288">
        <v>1</v>
      </c>
      <c r="K8" s="278">
        <v>2160</v>
      </c>
      <c r="L8" s="270" t="s">
        <v>42</v>
      </c>
      <c r="M8" s="278">
        <v>2160</v>
      </c>
      <c r="N8" s="278">
        <v>2160</v>
      </c>
      <c r="O8" s="278">
        <v>2160</v>
      </c>
      <c r="P8" s="289">
        <f>'Noida-01'!U168</f>
        <v>954.80061011904763</v>
      </c>
      <c r="Q8" s="278">
        <f t="shared" ref="Q8:Q14" si="0">M8-P8</f>
        <v>1205.1993898809524</v>
      </c>
      <c r="R8" s="278">
        <f>M8-N8</f>
        <v>0</v>
      </c>
      <c r="S8" s="290">
        <f>M8-O8</f>
        <v>0</v>
      </c>
      <c r="T8" s="291">
        <v>220</v>
      </c>
      <c r="U8" s="291">
        <v>220</v>
      </c>
      <c r="V8" s="291">
        <v>0</v>
      </c>
      <c r="W8" s="291">
        <v>0</v>
      </c>
      <c r="X8" s="271">
        <v>7384</v>
      </c>
      <c r="Y8" s="271">
        <v>7384</v>
      </c>
      <c r="Z8" s="278">
        <f>X8-Y8</f>
        <v>0</v>
      </c>
      <c r="AA8" s="36"/>
      <c r="AB8" s="36"/>
    </row>
    <row r="9" spans="1:28" ht="39">
      <c r="A9" s="287" t="s">
        <v>43</v>
      </c>
      <c r="B9" s="278">
        <f t="shared" ref="B9:B10" si="1">2750*0.9</f>
        <v>2475</v>
      </c>
      <c r="C9" s="270">
        <v>1</v>
      </c>
      <c r="D9" s="243"/>
      <c r="E9" s="243"/>
      <c r="F9" s="270">
        <v>860</v>
      </c>
      <c r="G9" s="278">
        <f t="shared" ref="G9:G10" si="2">3000*0.8</f>
        <v>2400</v>
      </c>
      <c r="H9" s="270">
        <v>1</v>
      </c>
      <c r="I9" s="243"/>
      <c r="J9" s="243"/>
      <c r="K9" s="278">
        <v>2160</v>
      </c>
      <c r="L9" s="270" t="s">
        <v>42</v>
      </c>
      <c r="M9" s="278">
        <v>2160</v>
      </c>
      <c r="N9" s="278">
        <v>2160</v>
      </c>
      <c r="O9" s="278">
        <v>2160</v>
      </c>
      <c r="P9" s="289">
        <f>'Noida-01'!U169</f>
        <v>737.80375744047615</v>
      </c>
      <c r="Q9" s="278">
        <f t="shared" si="0"/>
        <v>1422.1962425595239</v>
      </c>
      <c r="R9" s="278">
        <f t="shared" ref="R9:R14" si="3">M9-N9</f>
        <v>0</v>
      </c>
      <c r="S9" s="290">
        <f t="shared" ref="S9:S14" si="4">M9-O9</f>
        <v>0</v>
      </c>
      <c r="T9" s="291">
        <v>220</v>
      </c>
      <c r="U9" s="291">
        <v>220</v>
      </c>
      <c r="V9" s="291">
        <v>0</v>
      </c>
      <c r="W9" s="291">
        <v>0</v>
      </c>
      <c r="X9" s="271">
        <v>7384</v>
      </c>
      <c r="Y9" s="271">
        <v>7384</v>
      </c>
      <c r="Z9" s="278">
        <f t="shared" ref="Z9:Z14" si="5">X9-Y9</f>
        <v>0</v>
      </c>
      <c r="AA9" s="36"/>
      <c r="AB9" s="36"/>
    </row>
    <row r="10" spans="1:28" ht="39">
      <c r="A10" s="287" t="s">
        <v>44</v>
      </c>
      <c r="B10" s="278">
        <f t="shared" si="1"/>
        <v>2475</v>
      </c>
      <c r="C10" s="270">
        <v>1</v>
      </c>
      <c r="D10" s="244"/>
      <c r="E10" s="244"/>
      <c r="F10" s="270">
        <v>837</v>
      </c>
      <c r="G10" s="278">
        <f t="shared" si="2"/>
        <v>2400</v>
      </c>
      <c r="H10" s="270">
        <v>1</v>
      </c>
      <c r="I10" s="244"/>
      <c r="J10" s="244"/>
      <c r="K10" s="278">
        <v>2160</v>
      </c>
      <c r="L10" s="270" t="s">
        <v>42</v>
      </c>
      <c r="M10" s="278">
        <v>2160</v>
      </c>
      <c r="N10" s="278">
        <v>2160</v>
      </c>
      <c r="O10" s="278">
        <v>2160</v>
      </c>
      <c r="P10" s="289">
        <f>'Noida-01'!U170</f>
        <v>914.58873511904767</v>
      </c>
      <c r="Q10" s="278">
        <f t="shared" si="0"/>
        <v>1245.4112648809523</v>
      </c>
      <c r="R10" s="278">
        <f t="shared" si="3"/>
        <v>0</v>
      </c>
      <c r="S10" s="290">
        <f t="shared" si="4"/>
        <v>0</v>
      </c>
      <c r="T10" s="291">
        <v>220</v>
      </c>
      <c r="U10" s="291">
        <v>220</v>
      </c>
      <c r="V10" s="291">
        <v>0</v>
      </c>
      <c r="W10" s="291">
        <v>0</v>
      </c>
      <c r="X10" s="271">
        <v>7384</v>
      </c>
      <c r="Y10" s="271">
        <v>7384</v>
      </c>
      <c r="Z10" s="278">
        <f t="shared" si="5"/>
        <v>0</v>
      </c>
      <c r="AA10" s="36"/>
      <c r="AB10" s="36"/>
    </row>
    <row r="11" spans="1:28" ht="39">
      <c r="A11" s="287" t="s">
        <v>45</v>
      </c>
      <c r="B11" s="278">
        <f>2250*0.9</f>
        <v>2025</v>
      </c>
      <c r="C11" s="270">
        <v>1</v>
      </c>
      <c r="D11" s="288">
        <f>2500*0.9</f>
        <v>2250</v>
      </c>
      <c r="E11" s="288">
        <v>1</v>
      </c>
      <c r="F11" s="270">
        <v>1048</v>
      </c>
      <c r="G11" s="278">
        <f>2000*0.8</f>
        <v>1600</v>
      </c>
      <c r="H11" s="270">
        <v>1</v>
      </c>
      <c r="I11" s="288">
        <f>2500*0.8</f>
        <v>2000</v>
      </c>
      <c r="J11" s="288">
        <v>1</v>
      </c>
      <c r="K11" s="278">
        <v>1440</v>
      </c>
      <c r="L11" s="270" t="s">
        <v>46</v>
      </c>
      <c r="M11" s="278">
        <f>1600*0.9</f>
        <v>1440</v>
      </c>
      <c r="N11" s="278">
        <f>'Noida-01'!T120</f>
        <v>1484.18</v>
      </c>
      <c r="O11" s="278" t="e">
        <f>'Noida-01'!Y120</f>
        <v>#REF!</v>
      </c>
      <c r="P11" s="292">
        <f>'Noida-01'!Z120</f>
        <v>614.16729166666676</v>
      </c>
      <c r="Q11" s="278">
        <f t="shared" si="0"/>
        <v>825.83270833333324</v>
      </c>
      <c r="R11" s="278">
        <f t="shared" si="3"/>
        <v>-44.180000000000064</v>
      </c>
      <c r="S11" s="290" t="e">
        <f t="shared" si="4"/>
        <v>#REF!</v>
      </c>
      <c r="T11" s="291">
        <v>392</v>
      </c>
      <c r="U11" s="291">
        <f>'Noida-01'!L124</f>
        <v>313.95238095238096</v>
      </c>
      <c r="V11" s="291">
        <f>69</f>
        <v>69</v>
      </c>
      <c r="W11" s="291">
        <f>T11-(U11+V11)</f>
        <v>9.0476190476190368</v>
      </c>
      <c r="X11" s="271">
        <v>7300</v>
      </c>
      <c r="Y11" s="271">
        <v>7300</v>
      </c>
      <c r="Z11" s="278">
        <f t="shared" si="5"/>
        <v>0</v>
      </c>
      <c r="AA11" s="36"/>
      <c r="AB11" s="36"/>
    </row>
    <row r="12" spans="1:28" ht="39">
      <c r="A12" s="287" t="s">
        <v>47</v>
      </c>
      <c r="B12" s="278">
        <f>2250*0.9</f>
        <v>2025</v>
      </c>
      <c r="C12" s="270">
        <v>1</v>
      </c>
      <c r="D12" s="243"/>
      <c r="E12" s="243"/>
      <c r="F12" s="293">
        <v>1062</v>
      </c>
      <c r="G12" s="278">
        <f>2250*0.8</f>
        <v>1800</v>
      </c>
      <c r="H12" s="270">
        <v>1</v>
      </c>
      <c r="I12" s="243"/>
      <c r="J12" s="243"/>
      <c r="K12" s="278">
        <v>1440</v>
      </c>
      <c r="L12" s="270" t="s">
        <v>46</v>
      </c>
      <c r="M12" s="278">
        <f>800*0.9+100</f>
        <v>820</v>
      </c>
      <c r="N12" s="278">
        <f>'Noida-01'!T70</f>
        <v>933.87</v>
      </c>
      <c r="O12" s="278" t="e">
        <f>'Noida-01'!Y70</f>
        <v>#REF!</v>
      </c>
      <c r="P12" s="292">
        <f>'Noida-01'!Z70</f>
        <v>589.69916666666654</v>
      </c>
      <c r="Q12" s="278">
        <f t="shared" si="0"/>
        <v>230.30083333333346</v>
      </c>
      <c r="R12" s="278">
        <f t="shared" si="3"/>
        <v>-113.87</v>
      </c>
      <c r="S12" s="290" t="e">
        <f t="shared" si="4"/>
        <v>#REF!</v>
      </c>
      <c r="T12" s="291">
        <v>353</v>
      </c>
      <c r="U12" s="291">
        <f>'Noida-01'!L74</f>
        <v>286.14285714285711</v>
      </c>
      <c r="V12" s="291">
        <v>50</v>
      </c>
      <c r="W12" s="291">
        <f t="shared" ref="W12:W14" si="6">T12-(U12+V12)</f>
        <v>16.85714285714289</v>
      </c>
      <c r="X12" s="271">
        <v>9200</v>
      </c>
      <c r="Y12" s="271">
        <v>9200</v>
      </c>
      <c r="Z12" s="278">
        <f t="shared" si="5"/>
        <v>0</v>
      </c>
      <c r="AA12" s="36"/>
      <c r="AB12" s="36"/>
    </row>
    <row r="13" spans="1:28">
      <c r="A13" s="287" t="s">
        <v>48</v>
      </c>
      <c r="B13" s="278"/>
      <c r="C13" s="270"/>
      <c r="D13" s="243"/>
      <c r="E13" s="243"/>
      <c r="F13" s="248"/>
      <c r="G13" s="278"/>
      <c r="H13" s="278"/>
      <c r="I13" s="243"/>
      <c r="J13" s="243"/>
      <c r="K13" s="278"/>
      <c r="L13" s="270"/>
      <c r="M13" s="278">
        <f>720-100</f>
        <v>620</v>
      </c>
      <c r="N13" s="278">
        <f>'Noida-01'!T158</f>
        <v>1080.4899999999998</v>
      </c>
      <c r="O13" s="278" t="e">
        <f>'Noida-01'!Y158</f>
        <v>#REF!</v>
      </c>
      <c r="P13" s="292">
        <f>'Noida-01'!Z158</f>
        <v>500.87619047619057</v>
      </c>
      <c r="Q13" s="278">
        <f t="shared" si="0"/>
        <v>119.12380952380943</v>
      </c>
      <c r="R13" s="278">
        <f t="shared" si="3"/>
        <v>-460.48999999999978</v>
      </c>
      <c r="S13" s="290" t="e">
        <f t="shared" si="4"/>
        <v>#REF!</v>
      </c>
      <c r="T13" s="291">
        <v>258</v>
      </c>
      <c r="U13" s="291">
        <f>'Noida-01'!L162</f>
        <v>244.71428571428572</v>
      </c>
      <c r="V13" s="291">
        <f>34</f>
        <v>34</v>
      </c>
      <c r="W13" s="291">
        <f t="shared" si="6"/>
        <v>-20.714285714285722</v>
      </c>
      <c r="X13" s="271">
        <v>6000</v>
      </c>
      <c r="Y13" s="271">
        <v>6000</v>
      </c>
      <c r="Z13" s="278">
        <f t="shared" si="5"/>
        <v>0</v>
      </c>
      <c r="AA13" s="36"/>
      <c r="AB13" s="36"/>
    </row>
    <row r="14" spans="1:28" ht="39">
      <c r="A14" s="287" t="s">
        <v>49</v>
      </c>
      <c r="B14" s="278">
        <f>2500*0.9</f>
        <v>2250</v>
      </c>
      <c r="C14" s="270">
        <v>1</v>
      </c>
      <c r="D14" s="244"/>
      <c r="E14" s="244"/>
      <c r="F14" s="270">
        <v>193</v>
      </c>
      <c r="G14" s="278">
        <f>2250*0.8</f>
        <v>1800</v>
      </c>
      <c r="H14" s="270">
        <v>1</v>
      </c>
      <c r="I14" s="244"/>
      <c r="J14" s="244"/>
      <c r="K14" s="278">
        <v>1700</v>
      </c>
      <c r="L14" s="270" t="s">
        <v>50</v>
      </c>
      <c r="M14" s="278">
        <v>1400</v>
      </c>
      <c r="N14" s="278">
        <f>'Noida-01'!T226</f>
        <v>1436.8</v>
      </c>
      <c r="O14" s="278" t="e">
        <f>'Noida-01'!Y226</f>
        <v>#REF!</v>
      </c>
      <c r="P14" s="292">
        <f>'Noida-01'!Z226</f>
        <v>563.71504464285692</v>
      </c>
      <c r="Q14" s="278">
        <f t="shared" si="0"/>
        <v>836.28495535714308</v>
      </c>
      <c r="R14" s="278">
        <f t="shared" si="3"/>
        <v>-36.799999999999955</v>
      </c>
      <c r="S14" s="290" t="e">
        <f t="shared" si="4"/>
        <v>#REF!</v>
      </c>
      <c r="T14" s="291">
        <v>261</v>
      </c>
      <c r="U14" s="291">
        <f>'Noida-01'!L231</f>
        <v>251.71428571428572</v>
      </c>
      <c r="V14" s="291">
        <v>13</v>
      </c>
      <c r="W14" s="291">
        <f t="shared" si="6"/>
        <v>-3.7142857142857224</v>
      </c>
      <c r="X14" s="271">
        <v>6850</v>
      </c>
      <c r="Y14" s="271">
        <v>6850</v>
      </c>
      <c r="Z14" s="278">
        <f t="shared" si="5"/>
        <v>0</v>
      </c>
      <c r="AA14" s="28" t="s">
        <v>51</v>
      </c>
      <c r="AB14" s="36"/>
    </row>
    <row r="15" spans="1:28">
      <c r="A15" s="294" t="s">
        <v>52</v>
      </c>
      <c r="B15" s="294"/>
      <c r="C15" s="294"/>
      <c r="D15" s="294"/>
      <c r="E15" s="294"/>
      <c r="F15" s="294"/>
      <c r="G15" s="294"/>
      <c r="H15" s="294"/>
      <c r="I15" s="294"/>
      <c r="J15" s="295"/>
      <c r="K15" s="296">
        <f>SUM(K8:K14)</f>
        <v>11060</v>
      </c>
      <c r="L15" s="297"/>
      <c r="M15" s="298">
        <f>SUM(M8:M14)</f>
        <v>10760</v>
      </c>
      <c r="N15" s="296">
        <f>SUM(N8:N14)</f>
        <v>11415.34</v>
      </c>
      <c r="O15" s="296" t="e">
        <f>SUM(O8:O14)</f>
        <v>#REF!</v>
      </c>
      <c r="P15" s="296">
        <f>SUM(P8:P14)</f>
        <v>4875.6507961309517</v>
      </c>
      <c r="Q15" s="296">
        <f>SUM(Q8:Q14)</f>
        <v>5884.3492038690483</v>
      </c>
      <c r="R15" s="296"/>
      <c r="S15" s="296"/>
      <c r="T15" s="299">
        <f>SUM(T8:T14)</f>
        <v>1924</v>
      </c>
      <c r="U15" s="299">
        <f>SUM(U8:U14)</f>
        <v>1756.5238095238096</v>
      </c>
      <c r="V15" s="299">
        <f>SUM(V8:V14)</f>
        <v>166</v>
      </c>
      <c r="W15" s="299"/>
      <c r="X15" s="271"/>
      <c r="Y15" s="271"/>
      <c r="Z15" s="271"/>
      <c r="AA15" s="36"/>
      <c r="AB15" s="36"/>
    </row>
    <row r="16" spans="1:28">
      <c r="T16" s="109"/>
      <c r="U16" s="109"/>
      <c r="X16" s="109"/>
    </row>
    <row r="17" spans="20:24">
      <c r="T17" s="109">
        <f>T15</f>
        <v>1924</v>
      </c>
      <c r="U17" s="109">
        <f>U15+V15</f>
        <v>1922.5238095238096</v>
      </c>
      <c r="V17" s="109"/>
      <c r="W17" s="109"/>
      <c r="X17" s="109"/>
    </row>
  </sheetData>
  <mergeCells count="13">
    <mergeCell ref="K7:L7"/>
    <mergeCell ref="A15:I15"/>
    <mergeCell ref="B7:F7"/>
    <mergeCell ref="D8:D10"/>
    <mergeCell ref="D11:D14"/>
    <mergeCell ref="I8:I10"/>
    <mergeCell ref="I11:I14"/>
    <mergeCell ref="E8:E10"/>
    <mergeCell ref="E11:E14"/>
    <mergeCell ref="J8:J10"/>
    <mergeCell ref="J11:J14"/>
    <mergeCell ref="G7:J7"/>
    <mergeCell ref="F12:F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7FEB-8A96-4F0A-9694-21FB1412EC42}">
  <dimension ref="A1:CA49"/>
  <sheetViews>
    <sheetView topLeftCell="A43" workbookViewId="0">
      <selection activeCell="A49" sqref="A49:BX49"/>
    </sheetView>
  </sheetViews>
  <sheetFormatPr defaultRowHeight="12.95"/>
  <cols>
    <col min="2" max="2" width="13.7109375" bestFit="1" customWidth="1"/>
    <col min="3" max="3" width="24.7109375" customWidth="1"/>
    <col min="4" max="4" width="16.85546875" customWidth="1"/>
    <col min="5" max="5" width="15.42578125" customWidth="1"/>
    <col min="6" max="6" width="19.42578125" customWidth="1"/>
    <col min="7" max="7" width="16.140625" customWidth="1"/>
    <col min="9" max="9" width="17" customWidth="1"/>
  </cols>
  <sheetData>
    <row r="1" spans="1:78" s="5" customFormat="1">
      <c r="B1" s="7"/>
      <c r="C1" s="193"/>
      <c r="D1" s="193"/>
      <c r="E1" s="193"/>
      <c r="F1" s="11"/>
      <c r="G1" s="11"/>
      <c r="H1" s="11"/>
      <c r="I1" s="11"/>
      <c r="J1" s="3"/>
      <c r="K1" s="12"/>
      <c r="L1" s="9"/>
      <c r="M1" s="9"/>
      <c r="N1" s="9"/>
      <c r="O1" s="13"/>
      <c r="P1" s="13"/>
      <c r="Q1" s="9"/>
      <c r="R1" s="3"/>
      <c r="S1" s="14" t="s">
        <v>53</v>
      </c>
      <c r="T1" s="15"/>
      <c r="U1" s="15">
        <v>0.5</v>
      </c>
      <c r="V1" s="20" t="s">
        <v>54</v>
      </c>
      <c r="W1" s="15"/>
      <c r="X1" s="21" t="e">
        <f>#REF!</f>
        <v>#REF!</v>
      </c>
      <c r="Y1" s="15"/>
      <c r="Z1" s="1" t="s">
        <v>55</v>
      </c>
      <c r="AA1" s="18">
        <v>2.21</v>
      </c>
      <c r="AB1" s="1" t="s">
        <v>56</v>
      </c>
      <c r="AC1" s="300">
        <v>10.35</v>
      </c>
      <c r="AD1" s="2">
        <f>+AA1*(AC1*(30.5*24-AF1)+AF1*20)</f>
        <v>18246.920249999999</v>
      </c>
      <c r="AE1" s="2" t="s">
        <v>57</v>
      </c>
      <c r="AF1" s="19">
        <v>70.5</v>
      </c>
      <c r="AG1" s="15"/>
      <c r="AH1" s="15"/>
      <c r="AI1" s="15"/>
      <c r="AJ1" s="15"/>
      <c r="AK1" s="15"/>
      <c r="AL1" s="15"/>
      <c r="AT1" s="8"/>
      <c r="AU1" s="8"/>
      <c r="AV1" s="8"/>
      <c r="AW1" s="8"/>
    </row>
    <row r="2" spans="1:78" s="5" customFormat="1" ht="13.5" thickBot="1">
      <c r="B2" s="7"/>
      <c r="C2" s="193"/>
      <c r="D2" s="249" t="s">
        <v>58</v>
      </c>
      <c r="E2" s="249"/>
      <c r="F2" s="250" t="s">
        <v>59</v>
      </c>
      <c r="G2" s="301"/>
      <c r="H2" s="301"/>
      <c r="I2" s="301"/>
      <c r="J2" s="301"/>
      <c r="K2" s="301"/>
      <c r="L2" s="301"/>
      <c r="M2" s="301"/>
      <c r="N2" s="301"/>
      <c r="O2" s="302" t="s">
        <v>60</v>
      </c>
      <c r="P2" s="302"/>
      <c r="Q2" s="302"/>
      <c r="R2" s="302"/>
      <c r="S2" s="303"/>
      <c r="T2" s="302"/>
      <c r="U2" s="302"/>
      <c r="V2" s="302"/>
      <c r="W2" s="302"/>
      <c r="X2" s="302"/>
      <c r="Y2" s="302"/>
      <c r="Z2" s="304" t="s">
        <v>61</v>
      </c>
      <c r="AA2" s="304"/>
      <c r="AB2" s="304"/>
      <c r="AC2" s="304"/>
      <c r="AD2" s="305"/>
      <c r="AE2" s="306" t="s">
        <v>62</v>
      </c>
      <c r="AF2" s="307"/>
      <c r="AG2" s="307"/>
      <c r="AH2" s="307"/>
      <c r="AI2" s="307"/>
      <c r="AJ2" s="307"/>
      <c r="AK2" s="307"/>
      <c r="AL2" s="308"/>
      <c r="AM2" s="309" t="s">
        <v>63</v>
      </c>
      <c r="AN2" s="309"/>
      <c r="AO2" s="309"/>
      <c r="AP2" s="309"/>
      <c r="AQ2" s="309"/>
      <c r="AR2" s="309"/>
      <c r="AS2" s="309"/>
      <c r="AT2" s="310" t="s">
        <v>64</v>
      </c>
      <c r="AU2" s="310"/>
      <c r="AV2" s="310"/>
      <c r="AW2" s="310"/>
    </row>
    <row r="3" spans="1:78" s="5" customFormat="1" ht="168.95">
      <c r="A3" s="61" t="s">
        <v>65</v>
      </c>
      <c r="B3" s="176" t="s">
        <v>66</v>
      </c>
      <c r="C3" s="194" t="s">
        <v>67</v>
      </c>
      <c r="D3" s="195" t="s">
        <v>68</v>
      </c>
      <c r="E3" s="195" t="s">
        <v>69</v>
      </c>
      <c r="F3" s="189" t="s">
        <v>70</v>
      </c>
      <c r="G3" s="50" t="s">
        <v>71</v>
      </c>
      <c r="H3" s="51" t="s">
        <v>72</v>
      </c>
      <c r="I3" s="50" t="s">
        <v>73</v>
      </c>
      <c r="J3" s="49" t="s">
        <v>74</v>
      </c>
      <c r="K3" s="52" t="s">
        <v>75</v>
      </c>
      <c r="L3" s="50" t="s">
        <v>76</v>
      </c>
      <c r="M3" s="50" t="s">
        <v>77</v>
      </c>
      <c r="N3" s="50" t="s">
        <v>78</v>
      </c>
      <c r="O3" s="53" t="s">
        <v>79</v>
      </c>
      <c r="P3" s="51" t="s">
        <v>72</v>
      </c>
      <c r="Q3" s="51" t="s">
        <v>80</v>
      </c>
      <c r="R3" s="51" t="s">
        <v>81</v>
      </c>
      <c r="S3" s="54" t="s">
        <v>82</v>
      </c>
      <c r="T3" s="50" t="s">
        <v>83</v>
      </c>
      <c r="U3" s="51" t="s">
        <v>84</v>
      </c>
      <c r="V3" s="63" t="s">
        <v>85</v>
      </c>
      <c r="W3" s="55" t="s">
        <v>86</v>
      </c>
      <c r="X3" s="51" t="s">
        <v>87</v>
      </c>
      <c r="Y3" s="51" t="s">
        <v>88</v>
      </c>
      <c r="Z3" s="51" t="s">
        <v>89</v>
      </c>
      <c r="AA3" s="56" t="s">
        <v>90</v>
      </c>
      <c r="AB3" s="57" t="s">
        <v>91</v>
      </c>
      <c r="AC3" s="57" t="s">
        <v>92</v>
      </c>
      <c r="AD3" s="58" t="s">
        <v>93</v>
      </c>
      <c r="AE3" s="58" t="s">
        <v>79</v>
      </c>
      <c r="AF3" s="58" t="s">
        <v>72</v>
      </c>
      <c r="AG3" s="50" t="s">
        <v>73</v>
      </c>
      <c r="AH3" s="49" t="s">
        <v>74</v>
      </c>
      <c r="AI3" s="50" t="s">
        <v>94</v>
      </c>
      <c r="AJ3" s="50" t="s">
        <v>76</v>
      </c>
      <c r="AK3" s="50" t="s">
        <v>83</v>
      </c>
      <c r="AL3" s="50" t="s">
        <v>95</v>
      </c>
      <c r="AM3" s="57" t="s">
        <v>96</v>
      </c>
      <c r="AN3" s="57" t="s">
        <v>97</v>
      </c>
      <c r="AO3" s="57" t="s">
        <v>98</v>
      </c>
      <c r="AP3" s="57" t="s">
        <v>62</v>
      </c>
      <c r="AQ3" s="57" t="s">
        <v>99</v>
      </c>
      <c r="AR3" s="57" t="s">
        <v>100</v>
      </c>
      <c r="AS3" s="57" t="s">
        <v>101</v>
      </c>
      <c r="AT3" s="59" t="s">
        <v>102</v>
      </c>
      <c r="AU3" s="59" t="s">
        <v>103</v>
      </c>
      <c r="AV3" s="59" t="s">
        <v>104</v>
      </c>
      <c r="AW3" s="59" t="s">
        <v>105</v>
      </c>
      <c r="AX3" s="60" t="s">
        <v>106</v>
      </c>
      <c r="AZ3" s="311" t="s">
        <v>107</v>
      </c>
      <c r="BA3" s="311" t="s">
        <v>108</v>
      </c>
      <c r="BB3" s="311" t="s">
        <v>109</v>
      </c>
      <c r="BC3" s="311" t="s">
        <v>110</v>
      </c>
      <c r="BD3" s="311" t="s">
        <v>111</v>
      </c>
      <c r="BE3" s="311"/>
      <c r="BF3" s="311" t="s">
        <v>112</v>
      </c>
      <c r="BG3" s="311" t="s">
        <v>113</v>
      </c>
      <c r="BH3" s="311" t="s">
        <v>114</v>
      </c>
      <c r="BI3" s="311" t="s">
        <v>115</v>
      </c>
      <c r="BJ3" s="311" t="s">
        <v>116</v>
      </c>
      <c r="BK3" s="311" t="s">
        <v>117</v>
      </c>
      <c r="BL3" s="311" t="s">
        <v>118</v>
      </c>
      <c r="BM3" s="311" t="s">
        <v>119</v>
      </c>
      <c r="BN3" s="311" t="s">
        <v>120</v>
      </c>
      <c r="BO3" s="311" t="s">
        <v>121</v>
      </c>
      <c r="BP3" s="311" t="s">
        <v>122</v>
      </c>
      <c r="BQ3" s="312" t="s">
        <v>123</v>
      </c>
      <c r="BR3" s="312"/>
      <c r="BS3" s="311" t="s">
        <v>121</v>
      </c>
      <c r="BT3" s="311" t="s">
        <v>120</v>
      </c>
      <c r="BU3" s="311" t="s">
        <v>124</v>
      </c>
      <c r="BV3" s="311" t="s">
        <v>125</v>
      </c>
      <c r="BW3" s="311" t="s">
        <v>126</v>
      </c>
      <c r="BX3" s="311" t="s">
        <v>127</v>
      </c>
    </row>
    <row r="4" spans="1:78" s="5" customFormat="1" ht="51.95">
      <c r="A4" s="313" t="s">
        <v>47</v>
      </c>
      <c r="B4" s="177" t="s">
        <v>128</v>
      </c>
      <c r="C4" s="196" t="s">
        <v>129</v>
      </c>
      <c r="D4" s="145" t="s">
        <v>130</v>
      </c>
      <c r="E4" s="146" t="s">
        <v>131</v>
      </c>
      <c r="F4" s="190" t="s">
        <v>132</v>
      </c>
      <c r="G4" s="145" t="s">
        <v>133</v>
      </c>
      <c r="H4" s="147" t="str">
        <f>IF(F4="Rack","No of Racks",(IF(F4="Space","Sq Ft","U Space")))</f>
        <v>No of Racks</v>
      </c>
      <c r="I4" s="145">
        <v>1</v>
      </c>
      <c r="J4" s="145">
        <v>0</v>
      </c>
      <c r="K4" s="148">
        <f>I4-J4</f>
        <v>1</v>
      </c>
      <c r="L4" s="145">
        <v>0</v>
      </c>
      <c r="M4" s="145"/>
      <c r="N4" s="314">
        <f>((5736886/6)/12)*0+(420000+200000)/12</f>
        <v>51666.666666666664</v>
      </c>
      <c r="O4" s="150" t="str">
        <f>D4</f>
        <v>Rated</v>
      </c>
      <c r="P4" s="145" t="s">
        <v>134</v>
      </c>
      <c r="Q4" s="146">
        <v>0</v>
      </c>
      <c r="R4" s="151">
        <v>0</v>
      </c>
      <c r="S4" s="232">
        <f>Q4-R4</f>
        <v>0</v>
      </c>
      <c r="T4" s="146"/>
      <c r="U4" s="146">
        <f>IF(S4&lt;=0,0,(IF(O4="Rated",(S4+T4)*'Noida-01'!#REF!,(S4+T4))))</f>
        <v>0</v>
      </c>
      <c r="V4" s="146" t="e">
        <f>IF(O4="Rated",Q4*'Noida-01'!#REF!,Q4)</f>
        <v>#REF!</v>
      </c>
      <c r="W4" s="231">
        <v>0</v>
      </c>
      <c r="X4" s="146">
        <f>IF((S4*-1)&gt;0, (S4*-1), 0)</f>
        <v>0</v>
      </c>
      <c r="Y4" s="152">
        <v>0</v>
      </c>
      <c r="Z4" s="153" t="str">
        <f>E4</f>
        <v>Bundled</v>
      </c>
      <c r="AA4" s="146"/>
      <c r="AB4" s="146"/>
      <c r="AC4" s="154"/>
      <c r="AD4" s="146"/>
      <c r="AE4" s="155"/>
      <c r="AF4" s="156" t="str">
        <f>IF(AE4="No of Seats","No of Seats",(IF(AE4="Space","Sq Ft","")))</f>
        <v/>
      </c>
      <c r="AG4" s="146"/>
      <c r="AH4" s="146"/>
      <c r="AI4" s="146">
        <f>AG4-AH4</f>
        <v>0</v>
      </c>
      <c r="AJ4" s="146"/>
      <c r="AK4" s="146"/>
      <c r="AL4" s="149"/>
      <c r="AM4" s="157">
        <f>N4*L4</f>
        <v>0</v>
      </c>
      <c r="AN4" s="157">
        <f>Y4*X4</f>
        <v>0</v>
      </c>
      <c r="AO4" s="158">
        <f>AD4*AC4*AA4</f>
        <v>0</v>
      </c>
      <c r="AP4" s="157">
        <f>AL4*AJ4</f>
        <v>0</v>
      </c>
      <c r="AQ4" s="159">
        <f>(1923838/6)/12</f>
        <v>26719.972222222223</v>
      </c>
      <c r="AR4" s="160">
        <f>SUBTOTAL(9,AM4:AQ4)</f>
        <v>26719.972222222223</v>
      </c>
      <c r="AS4" s="160"/>
      <c r="AT4" s="315" t="s">
        <v>135</v>
      </c>
      <c r="AU4" s="235"/>
      <c r="AV4" s="236"/>
      <c r="AW4" s="235"/>
      <c r="AX4" s="316"/>
      <c r="AZ4" s="165">
        <f>IF(F4="Rack",AR4/I4,0)+IF(F4="U Space",AR4*40/I4,0)+IF(F4="Space",AR4*30/I4,0)</f>
        <v>26719.972222222223</v>
      </c>
      <c r="BA4" s="165" t="e">
        <f>+AR4/V4</f>
        <v>#REF!</v>
      </c>
      <c r="BB4" s="165" t="e">
        <f t="shared" ref="BB4:BC6" si="0">+($AM4+$AN4+$AO4-BI4)/$V4</f>
        <v>#REF!</v>
      </c>
      <c r="BC4" s="165" t="e">
        <f t="shared" si="0"/>
        <v>#REF!</v>
      </c>
      <c r="BD4" s="165" t="e">
        <f>+($AM4+$AN4+IF(E4="Bundled",0,V4*0.85*AA4*AC4*30.5*24)-BK4)/$V4</f>
        <v>#REF!</v>
      </c>
      <c r="BE4" s="165"/>
      <c r="BF4" s="166">
        <f>+AM4+AN4+AO4</f>
        <v>0</v>
      </c>
      <c r="BG4" s="166" t="e">
        <f>+BF4-BH4</f>
        <v>#REF!</v>
      </c>
      <c r="BH4" s="166" t="e">
        <f>IF(E4="Bundled",MIN(V4*'Noida-01'!#REF!*(1+#REF!),BF4),AO4)</f>
        <v>#REF!</v>
      </c>
      <c r="BI4" s="167" t="e">
        <f>IF($AD4&gt;0,$AD4*'Noida-01'!#REF!*'Noida-01'!#REF!*(1+'Noida-01'!#REF!*(20/'Noida-01'!#REF!)/732),'Noida-01'!#REF!*W4)</f>
        <v>#REF!</v>
      </c>
      <c r="BJ4" s="167" t="e">
        <f>IF($AD4&gt;0,$AD4*'Noida-01'!#REF!*'Noida-01'!#REF!*(1+'Noida-01'!#REF!*(20/'Noida-01'!#REF!)/732),+'Noida-01'!#REF!*(W4+U4))</f>
        <v>#REF!</v>
      </c>
      <c r="BK4" s="167" t="e">
        <f>IF(E4="Bundled",'Noida-01'!#REF!*V4,'Noida-01'!#REF!*V4*0.85)</f>
        <v>#REF!</v>
      </c>
      <c r="BL4" s="167" t="e">
        <f>+BB4*V4</f>
        <v>#REF!</v>
      </c>
      <c r="BM4" s="167" t="e">
        <f>+#REF!*V4</f>
        <v>#REF!</v>
      </c>
      <c r="BN4" s="167" t="e">
        <f>+BG4-BM4</f>
        <v>#REF!</v>
      </c>
      <c r="BO4" s="167" t="e">
        <f>+BH4-BI4</f>
        <v>#REF!</v>
      </c>
      <c r="BP4" s="167" t="e">
        <f>+BN4+BO4</f>
        <v>#REF!</v>
      </c>
      <c r="BQ4" s="167" t="e">
        <f>+V4</f>
        <v>#REF!</v>
      </c>
      <c r="BR4" s="167" t="e">
        <f>+BB4</f>
        <v>#REF!</v>
      </c>
      <c r="BS4" s="167" t="e">
        <f>IF(E4="Bundled",BK4-BI4,AO4-BI4)</f>
        <v>#REF!</v>
      </c>
      <c r="BT4" s="167" t="e">
        <f>IF(E4="Bundled",+(BD4-#REF!)*V4,(AM4+AN4)-V4*#REF!)</f>
        <v>#REF!</v>
      </c>
      <c r="BU4" s="167" t="e">
        <f>+BS4+BT4</f>
        <v>#REF!</v>
      </c>
      <c r="BV4" s="167" t="e">
        <f t="shared" ref="BV4:BX6" si="1">+BS4/$BQ4</f>
        <v>#REF!</v>
      </c>
      <c r="BW4" s="167" t="e">
        <f t="shared" si="1"/>
        <v>#REF!</v>
      </c>
      <c r="BX4" s="167" t="e">
        <f t="shared" si="1"/>
        <v>#REF!</v>
      </c>
    </row>
    <row r="5" spans="1:78" s="16" customFormat="1" ht="51.95">
      <c r="A5" s="142" t="s">
        <v>45</v>
      </c>
      <c r="B5" s="178" t="s">
        <v>136</v>
      </c>
      <c r="C5" s="168" t="s">
        <v>137</v>
      </c>
      <c r="D5" s="145" t="s">
        <v>130</v>
      </c>
      <c r="E5" s="146" t="s">
        <v>131</v>
      </c>
      <c r="F5" s="190" t="s">
        <v>132</v>
      </c>
      <c r="G5" s="145" t="s">
        <v>133</v>
      </c>
      <c r="H5" s="147" t="str">
        <f>IF(F5="Rack","No of Racks",(IF(F5="Space","Sq Ft","U Space")))</f>
        <v>No of Racks</v>
      </c>
      <c r="I5" s="145">
        <v>4</v>
      </c>
      <c r="J5" s="145">
        <v>0</v>
      </c>
      <c r="K5" s="148">
        <v>0</v>
      </c>
      <c r="L5" s="145">
        <v>0</v>
      </c>
      <c r="M5" s="145"/>
      <c r="N5" s="149">
        <f>((175000+619000+619000+619000)/4)/12</f>
        <v>42333.333333333336</v>
      </c>
      <c r="O5" s="150" t="str">
        <f>D5</f>
        <v>Rated</v>
      </c>
      <c r="P5" s="145" t="s">
        <v>134</v>
      </c>
      <c r="Q5" s="146">
        <v>0</v>
      </c>
      <c r="R5" s="151">
        <v>0</v>
      </c>
      <c r="S5" s="232">
        <f>Q5-R5</f>
        <v>0</v>
      </c>
      <c r="T5" s="146"/>
      <c r="U5" s="146">
        <f>IF(S5&lt;=0,0,(IF(O5="Rated",(S5+T5)*'Noida-01'!#REF!,(S5+T5))))</f>
        <v>0</v>
      </c>
      <c r="V5" s="146" t="e">
        <f>IF(O5="Rated",Q5*'Noida-01'!#REF!,Q5)</f>
        <v>#REF!</v>
      </c>
      <c r="W5" s="231">
        <v>0</v>
      </c>
      <c r="X5" s="146">
        <f>IF((S5*-1)&gt;0, (S5*-1), 0)</f>
        <v>0</v>
      </c>
      <c r="Y5" s="152">
        <f>70000/12</f>
        <v>5833.333333333333</v>
      </c>
      <c r="Z5" s="153" t="str">
        <f>E5</f>
        <v>Bundled</v>
      </c>
      <c r="AA5" s="146"/>
      <c r="AB5" s="146"/>
      <c r="AC5" s="154"/>
      <c r="AD5" s="146"/>
      <c r="AE5" s="155"/>
      <c r="AF5" s="156"/>
      <c r="AG5" s="146"/>
      <c r="AH5" s="146"/>
      <c r="AI5" s="146">
        <f>AG5-AH5</f>
        <v>0</v>
      </c>
      <c r="AJ5" s="146"/>
      <c r="AK5" s="146"/>
      <c r="AL5" s="149">
        <f>(0)/12</f>
        <v>0</v>
      </c>
      <c r="AM5" s="157">
        <f>N5*L5</f>
        <v>0</v>
      </c>
      <c r="AN5" s="157">
        <f>Y5*X5</f>
        <v>0</v>
      </c>
      <c r="AO5" s="158">
        <f>AD5*AC5*AA5</f>
        <v>0</v>
      </c>
      <c r="AP5" s="157">
        <f>AL5*AJ5</f>
        <v>0</v>
      </c>
      <c r="AQ5" s="159">
        <f>(140000+88000+45000)/12</f>
        <v>22750</v>
      </c>
      <c r="AR5" s="160">
        <f>SUBTOTAL(9,AM5:AQ5)</f>
        <v>22750</v>
      </c>
      <c r="AS5" s="160"/>
      <c r="AT5" s="161" t="s">
        <v>138</v>
      </c>
      <c r="AU5" s="162">
        <v>43831</v>
      </c>
      <c r="AV5" s="163">
        <v>1</v>
      </c>
      <c r="AW5" s="162">
        <v>44196</v>
      </c>
      <c r="AX5" s="164"/>
      <c r="AY5" s="5"/>
      <c r="AZ5" s="165">
        <f>IF(F5="Rack",AR5/I5,0)+IF(F5="U Space",AR5*40/I5,0)+IF(F5="Space",AR5*30/I5,0)</f>
        <v>5687.5</v>
      </c>
      <c r="BA5" s="165" t="e">
        <f>+AR5/V5</f>
        <v>#REF!</v>
      </c>
      <c r="BB5" s="165" t="e">
        <f t="shared" si="0"/>
        <v>#REF!</v>
      </c>
      <c r="BC5" s="165" t="e">
        <f t="shared" si="0"/>
        <v>#REF!</v>
      </c>
      <c r="BD5" s="165" t="e">
        <f>+($AM5+$AN5+IF(E5="Bundled",0,V5*0.85*AA5*AC5*30.5*24)-BK5)/$V5</f>
        <v>#REF!</v>
      </c>
      <c r="BE5" s="165"/>
      <c r="BF5" s="166">
        <f>+AM5+AN5+AO5</f>
        <v>0</v>
      </c>
      <c r="BG5" s="166" t="e">
        <f>+BF5-BH5</f>
        <v>#REF!</v>
      </c>
      <c r="BH5" s="166" t="e">
        <f>IF(E5="Bundled",MIN(V5*'Noida-01'!#REF!*(1+#REF!),BF5),AO5)</f>
        <v>#REF!</v>
      </c>
      <c r="BI5" s="167" t="e">
        <f>IF($AD5&gt;0,$AD5*'Noida-01'!#REF!*'Noida-01'!#REF!*(1+'Noida-01'!#REF!*(20/'Noida-01'!#REF!)/732),'Noida-01'!#REF!*W5)</f>
        <v>#REF!</v>
      </c>
      <c r="BJ5" s="167" t="e">
        <f>IF($AD5&gt;0,$AD5*'Noida-01'!#REF!*'Noida-01'!#REF!*(1+'Noida-01'!#REF!*(20/'Noida-01'!#REF!)/732),+'Noida-01'!#REF!*(W5+U5))</f>
        <v>#REF!</v>
      </c>
      <c r="BK5" s="167" t="e">
        <f>IF(E5="Bundled",'Noida-01'!#REF!*V5,'Noida-01'!#REF!*V5*0.85)</f>
        <v>#REF!</v>
      </c>
      <c r="BL5" s="167" t="e">
        <f>+BB5*V5</f>
        <v>#REF!</v>
      </c>
      <c r="BM5" s="167" t="e">
        <f>+#REF!*V5</f>
        <v>#REF!</v>
      </c>
      <c r="BN5" s="167" t="e">
        <f>+BG5-BM5</f>
        <v>#REF!</v>
      </c>
      <c r="BO5" s="167" t="e">
        <f>+BH5-BI5</f>
        <v>#REF!</v>
      </c>
      <c r="BP5" s="167" t="e">
        <f>+BN5+BO5</f>
        <v>#REF!</v>
      </c>
      <c r="BQ5" s="167" t="e">
        <f>+V5</f>
        <v>#REF!</v>
      </c>
      <c r="BR5" s="167" t="e">
        <f>+BB5</f>
        <v>#REF!</v>
      </c>
      <c r="BS5" s="167" t="e">
        <f>IF(E5="Bundled",BK5-BI5,AO5-BI5)</f>
        <v>#REF!</v>
      </c>
      <c r="BT5" s="167" t="e">
        <f>IF(E5="Bundled",+(BD5-#REF!)*V5,(AM5+AN5)-V5*#REF!)</f>
        <v>#REF!</v>
      </c>
      <c r="BU5" s="167" t="e">
        <f>+BS5+BT5</f>
        <v>#REF!</v>
      </c>
      <c r="BV5" s="167" t="e">
        <f t="shared" si="1"/>
        <v>#REF!</v>
      </c>
      <c r="BW5" s="167" t="e">
        <f t="shared" si="1"/>
        <v>#REF!</v>
      </c>
      <c r="BX5" s="167" t="e">
        <f t="shared" si="1"/>
        <v>#REF!</v>
      </c>
    </row>
    <row r="6" spans="1:78" s="16" customFormat="1" ht="26.1">
      <c r="A6" s="142" t="s">
        <v>47</v>
      </c>
      <c r="B6" s="177" t="s">
        <v>139</v>
      </c>
      <c r="C6" s="144" t="s">
        <v>140</v>
      </c>
      <c r="D6" s="145" t="s">
        <v>130</v>
      </c>
      <c r="E6" s="146" t="s">
        <v>131</v>
      </c>
      <c r="F6" s="190" t="s">
        <v>132</v>
      </c>
      <c r="G6" s="145" t="s">
        <v>133</v>
      </c>
      <c r="H6" s="147" t="str">
        <f>IF(F6="Rack","No of Racks",(IF(F6="Space","Sq Ft","U Space")))</f>
        <v>No of Racks</v>
      </c>
      <c r="I6" s="145">
        <v>2</v>
      </c>
      <c r="J6" s="145">
        <v>0</v>
      </c>
      <c r="K6" s="148">
        <v>0</v>
      </c>
      <c r="L6" s="145">
        <v>0</v>
      </c>
      <c r="M6" s="145"/>
      <c r="N6" s="149">
        <f>800000/12</f>
        <v>66666.666666666672</v>
      </c>
      <c r="O6" s="150" t="str">
        <f>D6</f>
        <v>Rated</v>
      </c>
      <c r="P6" s="317" t="s">
        <v>134</v>
      </c>
      <c r="Q6" s="146">
        <v>0</v>
      </c>
      <c r="R6" s="151">
        <v>0</v>
      </c>
      <c r="S6" s="232">
        <f>Q6-R6</f>
        <v>0</v>
      </c>
      <c r="T6" s="146"/>
      <c r="U6" s="146">
        <f>IF(S6&lt;=0,0,(IF(O6="Rated",(S6+T6)*'Noida-01'!#REF!,(S6+T6))))</f>
        <v>0</v>
      </c>
      <c r="V6" s="146" t="e">
        <f>IF(O6="Rated",Q6*'Noida-01'!#REF!,Q6)</f>
        <v>#REF!</v>
      </c>
      <c r="W6" s="231">
        <v>0</v>
      </c>
      <c r="X6" s="146">
        <f>IF((S6*-1)&gt;0, (S6*-1), 0)</f>
        <v>0</v>
      </c>
      <c r="Y6" s="152">
        <f>80000/12</f>
        <v>6666.666666666667</v>
      </c>
      <c r="Z6" s="153" t="str">
        <f>E6</f>
        <v>Bundled</v>
      </c>
      <c r="AA6" s="146"/>
      <c r="AB6" s="146"/>
      <c r="AC6" s="154"/>
      <c r="AD6" s="146"/>
      <c r="AE6" s="155" t="s">
        <v>141</v>
      </c>
      <c r="AF6" s="156" t="str">
        <f>IF(AE6="No of Seats","No of Seats",(IF(AE6="Space","Sq Ft","")))</f>
        <v>No of Seats</v>
      </c>
      <c r="AG6" s="146">
        <v>0</v>
      </c>
      <c r="AH6" s="146">
        <v>0</v>
      </c>
      <c r="AI6" s="146">
        <f>AG6-AH6</f>
        <v>0</v>
      </c>
      <c r="AJ6" s="146">
        <v>0</v>
      </c>
      <c r="AK6" s="146"/>
      <c r="AL6" s="149">
        <v>0</v>
      </c>
      <c r="AM6" s="157">
        <f>N6*L6</f>
        <v>0</v>
      </c>
      <c r="AN6" s="157">
        <f>Y6*X6</f>
        <v>0</v>
      </c>
      <c r="AO6" s="158">
        <f>AD6*AC6*AA6</f>
        <v>0</v>
      </c>
      <c r="AP6" s="157">
        <f>AL6*AJ6</f>
        <v>0</v>
      </c>
      <c r="AQ6" s="159"/>
      <c r="AR6" s="160">
        <f>SUBTOTAL(9,AM6:AQ6)</f>
        <v>0</v>
      </c>
      <c r="AS6" s="160"/>
      <c r="AT6" s="161">
        <v>721004949</v>
      </c>
      <c r="AU6" s="318"/>
      <c r="AV6" s="319"/>
      <c r="AW6" s="318"/>
      <c r="AX6" s="320"/>
      <c r="AZ6" s="165">
        <f>IF(F6="Rack",AR6/I6,0)+IF(F6="U Space",AR6*40/I6,0)+IF(F6="Space",AR6*30/I6,0)</f>
        <v>0</v>
      </c>
      <c r="BA6" s="165" t="e">
        <f>+AR6/V6</f>
        <v>#REF!</v>
      </c>
      <c r="BB6" s="165" t="e">
        <f t="shared" si="0"/>
        <v>#REF!</v>
      </c>
      <c r="BC6" s="165" t="e">
        <f t="shared" si="0"/>
        <v>#REF!</v>
      </c>
      <c r="BD6" s="165" t="e">
        <f>+($AM6+$AN6+IF(E6="Bundled",0,V6*0.85*AA6*AC6*30.5*24)-BK6)/$V6</f>
        <v>#REF!</v>
      </c>
      <c r="BE6" s="165"/>
      <c r="BF6" s="166">
        <f>+AM6+AN6+AO6</f>
        <v>0</v>
      </c>
      <c r="BG6" s="166" t="e">
        <f>+BF6-BH6</f>
        <v>#REF!</v>
      </c>
      <c r="BH6" s="166" t="e">
        <f>IF(E6="Bundled",MIN(V6*'Noida-01'!#REF!*(1+#REF!),BF6),AO6)</f>
        <v>#REF!</v>
      </c>
      <c r="BI6" s="167" t="e">
        <f>IF($AD6&gt;0,$AD6*'Noida-01'!#REF!*'Noida-01'!#REF!*(1+'Noida-01'!#REF!*(20/'Noida-01'!#REF!)/732),'Noida-01'!#REF!*W6)</f>
        <v>#REF!</v>
      </c>
      <c r="BJ6" s="167" t="e">
        <f>IF($AD6&gt;0,$AD6*'Noida-01'!#REF!*'Noida-01'!#REF!*(1+'Noida-01'!#REF!*(20/'Noida-01'!#REF!)/732),+'Noida-01'!#REF!*(W6+U6))</f>
        <v>#REF!</v>
      </c>
      <c r="BK6" s="167" t="e">
        <f>IF(E6="Bundled",'Noida-01'!#REF!*V6,'Noida-01'!#REF!*V6*0.85)</f>
        <v>#REF!</v>
      </c>
      <c r="BL6" s="167" t="e">
        <f>+BB6*V6</f>
        <v>#REF!</v>
      </c>
      <c r="BM6" s="167" t="e">
        <f>+#REF!*V6</f>
        <v>#REF!</v>
      </c>
      <c r="BN6" s="167" t="e">
        <f>+BG6-BM6</f>
        <v>#REF!</v>
      </c>
      <c r="BO6" s="167" t="e">
        <f>+BH6-BI6</f>
        <v>#REF!</v>
      </c>
      <c r="BP6" s="167" t="e">
        <f>+BN6+BO6</f>
        <v>#REF!</v>
      </c>
      <c r="BQ6" s="167" t="e">
        <f>+V6</f>
        <v>#REF!</v>
      </c>
      <c r="BR6" s="167" t="e">
        <f>+BB6</f>
        <v>#REF!</v>
      </c>
      <c r="BS6" s="167" t="e">
        <f>IF(E6="Bundled",BK6-BI6,AO6-BI6)</f>
        <v>#REF!</v>
      </c>
      <c r="BT6" s="167" t="e">
        <f>IF(E6="Bundled",+(BD6-#REF!)*V6,(AM6+AN6)-V6*#REF!)</f>
        <v>#REF!</v>
      </c>
      <c r="BU6" s="167" t="e">
        <f>+BS6+BT6</f>
        <v>#REF!</v>
      </c>
      <c r="BV6" s="167" t="e">
        <f t="shared" si="1"/>
        <v>#REF!</v>
      </c>
      <c r="BW6" s="167" t="e">
        <f t="shared" si="1"/>
        <v>#REF!</v>
      </c>
      <c r="BX6" s="167" t="e">
        <f t="shared" si="1"/>
        <v>#REF!</v>
      </c>
    </row>
    <row r="7" spans="1:78" s="16" customFormat="1">
      <c r="A7" s="142" t="s">
        <v>45</v>
      </c>
      <c r="B7" s="179" t="s">
        <v>142</v>
      </c>
      <c r="C7" s="168" t="s">
        <v>143</v>
      </c>
      <c r="D7" s="145" t="s">
        <v>130</v>
      </c>
      <c r="E7" s="146" t="s">
        <v>131</v>
      </c>
      <c r="F7" s="190" t="s">
        <v>144</v>
      </c>
      <c r="G7" s="145" t="s">
        <v>133</v>
      </c>
      <c r="H7" s="147" t="str">
        <f t="shared" ref="H7:H9" si="2">IF(F7="Rack","No of Racks",(IF(F7="Space","Sq Ft","U Space")))</f>
        <v>U Space</v>
      </c>
      <c r="I7" s="145">
        <v>2</v>
      </c>
      <c r="J7" s="145">
        <v>0</v>
      </c>
      <c r="K7" s="148">
        <f t="shared" ref="K7:K9" si="3">I7-J7</f>
        <v>2</v>
      </c>
      <c r="L7" s="145">
        <v>0</v>
      </c>
      <c r="M7" s="145"/>
      <c r="N7" s="149">
        <f>55000/12/2</f>
        <v>2291.6666666666665</v>
      </c>
      <c r="O7" s="150" t="str">
        <f t="shared" ref="O7:O9" si="4">D7</f>
        <v>Rated</v>
      </c>
      <c r="P7" s="145" t="s">
        <v>134</v>
      </c>
      <c r="Q7" s="146">
        <v>0</v>
      </c>
      <c r="R7" s="151">
        <v>0</v>
      </c>
      <c r="S7" s="232">
        <f t="shared" ref="S7:S9" si="5">Q7-R7</f>
        <v>0</v>
      </c>
      <c r="T7" s="146"/>
      <c r="U7" s="146">
        <f>IF(S7&lt;=0,0,(IF(O7="Rated",(S7+T7)*$U$1,(S7+T7))))</f>
        <v>0</v>
      </c>
      <c r="V7" s="146">
        <f>IF(O7="Rated",Q7*$U$1,Q7)</f>
        <v>0</v>
      </c>
      <c r="W7"/>
      <c r="X7" s="146">
        <f t="shared" ref="X7:X9" si="6">IF((S7*-1)&gt;0, (S7*-1), 0)</f>
        <v>0</v>
      </c>
      <c r="Y7" s="152">
        <f>90000/12</f>
        <v>7500</v>
      </c>
      <c r="Z7" s="153" t="str">
        <f t="shared" ref="Z7:Z9" si="7">E7</f>
        <v>Bundled</v>
      </c>
      <c r="AA7" s="146"/>
      <c r="AB7" s="146"/>
      <c r="AC7" s="154"/>
      <c r="AD7" s="146"/>
      <c r="AE7" s="155"/>
      <c r="AF7" s="156"/>
      <c r="AG7" s="146"/>
      <c r="AH7" s="146"/>
      <c r="AI7" s="146">
        <f t="shared" ref="AI7:AI9" si="8">AG7-AH7</f>
        <v>0</v>
      </c>
      <c r="AJ7" s="146"/>
      <c r="AK7" s="146"/>
      <c r="AL7" s="149">
        <f t="shared" ref="AL7" si="9">(0)/12</f>
        <v>0</v>
      </c>
      <c r="AM7" s="157">
        <f t="shared" ref="AM7:AM9" si="10">N7*L7</f>
        <v>0</v>
      </c>
      <c r="AN7" s="157">
        <f t="shared" ref="AN7:AN9" si="11">Y7*X7</f>
        <v>0</v>
      </c>
      <c r="AO7" s="158">
        <f t="shared" ref="AO7:AO9" si="12">AD7*AC7*AA7</f>
        <v>0</v>
      </c>
      <c r="AP7" s="157">
        <f t="shared" ref="AP7:AP9" si="13">AL7*AJ7</f>
        <v>0</v>
      </c>
      <c r="AQ7" s="159">
        <f t="shared" ref="AQ7" si="14">0/12</f>
        <v>0</v>
      </c>
      <c r="AR7" s="160">
        <f t="shared" ref="AR7:AR9" si="15">SUBTOTAL(9,AM7:AQ7)</f>
        <v>0</v>
      </c>
      <c r="AS7" s="160"/>
      <c r="AT7" s="161"/>
      <c r="AU7" s="162"/>
      <c r="AV7" s="163"/>
      <c r="AW7" s="162"/>
      <c r="AX7" s="164"/>
      <c r="AY7" s="5"/>
      <c r="AZ7" s="165">
        <f t="shared" ref="AZ7:AZ9" si="16">IF(F7="Rack",AR7/I7,0)+IF(F7="U Space",AR7*40/I7,0)+IF(F7="Space",AR7*30/I7,0)</f>
        <v>0</v>
      </c>
      <c r="BA7" s="165" t="e">
        <f t="shared" ref="BA7:BA9" si="17">+AR7/V7</f>
        <v>#DIV/0!</v>
      </c>
      <c r="BB7" s="165" t="e">
        <f t="shared" ref="BB7:BC9" si="18">+($AM7+$AN7+$AO7-BI7)/$V7</f>
        <v>#DIV/0!</v>
      </c>
      <c r="BC7" s="165" t="e">
        <f t="shared" si="18"/>
        <v>#DIV/0!</v>
      </c>
      <c r="BD7" s="165" t="e">
        <f t="shared" ref="BD7:BD9" si="19">+($AM7+$AN7+IF(E7="Bundled",0,V7*0.85*AA7*AC7*30.5*24)-BK7)/$V7</f>
        <v>#DIV/0!</v>
      </c>
      <c r="BE7" s="165"/>
      <c r="BF7" s="166">
        <f t="shared" ref="BF7:BF9" si="20">+AM7+AN7+AO7</f>
        <v>0</v>
      </c>
      <c r="BG7" s="166" t="e">
        <f t="shared" ref="BG7:BG9" si="21">+BF7-BH7</f>
        <v>#REF!</v>
      </c>
      <c r="BH7" s="166" t="e">
        <f>IF(E7="Bundled",MIN(V7*$AD$1*(1+#REF!),BF7),AO7)</f>
        <v>#REF!</v>
      </c>
      <c r="BI7" s="167">
        <f>IF($AD7&gt;0,$AD7*$AA$1*$AC$1*(1+$AF$1*(20/$AC$1)/732),$AD$1*W7)</f>
        <v>0</v>
      </c>
      <c r="BJ7" s="167">
        <f>IF($AD7&gt;0,$AD7*$AA$1*$AC$1*(1+$AF$1*(20/$AC$1)/732),+$AD$1*(W7+U7))</f>
        <v>0</v>
      </c>
      <c r="BK7" s="167">
        <f>IF(E7="Bundled",$AD$1*V7,$AD$1*V7*0.85)</f>
        <v>0</v>
      </c>
      <c r="BL7" s="167" t="e">
        <f t="shared" ref="BL7:BL9" si="22">+BB7*V7</f>
        <v>#DIV/0!</v>
      </c>
      <c r="BM7" s="167" t="e">
        <f>+#REF!*V7</f>
        <v>#REF!</v>
      </c>
      <c r="BN7" s="167" t="e">
        <f t="shared" ref="BN7:BN9" si="23">+BG7-BM7</f>
        <v>#REF!</v>
      </c>
      <c r="BO7" s="167" t="e">
        <f t="shared" ref="BO7:BO9" si="24">+BH7-BI7</f>
        <v>#REF!</v>
      </c>
      <c r="BP7" s="167" t="e">
        <f t="shared" ref="BP7:BP9" si="25">+BN7+BO7</f>
        <v>#REF!</v>
      </c>
      <c r="BQ7" s="167">
        <f t="shared" ref="BQ7:BQ9" si="26">+V7</f>
        <v>0</v>
      </c>
      <c r="BR7" s="167" t="e">
        <f t="shared" ref="BR7:BR9" si="27">+BB7</f>
        <v>#DIV/0!</v>
      </c>
      <c r="BS7" s="167">
        <f t="shared" ref="BS7:BS9" si="28">IF(E7="Bundled",BK7-BI7,AO7-BI7)</f>
        <v>0</v>
      </c>
      <c r="BT7" s="167" t="e">
        <f>IF(E7="Bundled",+(BD7-#REF!)*V7,(AM7+AN7)-V7*#REF!)</f>
        <v>#DIV/0!</v>
      </c>
      <c r="BU7" s="167" t="e">
        <f t="shared" ref="BU7:BU9" si="29">+BS7+BT7</f>
        <v>#DIV/0!</v>
      </c>
      <c r="BV7" s="167" t="e">
        <f t="shared" ref="BV7:BX9" si="30">+BS7/$BQ7</f>
        <v>#DIV/0!</v>
      </c>
      <c r="BW7" s="167" t="e">
        <f t="shared" si="30"/>
        <v>#DIV/0!</v>
      </c>
      <c r="BX7" s="167" t="e">
        <f t="shared" si="30"/>
        <v>#DIV/0!</v>
      </c>
    </row>
    <row r="8" spans="1:78" s="16" customFormat="1">
      <c r="A8" s="142" t="s">
        <v>48</v>
      </c>
      <c r="B8" s="179" t="s">
        <v>145</v>
      </c>
      <c r="C8" s="168" t="s">
        <v>146</v>
      </c>
      <c r="D8" s="145" t="s">
        <v>130</v>
      </c>
      <c r="E8" s="146" t="s">
        <v>131</v>
      </c>
      <c r="F8" s="190" t="s">
        <v>144</v>
      </c>
      <c r="G8" s="145" t="s">
        <v>133</v>
      </c>
      <c r="H8" s="147" t="str">
        <f t="shared" si="2"/>
        <v>U Space</v>
      </c>
      <c r="I8" s="145">
        <v>2</v>
      </c>
      <c r="J8" s="145">
        <v>2</v>
      </c>
      <c r="K8" s="148">
        <f t="shared" si="3"/>
        <v>0</v>
      </c>
      <c r="L8" s="145">
        <v>2</v>
      </c>
      <c r="M8" s="145"/>
      <c r="N8" s="149">
        <f>(35000)/12</f>
        <v>2916.6666666666665</v>
      </c>
      <c r="O8" s="150" t="str">
        <f t="shared" si="4"/>
        <v>Rated</v>
      </c>
      <c r="P8" s="321" t="s">
        <v>134</v>
      </c>
      <c r="Q8" s="146">
        <v>0.5</v>
      </c>
      <c r="R8" s="151">
        <v>0.28000000000000003</v>
      </c>
      <c r="S8" s="232">
        <f t="shared" si="5"/>
        <v>0.21999999999999997</v>
      </c>
      <c r="T8" s="146"/>
      <c r="U8" s="146">
        <f>IF(S8&lt;=0,0,(IF(O8="Rated",(S8+T8)*$U$1,(S8+T8))))</f>
        <v>0.10999999999999999</v>
      </c>
      <c r="V8" s="146">
        <f>IF(O8="Rated",Q8*$U$1,Q8)</f>
        <v>0.25</v>
      </c>
      <c r="W8"/>
      <c r="X8" s="146">
        <f t="shared" si="6"/>
        <v>0</v>
      </c>
      <c r="Y8" s="152">
        <f>99000/12</f>
        <v>8250</v>
      </c>
      <c r="Z8" s="153" t="str">
        <f t="shared" si="7"/>
        <v>Bundled</v>
      </c>
      <c r="AA8" s="146"/>
      <c r="AB8" s="146"/>
      <c r="AC8" s="154"/>
      <c r="AD8" s="146"/>
      <c r="AE8" s="155"/>
      <c r="AF8" s="156" t="str">
        <f t="shared" ref="AF8" si="31">IF(AE8="No of Seats","No of Seats",(IF(AE8="Space","Sq Ft","")))</f>
        <v/>
      </c>
      <c r="AG8" s="146"/>
      <c r="AH8" s="146"/>
      <c r="AI8" s="146">
        <f t="shared" si="8"/>
        <v>0</v>
      </c>
      <c r="AJ8" s="146"/>
      <c r="AK8" s="146"/>
      <c r="AL8" s="149"/>
      <c r="AM8" s="157">
        <f t="shared" si="10"/>
        <v>5833.333333333333</v>
      </c>
      <c r="AN8" s="157">
        <f t="shared" si="11"/>
        <v>0</v>
      </c>
      <c r="AO8" s="158">
        <f t="shared" si="12"/>
        <v>0</v>
      </c>
      <c r="AP8" s="157">
        <f t="shared" si="13"/>
        <v>0</v>
      </c>
      <c r="AQ8" s="159">
        <v>0</v>
      </c>
      <c r="AR8" s="160">
        <f t="shared" si="15"/>
        <v>5833.333333333333</v>
      </c>
      <c r="AS8" s="160"/>
      <c r="AT8" s="322"/>
      <c r="AU8" s="318"/>
      <c r="AV8" s="319"/>
      <c r="AW8" s="318"/>
      <c r="AX8" s="320"/>
      <c r="AY8" s="5"/>
      <c r="AZ8" s="165">
        <f t="shared" si="16"/>
        <v>116666.66666666666</v>
      </c>
      <c r="BA8" s="165">
        <f t="shared" si="17"/>
        <v>23333.333333333332</v>
      </c>
      <c r="BB8" s="165">
        <f t="shared" si="18"/>
        <v>23333.333333333332</v>
      </c>
      <c r="BC8" s="165">
        <f t="shared" si="18"/>
        <v>15304.688423333333</v>
      </c>
      <c r="BD8" s="165">
        <f t="shared" si="19"/>
        <v>5086.4130833333329</v>
      </c>
      <c r="BE8" s="165"/>
      <c r="BF8" s="166">
        <f t="shared" si="20"/>
        <v>5833.333333333333</v>
      </c>
      <c r="BG8" s="166" t="e">
        <f t="shared" si="21"/>
        <v>#REF!</v>
      </c>
      <c r="BH8" s="166" t="e">
        <f>IF(E8="Bundled",MIN(V8*$AD$1*(1+#REF!),BF8),AO8)</f>
        <v>#REF!</v>
      </c>
      <c r="BI8" s="167">
        <f>IF($AD8&gt;0,$AD8*$AA$1*$AC$1*(1+$AF$1*(20/$AC$1)/732),$AD$1*W8)</f>
        <v>0</v>
      </c>
      <c r="BJ8" s="167">
        <f>IF($AD8&gt;0,$AD8*$AA$1*$AC$1*(1+$AF$1*(20/$AC$1)/732),+$AD$1*(W8+U8))</f>
        <v>2007.1612274999998</v>
      </c>
      <c r="BK8" s="167">
        <f>IF(E8="Bundled",$AD$1*V8,$AD$1*V8*0.85)</f>
        <v>4561.7300624999998</v>
      </c>
      <c r="BL8" s="167">
        <f t="shared" si="22"/>
        <v>5833.333333333333</v>
      </c>
      <c r="BM8" s="167" t="e">
        <f>+#REF!*V8</f>
        <v>#REF!</v>
      </c>
      <c r="BN8" s="167" t="e">
        <f t="shared" si="23"/>
        <v>#REF!</v>
      </c>
      <c r="BO8" s="167" t="e">
        <f t="shared" si="24"/>
        <v>#REF!</v>
      </c>
      <c r="BP8" s="167" t="e">
        <f t="shared" si="25"/>
        <v>#REF!</v>
      </c>
      <c r="BQ8" s="167">
        <f t="shared" si="26"/>
        <v>0.25</v>
      </c>
      <c r="BR8" s="167">
        <f t="shared" si="27"/>
        <v>23333.333333333332</v>
      </c>
      <c r="BS8" s="167">
        <f t="shared" si="28"/>
        <v>4561.7300624999998</v>
      </c>
      <c r="BT8" s="167" t="e">
        <f>IF(E8="Bundled",+(BD8-#REF!)*V8,(AM8+AN8)-V8*#REF!)</f>
        <v>#REF!</v>
      </c>
      <c r="BU8" s="167" t="e">
        <f t="shared" si="29"/>
        <v>#REF!</v>
      </c>
      <c r="BV8" s="167">
        <f t="shared" si="30"/>
        <v>18246.920249999999</v>
      </c>
      <c r="BW8" s="167" t="e">
        <f t="shared" si="30"/>
        <v>#REF!</v>
      </c>
      <c r="BX8" s="167" t="e">
        <f t="shared" si="30"/>
        <v>#REF!</v>
      </c>
    </row>
    <row r="9" spans="1:78" s="16" customFormat="1" ht="26.1">
      <c r="A9" s="238" t="s">
        <v>48</v>
      </c>
      <c r="B9" s="177" t="s">
        <v>147</v>
      </c>
      <c r="C9" s="168" t="s">
        <v>148</v>
      </c>
      <c r="D9" s="145" t="s">
        <v>130</v>
      </c>
      <c r="E9" s="146" t="s">
        <v>131</v>
      </c>
      <c r="F9" s="190" t="s">
        <v>132</v>
      </c>
      <c r="G9" s="145" t="s">
        <v>133</v>
      </c>
      <c r="H9" s="147" t="str">
        <f t="shared" si="2"/>
        <v>No of Racks</v>
      </c>
      <c r="I9" s="145">
        <v>2</v>
      </c>
      <c r="J9" s="145">
        <v>0</v>
      </c>
      <c r="K9" s="148">
        <f t="shared" si="3"/>
        <v>2</v>
      </c>
      <c r="L9" s="145">
        <v>0</v>
      </c>
      <c r="M9" s="145"/>
      <c r="N9" s="149">
        <f>(580000)/12</f>
        <v>48333.333333333336</v>
      </c>
      <c r="O9" s="150" t="str">
        <f t="shared" si="4"/>
        <v>Rated</v>
      </c>
      <c r="P9" s="145" t="s">
        <v>134</v>
      </c>
      <c r="Q9" s="146">
        <v>0</v>
      </c>
      <c r="R9" s="151">
        <v>0</v>
      </c>
      <c r="S9" s="232">
        <f t="shared" si="5"/>
        <v>0</v>
      </c>
      <c r="T9" s="146"/>
      <c r="U9" s="146">
        <f>IF(S9&lt;=0,0,(IF(O9="Rated",(S9+T9)*$U$1,(S9+T9))))</f>
        <v>0</v>
      </c>
      <c r="V9" s="146">
        <f>IF(O9="Rated",Q9*$U$1,Q9)</f>
        <v>0</v>
      </c>
      <c r="W9" s="231">
        <v>0</v>
      </c>
      <c r="X9" s="146">
        <f t="shared" si="6"/>
        <v>0</v>
      </c>
      <c r="Y9" s="152">
        <f>110000/12</f>
        <v>9166.6666666666661</v>
      </c>
      <c r="Z9" s="153" t="str">
        <f t="shared" si="7"/>
        <v>Bundled</v>
      </c>
      <c r="AA9" s="146"/>
      <c r="AB9" s="146"/>
      <c r="AC9" s="154"/>
      <c r="AD9" s="146"/>
      <c r="AE9" s="155"/>
      <c r="AF9" s="156"/>
      <c r="AG9" s="146"/>
      <c r="AH9" s="146"/>
      <c r="AI9" s="146">
        <f t="shared" si="8"/>
        <v>0</v>
      </c>
      <c r="AJ9" s="146"/>
      <c r="AK9" s="146"/>
      <c r="AL9" s="149">
        <f t="shared" ref="AL9" si="32">(0)/12</f>
        <v>0</v>
      </c>
      <c r="AM9" s="157">
        <f t="shared" si="10"/>
        <v>0</v>
      </c>
      <c r="AN9" s="157">
        <f t="shared" si="11"/>
        <v>0</v>
      </c>
      <c r="AO9" s="158">
        <f t="shared" si="12"/>
        <v>0</v>
      </c>
      <c r="AP9" s="157">
        <f t="shared" si="13"/>
        <v>0</v>
      </c>
      <c r="AQ9" s="159">
        <f>0/12</f>
        <v>0</v>
      </c>
      <c r="AR9" s="160">
        <f t="shared" si="15"/>
        <v>0</v>
      </c>
      <c r="AS9" s="160"/>
      <c r="AT9" s="161"/>
      <c r="AU9" s="162"/>
      <c r="AV9" s="163"/>
      <c r="AW9" s="162"/>
      <c r="AX9" s="164"/>
      <c r="AY9" s="5"/>
      <c r="AZ9" s="165">
        <f t="shared" si="16"/>
        <v>0</v>
      </c>
      <c r="BA9" s="165" t="e">
        <f t="shared" si="17"/>
        <v>#DIV/0!</v>
      </c>
      <c r="BB9" s="165" t="e">
        <f t="shared" si="18"/>
        <v>#DIV/0!</v>
      </c>
      <c r="BC9" s="165" t="e">
        <f t="shared" si="18"/>
        <v>#DIV/0!</v>
      </c>
      <c r="BD9" s="165" t="e">
        <f t="shared" si="19"/>
        <v>#DIV/0!</v>
      </c>
      <c r="BE9" s="165"/>
      <c r="BF9" s="166">
        <f t="shared" si="20"/>
        <v>0</v>
      </c>
      <c r="BG9" s="166" t="e">
        <f t="shared" si="21"/>
        <v>#REF!</v>
      </c>
      <c r="BH9" s="166" t="e">
        <f>IF(E9="Bundled",MIN(V9*$AD$1*(1+#REF!),BF9),AO9)</f>
        <v>#REF!</v>
      </c>
      <c r="BI9" s="167">
        <f>IF($AD9&gt;0,$AD9*$AA$1*$AC$1*(1+$AF$1*(20/$AC$1)/732),$AD$1*W9)</f>
        <v>0</v>
      </c>
      <c r="BJ9" s="167">
        <f>IF($AD9&gt;0,$AD9*$AA$1*$AC$1*(1+$AF$1*(20/$AC$1)/732),+$AD$1*(W9+U9))</f>
        <v>0</v>
      </c>
      <c r="BK9" s="167">
        <f>IF(E9="Bundled",$AD$1*V9,$AD$1*V9*0.85)</f>
        <v>0</v>
      </c>
      <c r="BL9" s="167" t="e">
        <f t="shared" si="22"/>
        <v>#DIV/0!</v>
      </c>
      <c r="BM9" s="167" t="e">
        <f>+#REF!*V9</f>
        <v>#REF!</v>
      </c>
      <c r="BN9" s="167" t="e">
        <f t="shared" si="23"/>
        <v>#REF!</v>
      </c>
      <c r="BO9" s="167" t="e">
        <f t="shared" si="24"/>
        <v>#REF!</v>
      </c>
      <c r="BP9" s="167" t="e">
        <f t="shared" si="25"/>
        <v>#REF!</v>
      </c>
      <c r="BQ9" s="167">
        <f t="shared" si="26"/>
        <v>0</v>
      </c>
      <c r="BR9" s="167" t="e">
        <f t="shared" si="27"/>
        <v>#DIV/0!</v>
      </c>
      <c r="BS9" s="167">
        <f t="shared" si="28"/>
        <v>0</v>
      </c>
      <c r="BT9" s="167" t="e">
        <f>IF(E9="Bundled",+(BD9-#REF!)*V9,(AM9+AN9)-V9*#REF!)</f>
        <v>#DIV/0!</v>
      </c>
      <c r="BU9" s="167" t="e">
        <f t="shared" si="29"/>
        <v>#DIV/0!</v>
      </c>
      <c r="BV9" s="167" t="e">
        <f t="shared" si="30"/>
        <v>#DIV/0!</v>
      </c>
      <c r="BW9" s="167" t="e">
        <f t="shared" si="30"/>
        <v>#DIV/0!</v>
      </c>
      <c r="BX9" s="167" t="e">
        <f t="shared" si="30"/>
        <v>#DIV/0!</v>
      </c>
    </row>
    <row r="10" spans="1:78" s="5" customFormat="1" ht="26.1">
      <c r="A10" s="229" t="s">
        <v>47</v>
      </c>
      <c r="B10" s="180" t="s">
        <v>149</v>
      </c>
      <c r="C10" s="144" t="s">
        <v>150</v>
      </c>
      <c r="D10" s="145" t="s">
        <v>130</v>
      </c>
      <c r="E10" s="146" t="s">
        <v>131</v>
      </c>
      <c r="F10" s="190" t="s">
        <v>144</v>
      </c>
      <c r="G10" s="145" t="s">
        <v>133</v>
      </c>
      <c r="H10" s="147" t="str">
        <f t="shared" ref="H10:H12" si="33">IF(F10="Rack","No of Racks",(IF(F10="Space","Sq Ft","U Space")))</f>
        <v>U Space</v>
      </c>
      <c r="I10" s="145">
        <v>5</v>
      </c>
      <c r="J10" s="145">
        <v>5</v>
      </c>
      <c r="K10" s="148">
        <f t="shared" ref="K10:K12" si="34">I10-J10</f>
        <v>0</v>
      </c>
      <c r="L10" s="145">
        <v>5</v>
      </c>
      <c r="M10" s="145"/>
      <c r="N10" s="149">
        <f>(150000/5)/12</f>
        <v>2500</v>
      </c>
      <c r="O10" s="150" t="str">
        <f t="shared" ref="O10:O12" si="35">D10</f>
        <v>Rated</v>
      </c>
      <c r="P10" s="321" t="s">
        <v>134</v>
      </c>
      <c r="Q10" s="146">
        <v>1.25</v>
      </c>
      <c r="R10" s="151">
        <v>1.01</v>
      </c>
      <c r="S10" s="232">
        <f t="shared" ref="S10:S12" si="36">Q10-R10</f>
        <v>0.24</v>
      </c>
      <c r="T10" s="146"/>
      <c r="U10" s="146" t="e">
        <f t="shared" ref="U10:U12" si="37">IF(S10&lt;=0,0,(IF(O10="Rated",(S10+T10)*$V$1,(S10+T10))))</f>
        <v>#VALUE!</v>
      </c>
      <c r="V10" s="146" t="e">
        <f t="shared" ref="V10:V12" si="38">IF(O10="Rated",Q10*$V$1,Q10)</f>
        <v>#VALUE!</v>
      </c>
      <c r="W10"/>
      <c r="X10" s="146">
        <f t="shared" ref="X10:X12" si="39">IF((S10*-1)&gt;0, (S10*-1), 0)</f>
        <v>0</v>
      </c>
      <c r="Y10" s="152">
        <f>105000/12</f>
        <v>8750</v>
      </c>
      <c r="Z10" s="153" t="str">
        <f t="shared" ref="Z10:Z12" si="40">E10</f>
        <v>Bundled</v>
      </c>
      <c r="AA10" s="146"/>
      <c r="AB10" s="146"/>
      <c r="AC10" s="154"/>
      <c r="AD10" s="146"/>
      <c r="AE10" s="155"/>
      <c r="AF10" s="156" t="str">
        <f t="shared" ref="AF10" si="41">IF(AE10="No of Seats","No of Seats",(IF(AE10="Space","Sq Ft","")))</f>
        <v/>
      </c>
      <c r="AG10" s="146"/>
      <c r="AH10" s="146"/>
      <c r="AI10" s="146">
        <f t="shared" ref="AI10:AI12" si="42">AG10-AH10</f>
        <v>0</v>
      </c>
      <c r="AJ10" s="146"/>
      <c r="AK10" s="146"/>
      <c r="AL10" s="149"/>
      <c r="AM10" s="157">
        <f t="shared" ref="AM10:AM12" si="43">N10*L10</f>
        <v>12500</v>
      </c>
      <c r="AN10" s="157">
        <f t="shared" ref="AN10:AN12" si="44">Y10*X10</f>
        <v>0</v>
      </c>
      <c r="AO10" s="158">
        <f t="shared" ref="AO10:AO12" si="45">AD10*AC10*AA10</f>
        <v>0</v>
      </c>
      <c r="AP10" s="157">
        <f>AL10*AJ10</f>
        <v>0</v>
      </c>
      <c r="AQ10" s="159">
        <f>(90000)/12</f>
        <v>7500</v>
      </c>
      <c r="AR10" s="160">
        <f t="shared" ref="AR10:AR12" si="46">SUBTOTAL(9,AM10:AQ10)</f>
        <v>20000</v>
      </c>
      <c r="AS10" s="160"/>
      <c r="AT10" s="315">
        <v>121001215</v>
      </c>
      <c r="AU10" s="235"/>
      <c r="AV10" s="236"/>
      <c r="AW10" s="235"/>
      <c r="AX10" s="316"/>
      <c r="AZ10" s="165">
        <f t="shared" ref="AZ10:AZ12" si="47">IF(F10="Rack",AR10/I10,0)+IF(F10="U Space",AR10*40/I10,0)+IF(F10="Space",AR10*30/I10,0)</f>
        <v>160000</v>
      </c>
      <c r="BA10" s="165" t="e">
        <f t="shared" ref="BA10:BA12" si="48">+AR10/V10</f>
        <v>#VALUE!</v>
      </c>
      <c r="BB10" s="165" t="e">
        <f t="shared" ref="BB10:BC12" si="49">+($AM10+$AN10+$AO10-BI10)/$V10</f>
        <v>#VALUE!</v>
      </c>
      <c r="BC10" s="165" t="e">
        <f t="shared" si="49"/>
        <v>#VALUE!</v>
      </c>
      <c r="BD10" s="165" t="e">
        <f>+($AM10+$AN10+IF(E10="Bundled",0,V10*0.85*AA10*AC10*30.5*24)-BK10)/$V10</f>
        <v>#VALUE!</v>
      </c>
      <c r="BE10" s="165"/>
      <c r="BF10" s="166">
        <f t="shared" ref="BF10:BF12" si="50">+AM10+AN10+AO10</f>
        <v>12500</v>
      </c>
      <c r="BG10" s="166" t="e">
        <f t="shared" ref="BG10:BG12" si="51">+BF10-BH10</f>
        <v>#VALUE!</v>
      </c>
      <c r="BH10" s="166" t="e">
        <f>IF(E10="Bundled",MIN(V10*$AE$1*(1+#REF!),BF10),AO10)</f>
        <v>#VALUE!</v>
      </c>
      <c r="BI10" s="167" t="e">
        <f>IF($AD10&gt;0,$AD10*$AB$1*$AD$1*(1+$AG$1*(20/$AD$1)/732),$AE$1*W10)</f>
        <v>#VALUE!</v>
      </c>
      <c r="BJ10" s="167" t="e">
        <f>IF($AD10&gt;0,$AD10*$AB$1*$AD$1*(1+$AG$1*(20/$AD$1)/732),+$AE$1*(W10+U10))</f>
        <v>#VALUE!</v>
      </c>
      <c r="BK10" s="167" t="e">
        <f t="shared" ref="BK10:BK12" si="52">IF(E10="Bundled",$AE$1*V10,$AE$1*V10*0.85)</f>
        <v>#VALUE!</v>
      </c>
      <c r="BL10" s="167" t="e">
        <f t="shared" ref="BL10:BL12" si="53">+BB10*V10</f>
        <v>#VALUE!</v>
      </c>
      <c r="BM10" s="167" t="e">
        <f>+#REF!*V10</f>
        <v>#REF!</v>
      </c>
      <c r="BN10" s="167" t="e">
        <f t="shared" ref="BN10:BN12" si="54">+BG10-BM10</f>
        <v>#VALUE!</v>
      </c>
      <c r="BO10" s="167" t="e">
        <f t="shared" ref="BO10:BO12" si="55">+BH10-BI10</f>
        <v>#VALUE!</v>
      </c>
      <c r="BP10" s="167" t="e">
        <f t="shared" ref="BP10:BP12" si="56">+BN10+BO10</f>
        <v>#VALUE!</v>
      </c>
      <c r="BQ10" s="167" t="e">
        <f t="shared" ref="BQ10:BQ12" si="57">+V10</f>
        <v>#VALUE!</v>
      </c>
      <c r="BR10" s="167" t="e">
        <f t="shared" ref="BR10:BR12" si="58">+BB10</f>
        <v>#VALUE!</v>
      </c>
      <c r="BS10" s="167" t="e">
        <f t="shared" ref="BS10:BS12" si="59">IF(E10="Bundled",BK10-BI10,AO10-BI10)</f>
        <v>#VALUE!</v>
      </c>
      <c r="BT10" s="167" t="e">
        <f>IF(E10="Bundled",+(BD10-#REF!)*V10,(AM10+AN10)-V10*#REF!)</f>
        <v>#VALUE!</v>
      </c>
      <c r="BU10" s="167" t="e">
        <f t="shared" ref="BU10:BU12" si="60">+BS10+BT10</f>
        <v>#VALUE!</v>
      </c>
      <c r="BV10" s="167" t="e">
        <f t="shared" ref="BV10:BX12" si="61">+BS10/$BQ10</f>
        <v>#VALUE!</v>
      </c>
      <c r="BW10" s="167" t="e">
        <f t="shared" si="61"/>
        <v>#VALUE!</v>
      </c>
      <c r="BX10" s="167" t="e">
        <f t="shared" si="61"/>
        <v>#VALUE!</v>
      </c>
    </row>
    <row r="11" spans="1:78" s="16" customFormat="1" ht="26.1">
      <c r="A11" s="238" t="s">
        <v>45</v>
      </c>
      <c r="B11" s="181" t="s">
        <v>151</v>
      </c>
      <c r="C11" s="168" t="s">
        <v>152</v>
      </c>
      <c r="D11" s="145" t="s">
        <v>130</v>
      </c>
      <c r="E11" s="146" t="s">
        <v>131</v>
      </c>
      <c r="F11" s="190" t="s">
        <v>144</v>
      </c>
      <c r="G11" s="145" t="s">
        <v>133</v>
      </c>
      <c r="H11" s="147" t="str">
        <f t="shared" si="33"/>
        <v>U Space</v>
      </c>
      <c r="I11" s="145">
        <v>6</v>
      </c>
      <c r="J11" s="145">
        <v>6</v>
      </c>
      <c r="K11" s="148">
        <f t="shared" si="34"/>
        <v>0</v>
      </c>
      <c r="L11" s="145">
        <v>6</v>
      </c>
      <c r="M11" s="145"/>
      <c r="N11" s="149">
        <f>(230000/6)/12</f>
        <v>3194.4444444444448</v>
      </c>
      <c r="O11" s="150" t="str">
        <f t="shared" si="35"/>
        <v>Rated</v>
      </c>
      <c r="P11" s="145" t="s">
        <v>134</v>
      </c>
      <c r="Q11" s="146">
        <f>500/900</f>
        <v>0.55555555555555558</v>
      </c>
      <c r="R11" s="151">
        <v>1.1100000000000001</v>
      </c>
      <c r="S11" s="232">
        <f t="shared" si="36"/>
        <v>-0.55444444444444452</v>
      </c>
      <c r="T11" s="146"/>
      <c r="U11" s="146">
        <f t="shared" si="37"/>
        <v>0</v>
      </c>
      <c r="V11" s="146" t="e">
        <f t="shared" si="38"/>
        <v>#VALUE!</v>
      </c>
      <c r="W11"/>
      <c r="X11" s="146">
        <f t="shared" si="39"/>
        <v>0.55444444444444452</v>
      </c>
      <c r="Y11" s="152">
        <f>99000/12</f>
        <v>8250</v>
      </c>
      <c r="Z11" s="153" t="str">
        <f t="shared" si="40"/>
        <v>Bundled</v>
      </c>
      <c r="AA11" s="146"/>
      <c r="AB11" s="146"/>
      <c r="AC11" s="154"/>
      <c r="AD11" s="146"/>
      <c r="AE11" s="155"/>
      <c r="AF11" s="156"/>
      <c r="AG11" s="146"/>
      <c r="AH11" s="146"/>
      <c r="AI11" s="146">
        <f t="shared" si="42"/>
        <v>0</v>
      </c>
      <c r="AJ11" s="146"/>
      <c r="AK11" s="146"/>
      <c r="AL11" s="149">
        <f t="shared" ref="AL11" si="62">(0)/12</f>
        <v>0</v>
      </c>
      <c r="AM11" s="157">
        <f t="shared" si="43"/>
        <v>19166.666666666668</v>
      </c>
      <c r="AN11" s="157">
        <f t="shared" si="44"/>
        <v>4574.166666666667</v>
      </c>
      <c r="AO11" s="158">
        <f t="shared" si="45"/>
        <v>0</v>
      </c>
      <c r="AP11" s="157">
        <f t="shared" ref="AP11:AP12" si="63">AL11*AJ11</f>
        <v>0</v>
      </c>
      <c r="AQ11" s="159">
        <f t="shared" ref="AQ11" si="64">0/12</f>
        <v>0</v>
      </c>
      <c r="AR11" s="160">
        <f t="shared" si="46"/>
        <v>23740.833333333336</v>
      </c>
      <c r="AS11" s="160"/>
      <c r="AT11" s="161"/>
      <c r="AU11" s="162"/>
      <c r="AV11" s="163"/>
      <c r="AW11" s="162"/>
      <c r="AX11" s="164"/>
      <c r="AY11" s="5"/>
      <c r="AZ11" s="165">
        <f t="shared" si="47"/>
        <v>158272.22222222225</v>
      </c>
      <c r="BA11" s="165" t="e">
        <f t="shared" si="48"/>
        <v>#VALUE!</v>
      </c>
      <c r="BB11" s="165" t="e">
        <f t="shared" si="49"/>
        <v>#VALUE!</v>
      </c>
      <c r="BC11" s="165" t="e">
        <f t="shared" si="49"/>
        <v>#VALUE!</v>
      </c>
      <c r="BD11" s="165" t="e">
        <f>+($AM11+$AN11+IF(E11="Bundled",0,V11*0.85*AA11*AC11*30.5*24)-BK11)/$V11</f>
        <v>#VALUE!</v>
      </c>
      <c r="BE11" s="165"/>
      <c r="BF11" s="166">
        <f t="shared" si="50"/>
        <v>23740.833333333336</v>
      </c>
      <c r="BG11" s="166" t="e">
        <f t="shared" si="51"/>
        <v>#VALUE!</v>
      </c>
      <c r="BH11" s="166" t="e">
        <f>IF(E11="Bundled",MIN(V11*$AE$1*(1+#REF!),BF11),AO11)</f>
        <v>#VALUE!</v>
      </c>
      <c r="BI11" s="167" t="e">
        <f>IF($AD11&gt;0,$AD11*$AB$1*$AD$1*(1+$AG$1*(20/$AD$1)/732),$AE$1*W11)</f>
        <v>#VALUE!</v>
      </c>
      <c r="BJ11" s="167" t="e">
        <f>IF($AD11&gt;0,$AD11*$AB$1*$AD$1*(1+$AG$1*(20/$AD$1)/732),+$AE$1*(W11+U11))</f>
        <v>#VALUE!</v>
      </c>
      <c r="BK11" s="167" t="e">
        <f t="shared" si="52"/>
        <v>#VALUE!</v>
      </c>
      <c r="BL11" s="167" t="e">
        <f t="shared" si="53"/>
        <v>#VALUE!</v>
      </c>
      <c r="BM11" s="167" t="e">
        <f>+#REF!*V11</f>
        <v>#REF!</v>
      </c>
      <c r="BN11" s="167" t="e">
        <f t="shared" si="54"/>
        <v>#VALUE!</v>
      </c>
      <c r="BO11" s="167" t="e">
        <f t="shared" si="55"/>
        <v>#VALUE!</v>
      </c>
      <c r="BP11" s="167" t="e">
        <f t="shared" si="56"/>
        <v>#VALUE!</v>
      </c>
      <c r="BQ11" s="167" t="e">
        <f t="shared" si="57"/>
        <v>#VALUE!</v>
      </c>
      <c r="BR11" s="167" t="e">
        <f t="shared" si="58"/>
        <v>#VALUE!</v>
      </c>
      <c r="BS11" s="167" t="e">
        <f t="shared" si="59"/>
        <v>#VALUE!</v>
      </c>
      <c r="BT11" s="167" t="e">
        <f>IF(E11="Bundled",+(BD11-#REF!)*V11,(AM11+AN11)-V11*#REF!)</f>
        <v>#VALUE!</v>
      </c>
      <c r="BU11" s="167" t="e">
        <f t="shared" si="60"/>
        <v>#VALUE!</v>
      </c>
      <c r="BV11" s="167" t="e">
        <f t="shared" si="61"/>
        <v>#VALUE!</v>
      </c>
      <c r="BW11" s="167" t="e">
        <f t="shared" si="61"/>
        <v>#VALUE!</v>
      </c>
      <c r="BX11" s="167" t="e">
        <f t="shared" si="61"/>
        <v>#VALUE!</v>
      </c>
    </row>
    <row r="12" spans="1:78" s="16" customFormat="1" ht="26.1">
      <c r="A12" s="238" t="s">
        <v>48</v>
      </c>
      <c r="B12" s="181" t="s">
        <v>153</v>
      </c>
      <c r="C12" s="168" t="s">
        <v>154</v>
      </c>
      <c r="D12" s="145" t="s">
        <v>130</v>
      </c>
      <c r="E12" s="146" t="s">
        <v>131</v>
      </c>
      <c r="F12" s="190" t="s">
        <v>144</v>
      </c>
      <c r="G12" s="145" t="s">
        <v>133</v>
      </c>
      <c r="H12" s="147" t="str">
        <f t="shared" si="33"/>
        <v>U Space</v>
      </c>
      <c r="I12" s="145">
        <v>21</v>
      </c>
      <c r="J12" s="145">
        <v>21</v>
      </c>
      <c r="K12" s="148">
        <f t="shared" si="34"/>
        <v>0</v>
      </c>
      <c r="L12" s="145">
        <v>21</v>
      </c>
      <c r="M12" s="145"/>
      <c r="N12" s="149">
        <f>(350000/21)/12</f>
        <v>1388.8888888888889</v>
      </c>
      <c r="O12" s="150" t="str">
        <f t="shared" si="35"/>
        <v>Rated</v>
      </c>
      <c r="P12" s="321" t="s">
        <v>134</v>
      </c>
      <c r="Q12" s="146">
        <v>1.5</v>
      </c>
      <c r="R12" s="151">
        <v>3.38</v>
      </c>
      <c r="S12" s="232">
        <f t="shared" si="36"/>
        <v>-1.88</v>
      </c>
      <c r="T12" s="146"/>
      <c r="U12" s="146">
        <f t="shared" si="37"/>
        <v>0</v>
      </c>
      <c r="V12" s="146" t="e">
        <f t="shared" si="38"/>
        <v>#VALUE!</v>
      </c>
      <c r="W12"/>
      <c r="X12" s="146">
        <f t="shared" si="39"/>
        <v>1.88</v>
      </c>
      <c r="Y12" s="152">
        <f>100000/12</f>
        <v>8333.3333333333339</v>
      </c>
      <c r="Z12" s="153" t="str">
        <f t="shared" si="40"/>
        <v>Bundled</v>
      </c>
      <c r="AA12" s="146"/>
      <c r="AB12" s="146"/>
      <c r="AC12" s="154"/>
      <c r="AD12" s="146"/>
      <c r="AE12" s="155"/>
      <c r="AF12" s="156" t="str">
        <f t="shared" ref="AF12" si="65">IF(AE12="No of Seats","No of Seats",(IF(AE12="Space","Sq Ft","")))</f>
        <v/>
      </c>
      <c r="AG12" s="146"/>
      <c r="AH12" s="146"/>
      <c r="AI12" s="146">
        <f t="shared" si="42"/>
        <v>0</v>
      </c>
      <c r="AJ12" s="146"/>
      <c r="AK12" s="146"/>
      <c r="AL12" s="149"/>
      <c r="AM12" s="157">
        <f t="shared" si="43"/>
        <v>29166.666666666668</v>
      </c>
      <c r="AN12" s="157">
        <f t="shared" si="44"/>
        <v>15666.666666666666</v>
      </c>
      <c r="AO12" s="158">
        <f t="shared" si="45"/>
        <v>0</v>
      </c>
      <c r="AP12" s="157">
        <f t="shared" si="63"/>
        <v>0</v>
      </c>
      <c r="AQ12" s="159">
        <v>0</v>
      </c>
      <c r="AR12" s="160">
        <f t="shared" si="46"/>
        <v>44833.333333333336</v>
      </c>
      <c r="AS12" s="160"/>
      <c r="AT12" s="322"/>
      <c r="AU12" s="318"/>
      <c r="AV12" s="319"/>
      <c r="AW12" s="318"/>
      <c r="AX12" s="320"/>
      <c r="AY12" s="5"/>
      <c r="AZ12" s="165">
        <f t="shared" si="47"/>
        <v>85396.825396825399</v>
      </c>
      <c r="BA12" s="165" t="e">
        <f t="shared" si="48"/>
        <v>#VALUE!</v>
      </c>
      <c r="BB12" s="165" t="e">
        <f t="shared" si="49"/>
        <v>#VALUE!</v>
      </c>
      <c r="BC12" s="165" t="e">
        <f t="shared" si="49"/>
        <v>#VALUE!</v>
      </c>
      <c r="BD12" s="165" t="e">
        <f>+($AM12+$AN12+IF(E12="Bundled",0,V12*0.85*AA12*AC12*30.5*24)-BK12)/$V12</f>
        <v>#VALUE!</v>
      </c>
      <c r="BE12" s="165"/>
      <c r="BF12" s="166">
        <f t="shared" si="50"/>
        <v>44833.333333333336</v>
      </c>
      <c r="BG12" s="166" t="e">
        <f t="shared" si="51"/>
        <v>#VALUE!</v>
      </c>
      <c r="BH12" s="166" t="e">
        <f>IF(E12="Bundled",MIN(V12*$AE$1*(1+#REF!),BF12),AO12)</f>
        <v>#VALUE!</v>
      </c>
      <c r="BI12" s="167" t="e">
        <f>IF($AD12&gt;0,$AD12*$AB$1*$AD$1*(1+$AG$1*(20/$AD$1)/732),$AE$1*W12)</f>
        <v>#VALUE!</v>
      </c>
      <c r="BJ12" s="167" t="e">
        <f>IF($AD12&gt;0,$AD12*$AB$1*$AD$1*(1+$AG$1*(20/$AD$1)/732),+$AE$1*(W12+U12))</f>
        <v>#VALUE!</v>
      </c>
      <c r="BK12" s="167" t="e">
        <f t="shared" si="52"/>
        <v>#VALUE!</v>
      </c>
      <c r="BL12" s="167" t="e">
        <f t="shared" si="53"/>
        <v>#VALUE!</v>
      </c>
      <c r="BM12" s="167" t="e">
        <f>+#REF!*V12</f>
        <v>#REF!</v>
      </c>
      <c r="BN12" s="167" t="e">
        <f t="shared" si="54"/>
        <v>#VALUE!</v>
      </c>
      <c r="BO12" s="167" t="e">
        <f t="shared" si="55"/>
        <v>#VALUE!</v>
      </c>
      <c r="BP12" s="167" t="e">
        <f t="shared" si="56"/>
        <v>#VALUE!</v>
      </c>
      <c r="BQ12" s="167" t="e">
        <f t="shared" si="57"/>
        <v>#VALUE!</v>
      </c>
      <c r="BR12" s="167" t="e">
        <f t="shared" si="58"/>
        <v>#VALUE!</v>
      </c>
      <c r="BS12" s="167" t="e">
        <f t="shared" si="59"/>
        <v>#VALUE!</v>
      </c>
      <c r="BT12" s="167" t="e">
        <f>IF(E12="Bundled",+(BD12-#REF!)*V12,(AM12+AN12)-V12*#REF!)</f>
        <v>#VALUE!</v>
      </c>
      <c r="BU12" s="167" t="e">
        <f t="shared" si="60"/>
        <v>#VALUE!</v>
      </c>
      <c r="BV12" s="167" t="e">
        <f t="shared" si="61"/>
        <v>#VALUE!</v>
      </c>
      <c r="BW12" s="167" t="e">
        <f t="shared" si="61"/>
        <v>#VALUE!</v>
      </c>
      <c r="BX12" s="167" t="e">
        <f t="shared" si="61"/>
        <v>#VALUE!</v>
      </c>
    </row>
    <row r="13" spans="1:78" s="16" customFormat="1" ht="26.1">
      <c r="A13" s="142" t="s">
        <v>48</v>
      </c>
      <c r="B13" s="181" t="s">
        <v>155</v>
      </c>
      <c r="C13" s="144" t="s">
        <v>156</v>
      </c>
      <c r="D13" s="145" t="s">
        <v>130</v>
      </c>
      <c r="E13" s="146" t="s">
        <v>131</v>
      </c>
      <c r="F13" s="190" t="s">
        <v>144</v>
      </c>
      <c r="G13" s="145" t="s">
        <v>133</v>
      </c>
      <c r="H13" s="147" t="str">
        <f t="shared" ref="H13:H15" si="66">IF(F13="Rack","No of Racks",(IF(F13="Space","Sq Ft","U Space")))</f>
        <v>U Space</v>
      </c>
      <c r="I13" s="145">
        <v>6</v>
      </c>
      <c r="J13" s="145">
        <v>6</v>
      </c>
      <c r="K13" s="148">
        <f t="shared" ref="K13:K15" si="67">I13-J13</f>
        <v>0</v>
      </c>
      <c r="L13" s="145">
        <v>6</v>
      </c>
      <c r="M13" s="145"/>
      <c r="N13" s="149">
        <f>29000/12</f>
        <v>2416.6666666666665</v>
      </c>
      <c r="O13" s="150" t="str">
        <f t="shared" ref="O13:O15" si="68">D13</f>
        <v>Rated</v>
      </c>
      <c r="P13" s="321" t="s">
        <v>134</v>
      </c>
      <c r="Q13" s="146">
        <v>1.5</v>
      </c>
      <c r="R13" s="151">
        <v>2.67</v>
      </c>
      <c r="S13" s="232">
        <f t="shared" ref="S13:S15" si="69">Q13-R13</f>
        <v>-1.17</v>
      </c>
      <c r="T13" s="146"/>
      <c r="U13" s="146">
        <f t="shared" ref="U13:U15" si="70">IF(S13&lt;=0,0,(IF(O13="Rated",(S13+T13)*$V$1,(S13+T13))))</f>
        <v>0</v>
      </c>
      <c r="V13" s="146" t="e">
        <f t="shared" ref="V13:V15" si="71">IF(O13="Rated",Q13*$V$1,Q13)</f>
        <v>#VALUE!</v>
      </c>
      <c r="W13"/>
      <c r="X13" s="146">
        <f t="shared" ref="X13:X15" si="72">IF((S13*-1)&gt;0, (S13*-1), 0)</f>
        <v>1.17</v>
      </c>
      <c r="Y13" s="152"/>
      <c r="Z13" s="153" t="str">
        <f t="shared" ref="Z13:Z15" si="73">E13</f>
        <v>Bundled</v>
      </c>
      <c r="AA13" s="146"/>
      <c r="AB13" s="146"/>
      <c r="AC13" s="154"/>
      <c r="AD13" s="146"/>
      <c r="AE13" s="155"/>
      <c r="AF13" s="156" t="str">
        <f t="shared" ref="AF13" si="74">IF(AE13="No of Seats","No of Seats",(IF(AE13="Space","Sq Ft","")))</f>
        <v/>
      </c>
      <c r="AG13" s="146"/>
      <c r="AH13" s="146"/>
      <c r="AI13" s="146">
        <f t="shared" ref="AI13:AI14" si="75">AG13-AH13</f>
        <v>0</v>
      </c>
      <c r="AJ13" s="146"/>
      <c r="AK13" s="146"/>
      <c r="AL13" s="149"/>
      <c r="AM13" s="157">
        <f t="shared" ref="AM13:AM14" si="76">N13*L13</f>
        <v>14500</v>
      </c>
      <c r="AN13" s="157">
        <f t="shared" ref="AN13:AN14" si="77">Y13*X13</f>
        <v>0</v>
      </c>
      <c r="AO13" s="158">
        <f t="shared" ref="AO13:AO14" si="78">AD13*AC13*AA13</f>
        <v>0</v>
      </c>
      <c r="AP13" s="157">
        <f t="shared" ref="AP13:AP14" si="79">AL13*AJ13</f>
        <v>0</v>
      </c>
      <c r="AQ13" s="159">
        <v>0</v>
      </c>
      <c r="AR13" s="160">
        <f t="shared" ref="AR13:AR14" si="80">SUBTOTAL(9,AM13:AQ13)</f>
        <v>14500</v>
      </c>
      <c r="AS13" s="160"/>
      <c r="AT13" s="322"/>
      <c r="AU13" s="318"/>
      <c r="AV13" s="319"/>
      <c r="AW13" s="318"/>
      <c r="AX13" s="320"/>
      <c r="AY13" s="5"/>
      <c r="AZ13" s="165">
        <f t="shared" ref="AZ13:AZ14" si="81">IF(F13="Rack",AR13/I13,0)+IF(F13="U Space",AR13*40/I13,0)+IF(F13="Space",AR13*30/I13,0)</f>
        <v>96666.666666666672</v>
      </c>
      <c r="BA13" s="165" t="e">
        <f t="shared" ref="BA13:BA14" si="82">+AR13/V13</f>
        <v>#VALUE!</v>
      </c>
      <c r="BB13" s="165" t="e">
        <f>+($AM13+$AN13+$AO13-BI13)/$V13</f>
        <v>#VALUE!</v>
      </c>
      <c r="BC13" s="165" t="e">
        <f>+($AM13+$AN13+$AO13-BJ13)/$V13</f>
        <v>#VALUE!</v>
      </c>
      <c r="BD13" s="165" t="e">
        <f>+($AM13+$AN13+IF(E13="Bundled",0,V13*0.85*AA13*AC13*30.5*24)-BK13)/$V13</f>
        <v>#VALUE!</v>
      </c>
      <c r="BE13" s="165"/>
      <c r="BF13" s="166">
        <f t="shared" ref="BF13:BF14" si="83">+AM13+AN13+AO13</f>
        <v>14500</v>
      </c>
      <c r="BG13" s="166" t="e">
        <f t="shared" ref="BG13:BG14" si="84">+BF13-BH13</f>
        <v>#VALUE!</v>
      </c>
      <c r="BH13" s="166" t="e">
        <f>IF(E13="Bundled",MIN(V13*$AE$1*(1+#REF!),BF13),AO13)</f>
        <v>#VALUE!</v>
      </c>
      <c r="BI13" s="167" t="e">
        <f>IF($AD13&gt;0,$AD13*$AB$1*$AD$1*(1+$AG$1*(20/$AD$1)/732),$AE$1*W13)</f>
        <v>#VALUE!</v>
      </c>
      <c r="BJ13" s="167" t="e">
        <f>IF($AD13&gt;0,$AD13*$AB$1*$AD$1*(1+$AG$1*(20/$AD$1)/732),+$AE$1*(W13+U13))</f>
        <v>#VALUE!</v>
      </c>
      <c r="BK13" s="167" t="e">
        <f t="shared" ref="BK13:BK15" si="85">IF(E13="Bundled",$AE$1*V13,$AE$1*V13*0.85)</f>
        <v>#VALUE!</v>
      </c>
      <c r="BL13" s="167" t="e">
        <f t="shared" ref="BL13:BL14" si="86">+BB13*V13</f>
        <v>#VALUE!</v>
      </c>
      <c r="BM13" s="167" t="e">
        <f>+#REF!*V13</f>
        <v>#REF!</v>
      </c>
      <c r="BN13" s="167" t="e">
        <f t="shared" ref="BN13:BN14" si="87">+BG13-BM13</f>
        <v>#VALUE!</v>
      </c>
      <c r="BO13" s="167" t="e">
        <f t="shared" ref="BO13:BO14" si="88">+BH13-BI13</f>
        <v>#VALUE!</v>
      </c>
      <c r="BP13" s="167" t="e">
        <f t="shared" ref="BP13:BP14" si="89">+BN13+BO13</f>
        <v>#VALUE!</v>
      </c>
      <c r="BQ13" s="167" t="e">
        <f t="shared" ref="BQ13:BQ15" si="90">+V13</f>
        <v>#VALUE!</v>
      </c>
      <c r="BR13" s="167" t="e">
        <f t="shared" ref="BR13:BR14" si="91">+BB13</f>
        <v>#VALUE!</v>
      </c>
      <c r="BS13" s="167" t="e">
        <f t="shared" ref="BS13:BS14" si="92">IF(E13="Bundled",BK13-BI13,AO13-BI13)</f>
        <v>#VALUE!</v>
      </c>
      <c r="BT13" s="167" t="e">
        <f>IF(E13="Bundled",+(BD13-#REF!)*V13,(AM13+AN13)-V13*#REF!)</f>
        <v>#VALUE!</v>
      </c>
      <c r="BU13" s="167" t="e">
        <f t="shared" ref="BU13:BU14" si="93">+BS13+BT13</f>
        <v>#VALUE!</v>
      </c>
      <c r="BV13" s="167" t="e">
        <f t="shared" ref="BV13:BX14" si="94">+BS13/$BQ13</f>
        <v>#VALUE!</v>
      </c>
      <c r="BW13" s="167" t="e">
        <f t="shared" si="94"/>
        <v>#VALUE!</v>
      </c>
      <c r="BX13" s="167" t="e">
        <f t="shared" si="94"/>
        <v>#VALUE!</v>
      </c>
    </row>
    <row r="14" spans="1:78" s="16" customFormat="1" ht="26.1">
      <c r="A14" s="142" t="s">
        <v>45</v>
      </c>
      <c r="B14" s="181" t="s">
        <v>151</v>
      </c>
      <c r="C14" s="144" t="s">
        <v>157</v>
      </c>
      <c r="D14" s="145" t="s">
        <v>130</v>
      </c>
      <c r="E14" s="146" t="s">
        <v>131</v>
      </c>
      <c r="F14" s="190" t="s">
        <v>144</v>
      </c>
      <c r="G14" s="145" t="s">
        <v>133</v>
      </c>
      <c r="H14" s="147" t="str">
        <f t="shared" si="66"/>
        <v>U Space</v>
      </c>
      <c r="I14" s="145">
        <v>3</v>
      </c>
      <c r="J14" s="145">
        <v>3</v>
      </c>
      <c r="K14" s="148">
        <f t="shared" si="67"/>
        <v>0</v>
      </c>
      <c r="L14" s="145">
        <v>3</v>
      </c>
      <c r="M14" s="145"/>
      <c r="N14" s="149">
        <f>(35000)/12</f>
        <v>2916.6666666666665</v>
      </c>
      <c r="O14" s="150" t="str">
        <f t="shared" si="68"/>
        <v>Rated</v>
      </c>
      <c r="P14" s="145" t="s">
        <v>134</v>
      </c>
      <c r="Q14" s="146">
        <v>0.75</v>
      </c>
      <c r="R14" s="151">
        <v>0.61</v>
      </c>
      <c r="S14" s="232">
        <f t="shared" si="69"/>
        <v>0.14000000000000001</v>
      </c>
      <c r="T14" s="146"/>
      <c r="U14" s="146" t="e">
        <f t="shared" si="70"/>
        <v>#VALUE!</v>
      </c>
      <c r="V14" s="146" t="e">
        <f t="shared" si="71"/>
        <v>#VALUE!</v>
      </c>
      <c r="W14"/>
      <c r="X14" s="146">
        <f t="shared" si="72"/>
        <v>0</v>
      </c>
      <c r="Y14" s="152">
        <f>90000/12</f>
        <v>7500</v>
      </c>
      <c r="Z14" s="153" t="str">
        <f t="shared" si="73"/>
        <v>Bundled</v>
      </c>
      <c r="AA14" s="146"/>
      <c r="AB14" s="146"/>
      <c r="AC14" s="154"/>
      <c r="AD14" s="146"/>
      <c r="AE14" s="155"/>
      <c r="AF14" s="156"/>
      <c r="AG14" s="146"/>
      <c r="AH14" s="146"/>
      <c r="AI14" s="146">
        <f t="shared" si="75"/>
        <v>0</v>
      </c>
      <c r="AJ14" s="146"/>
      <c r="AK14" s="146"/>
      <c r="AL14" s="149">
        <f t="shared" ref="AL14" si="95">(0)/12</f>
        <v>0</v>
      </c>
      <c r="AM14" s="157">
        <f t="shared" si="76"/>
        <v>8750</v>
      </c>
      <c r="AN14" s="157">
        <f t="shared" si="77"/>
        <v>0</v>
      </c>
      <c r="AO14" s="158">
        <f t="shared" si="78"/>
        <v>0</v>
      </c>
      <c r="AP14" s="157">
        <f t="shared" si="79"/>
        <v>0</v>
      </c>
      <c r="AQ14" s="159">
        <f t="shared" ref="AQ14" si="96">0/12</f>
        <v>0</v>
      </c>
      <c r="AR14" s="160">
        <f t="shared" si="80"/>
        <v>8750</v>
      </c>
      <c r="AS14" s="160"/>
      <c r="AT14" s="161"/>
      <c r="AU14" s="162"/>
      <c r="AV14" s="163"/>
      <c r="AW14" s="162"/>
      <c r="AX14" s="164"/>
      <c r="AY14" s="5"/>
      <c r="AZ14" s="165">
        <f t="shared" si="81"/>
        <v>116666.66666666667</v>
      </c>
      <c r="BA14" s="165" t="e">
        <f t="shared" si="82"/>
        <v>#VALUE!</v>
      </c>
      <c r="BB14" s="165" t="e">
        <f>+($AM14+$AN14+$AO14-BI14)/$V14</f>
        <v>#VALUE!</v>
      </c>
      <c r="BC14" s="165" t="e">
        <f>+($AM14+$AN14+$AO14-BJ14)/$V14</f>
        <v>#VALUE!</v>
      </c>
      <c r="BD14" s="165" t="e">
        <f>+($AM14+$AN14+IF(E14="Bundled",0,V14*0.85*AA14*AC14*30.5*24)-BK14)/$V14</f>
        <v>#VALUE!</v>
      </c>
      <c r="BE14" s="165"/>
      <c r="BF14" s="166">
        <f t="shared" si="83"/>
        <v>8750</v>
      </c>
      <c r="BG14" s="166" t="e">
        <f t="shared" si="84"/>
        <v>#VALUE!</v>
      </c>
      <c r="BH14" s="166" t="e">
        <f>IF(E14="Bundled",MIN(V14*$AE$1*(1+#REF!),BF14),AO14)</f>
        <v>#VALUE!</v>
      </c>
      <c r="BI14" s="167" t="e">
        <f>IF($AD14&gt;0,$AD14*$AB$1*$AD$1*(1+$AG$1*(20/$AD$1)/732),$AE$1*W14)</f>
        <v>#VALUE!</v>
      </c>
      <c r="BJ14" s="167" t="e">
        <f>IF($AD14&gt;0,$AD14*$AB$1*$AD$1*(1+$AG$1*(20/$AD$1)/732),+$AE$1*(W14+U14))</f>
        <v>#VALUE!</v>
      </c>
      <c r="BK14" s="167" t="e">
        <f t="shared" si="85"/>
        <v>#VALUE!</v>
      </c>
      <c r="BL14" s="167" t="e">
        <f t="shared" si="86"/>
        <v>#VALUE!</v>
      </c>
      <c r="BM14" s="167" t="e">
        <f>+#REF!*V14</f>
        <v>#REF!</v>
      </c>
      <c r="BN14" s="167" t="e">
        <f t="shared" si="87"/>
        <v>#VALUE!</v>
      </c>
      <c r="BO14" s="167" t="e">
        <f t="shared" si="88"/>
        <v>#VALUE!</v>
      </c>
      <c r="BP14" s="167" t="e">
        <f t="shared" si="89"/>
        <v>#VALUE!</v>
      </c>
      <c r="BQ14" s="167" t="e">
        <f t="shared" si="90"/>
        <v>#VALUE!</v>
      </c>
      <c r="BR14" s="167" t="e">
        <f t="shared" si="91"/>
        <v>#VALUE!</v>
      </c>
      <c r="BS14" s="167" t="e">
        <f t="shared" si="92"/>
        <v>#VALUE!</v>
      </c>
      <c r="BT14" s="167" t="e">
        <f>IF(E14="Bundled",+(BD14-#REF!)*V14,(AM14+AN14)-V14*#REF!)</f>
        <v>#VALUE!</v>
      </c>
      <c r="BU14" s="167" t="e">
        <f t="shared" si="93"/>
        <v>#VALUE!</v>
      </c>
      <c r="BV14" s="167" t="e">
        <f t="shared" si="94"/>
        <v>#VALUE!</v>
      </c>
      <c r="BW14" s="167" t="e">
        <f t="shared" si="94"/>
        <v>#VALUE!</v>
      </c>
      <c r="BX14" s="167" t="e">
        <f t="shared" si="94"/>
        <v>#VALUE!</v>
      </c>
    </row>
    <row r="15" spans="1:78" s="16" customFormat="1" ht="26.1">
      <c r="A15" s="142" t="s">
        <v>47</v>
      </c>
      <c r="B15" s="181" t="s">
        <v>158</v>
      </c>
      <c r="C15" s="168" t="s">
        <v>159</v>
      </c>
      <c r="D15" s="145" t="s">
        <v>130</v>
      </c>
      <c r="E15" s="146" t="s">
        <v>131</v>
      </c>
      <c r="F15" s="190" t="s">
        <v>144</v>
      </c>
      <c r="G15" s="145" t="s">
        <v>133</v>
      </c>
      <c r="H15" s="147" t="str">
        <f t="shared" si="66"/>
        <v>U Space</v>
      </c>
      <c r="I15" s="145">
        <v>11</v>
      </c>
      <c r="J15" s="145">
        <v>11</v>
      </c>
      <c r="K15" s="148">
        <f t="shared" si="67"/>
        <v>0</v>
      </c>
      <c r="L15" s="145">
        <v>11</v>
      </c>
      <c r="M15" s="145"/>
      <c r="N15" s="149">
        <f>(120000)/11/12</f>
        <v>909.09090909090912</v>
      </c>
      <c r="O15" s="150" t="str">
        <f t="shared" si="68"/>
        <v>Rated</v>
      </c>
      <c r="P15" s="321" t="s">
        <v>134</v>
      </c>
      <c r="Q15" s="146">
        <v>1</v>
      </c>
      <c r="R15" s="151">
        <v>2.1</v>
      </c>
      <c r="S15" s="232">
        <f t="shared" si="69"/>
        <v>-1.1000000000000001</v>
      </c>
      <c r="T15" s="146"/>
      <c r="U15" s="146">
        <f t="shared" si="70"/>
        <v>0</v>
      </c>
      <c r="V15" s="146" t="e">
        <f t="shared" si="71"/>
        <v>#VALUE!</v>
      </c>
      <c r="W15"/>
      <c r="X15" s="146">
        <f t="shared" si="72"/>
        <v>1.1000000000000001</v>
      </c>
      <c r="Y15" s="152"/>
      <c r="Z15" s="153" t="str">
        <f t="shared" si="73"/>
        <v>Bundled</v>
      </c>
      <c r="AA15" s="146"/>
      <c r="AB15" s="146"/>
      <c r="AC15" s="154"/>
      <c r="AD15" s="146"/>
      <c r="AE15" s="155"/>
      <c r="AF15" s="156"/>
      <c r="AG15" s="146"/>
      <c r="AH15" s="146"/>
      <c r="AI15" s="146"/>
      <c r="AJ15" s="146"/>
      <c r="AK15" s="146"/>
      <c r="AL15" s="149"/>
      <c r="AM15" s="157"/>
      <c r="AN15" s="157"/>
      <c r="AO15" s="158"/>
      <c r="AP15" s="157"/>
      <c r="AQ15" s="159"/>
      <c r="AR15" s="160"/>
      <c r="AS15" s="160"/>
      <c r="AT15" s="322"/>
      <c r="AU15" s="318"/>
      <c r="AV15" s="319"/>
      <c r="AW15" s="318"/>
      <c r="AX15" s="320"/>
      <c r="AY15" s="5"/>
      <c r="AZ15" s="165"/>
      <c r="BA15" s="165"/>
      <c r="BB15" s="165"/>
      <c r="BC15" s="165"/>
      <c r="BD15" s="165"/>
      <c r="BE15" s="165"/>
      <c r="BF15" s="166"/>
      <c r="BG15" s="166"/>
      <c r="BH15" s="166"/>
      <c r="BI15" s="167"/>
      <c r="BJ15" s="167"/>
      <c r="BK15" s="167" t="e">
        <f t="shared" si="85"/>
        <v>#VALUE!</v>
      </c>
      <c r="BL15" s="167"/>
      <c r="BM15" s="167"/>
      <c r="BN15" s="167"/>
      <c r="BO15" s="167"/>
      <c r="BP15" s="167"/>
      <c r="BQ15" s="167" t="e">
        <f t="shared" si="90"/>
        <v>#VALUE!</v>
      </c>
      <c r="BR15" s="167"/>
      <c r="BS15" s="167"/>
      <c r="BT15" s="167"/>
      <c r="BU15" s="167"/>
      <c r="BV15" s="167"/>
      <c r="BW15" s="167"/>
      <c r="BX15" s="167"/>
      <c r="BY15" s="5"/>
      <c r="BZ15" s="5"/>
    </row>
    <row r="16" spans="1:78" s="16" customFormat="1">
      <c r="A16" s="142" t="s">
        <v>49</v>
      </c>
      <c r="B16" s="182" t="s">
        <v>160</v>
      </c>
      <c r="C16" s="197" t="s">
        <v>161</v>
      </c>
      <c r="D16" s="145" t="s">
        <v>130</v>
      </c>
      <c r="E16" s="146" t="s">
        <v>131</v>
      </c>
      <c r="F16" s="190" t="s">
        <v>132</v>
      </c>
      <c r="G16" s="145" t="s">
        <v>133</v>
      </c>
      <c r="H16" s="147" t="str">
        <f>IF(F16="Rack","No of Racks",(IF(F16="Space","Sq Ft","U Space")))</f>
        <v>No of Racks</v>
      </c>
      <c r="I16" s="145">
        <v>1</v>
      </c>
      <c r="J16" s="200">
        <v>1</v>
      </c>
      <c r="K16" s="323">
        <f>I16-J16</f>
        <v>0</v>
      </c>
      <c r="L16" s="200">
        <v>1</v>
      </c>
      <c r="M16" s="200"/>
      <c r="N16" s="324">
        <f>(450000)/12</f>
        <v>37500</v>
      </c>
      <c r="O16" s="150" t="str">
        <f>D16</f>
        <v>Rated</v>
      </c>
      <c r="P16" s="145" t="s">
        <v>134</v>
      </c>
      <c r="Q16" s="146">
        <v>3</v>
      </c>
      <c r="R16" s="151">
        <v>0</v>
      </c>
      <c r="S16" s="232">
        <f>Q16-R16</f>
        <v>3</v>
      </c>
      <c r="T16" s="146"/>
      <c r="U16" s="146" t="e">
        <f>IF(S16&lt;=0,0,(IF(O16="Rated",(S16+T16)*'Noida-01'!#REF!,(S16+T16))))</f>
        <v>#REF!</v>
      </c>
      <c r="V16" s="146" t="e">
        <f>IF(O16="Rated",Q16*'Noida-01'!#REF!,Q16)</f>
        <v>#REF!</v>
      </c>
      <c r="W16" s="231">
        <f>AD16/31/24</f>
        <v>0</v>
      </c>
      <c r="X16" s="146">
        <f>IF((S16*-1)&gt;0, (S16*-1), 0)</f>
        <v>0</v>
      </c>
      <c r="Y16" s="152"/>
      <c r="Z16" s="153" t="str">
        <f>E16</f>
        <v>Bundled</v>
      </c>
      <c r="AA16" s="146"/>
      <c r="AB16" s="146"/>
      <c r="AC16" s="154"/>
      <c r="AD16" s="146"/>
      <c r="AE16" s="155"/>
      <c r="AF16" s="156"/>
      <c r="AG16" s="146"/>
      <c r="AH16" s="146"/>
      <c r="AI16" s="146">
        <f>AG16-AH16</f>
        <v>0</v>
      </c>
      <c r="AJ16" s="146"/>
      <c r="AK16" s="146"/>
      <c r="AL16" s="149">
        <f>(0)/12</f>
        <v>0</v>
      </c>
      <c r="AM16" s="157">
        <f>N16*L16</f>
        <v>37500</v>
      </c>
      <c r="AN16" s="157">
        <f>Y16*X16</f>
        <v>0</v>
      </c>
      <c r="AO16" s="158">
        <f>AD16*AC16*AA16</f>
        <v>0</v>
      </c>
      <c r="AP16" s="157">
        <f>AL16*AJ16</f>
        <v>0</v>
      </c>
      <c r="AQ16" s="159">
        <f>0/12</f>
        <v>0</v>
      </c>
      <c r="AR16" s="160">
        <f>SUBTOTAL(9,AM16:AQ16)</f>
        <v>37500</v>
      </c>
      <c r="AS16" s="160"/>
      <c r="AT16" s="161"/>
      <c r="AU16" s="162"/>
      <c r="AV16" s="163"/>
      <c r="AW16" s="162"/>
      <c r="AX16" s="164"/>
      <c r="AY16" s="5"/>
      <c r="AZ16" s="165">
        <f>IF(F16="Rack",AR16/I16,0)+IF(F16="U Space",AR16*40/I16,0)+IF(F16="Space",AR16*30/I16,0)</f>
        <v>37500</v>
      </c>
      <c r="BA16" s="165" t="e">
        <f>+AR16/V16</f>
        <v>#REF!</v>
      </c>
      <c r="BB16" s="165" t="e">
        <f t="shared" ref="BB16:BC18" si="97">+($AM16+$AN16+$AO16-BI16)/$V16</f>
        <v>#REF!</v>
      </c>
      <c r="BC16" s="165" t="e">
        <f t="shared" si="97"/>
        <v>#REF!</v>
      </c>
      <c r="BD16" s="165" t="e">
        <f>+($AM16+$AN16+IF(E16="Bundled",0,V16*0.85*AA16*AC16*30.5*24)-BK16)/$V16</f>
        <v>#REF!</v>
      </c>
      <c r="BE16" s="165"/>
      <c r="BF16" s="166">
        <f>+AM16+AN16+AO16</f>
        <v>37500</v>
      </c>
      <c r="BG16" s="166" t="e">
        <f>+BF16-BH16</f>
        <v>#REF!</v>
      </c>
      <c r="BH16" s="166" t="e">
        <f>IF(E16="Bundled",MIN(V16*'Noida-01'!#REF!*(1+#REF!),BF16),AO16)</f>
        <v>#REF!</v>
      </c>
      <c r="BI16" s="167" t="e">
        <f>IF($AD16&gt;0,$AD16*'Noida-01'!#REF!*'Noida-01'!#REF!*(1+'Noida-01'!#REF!*(20/'Noida-01'!#REF!)/732),'Noida-01'!#REF!*W16)</f>
        <v>#REF!</v>
      </c>
      <c r="BJ16" s="167" t="e">
        <f>IF($AD16&gt;0,$AD16*'Noida-01'!#REF!*'Noida-01'!#REF!*(1+'Noida-01'!#REF!*(20/'Noida-01'!#REF!)/732),+'Noida-01'!#REF!*(W16+U16))</f>
        <v>#REF!</v>
      </c>
      <c r="BK16" s="167" t="e">
        <f>IF(E16="Bundled",'Noida-01'!#REF!*V16,'Noida-01'!#REF!*V16*0.85)</f>
        <v>#REF!</v>
      </c>
      <c r="BL16" s="167" t="e">
        <f>+BB16*V16</f>
        <v>#REF!</v>
      </c>
      <c r="BM16" s="167" t="e">
        <f>+#REF!*V16</f>
        <v>#REF!</v>
      </c>
      <c r="BN16" s="167" t="e">
        <f>+BG16-BM16</f>
        <v>#REF!</v>
      </c>
      <c r="BO16" s="167" t="e">
        <f>+BH16-BI16</f>
        <v>#REF!</v>
      </c>
      <c r="BP16" s="167" t="e">
        <f>+BN16+BO16</f>
        <v>#REF!</v>
      </c>
      <c r="BQ16" s="167" t="e">
        <f>+V16</f>
        <v>#REF!</v>
      </c>
      <c r="BR16" s="167" t="e">
        <f>+BB16</f>
        <v>#REF!</v>
      </c>
      <c r="BS16" s="167" t="e">
        <f>IF(E16="Bundled",BK16-BI16,AO16-BI16)</f>
        <v>#REF!</v>
      </c>
      <c r="BT16" s="167" t="e">
        <f>IF(E16="Bundled",+(BD16-#REF!)*V16,(AM16+AN16)-V16*#REF!)</f>
        <v>#REF!</v>
      </c>
      <c r="BU16" s="167" t="e">
        <f>+BS16+BT16</f>
        <v>#REF!</v>
      </c>
      <c r="BV16" s="167" t="e">
        <f t="shared" ref="BV16:BX18" si="98">+BS16/$BQ16</f>
        <v>#REF!</v>
      </c>
      <c r="BW16" s="167" t="e">
        <f t="shared" si="98"/>
        <v>#REF!</v>
      </c>
      <c r="BX16" s="167" t="e">
        <f t="shared" si="98"/>
        <v>#REF!</v>
      </c>
    </row>
    <row r="17" spans="1:78" s="5" customFormat="1" ht="65.099999999999994">
      <c r="A17" s="313" t="s">
        <v>47</v>
      </c>
      <c r="B17" s="177" t="s">
        <v>162</v>
      </c>
      <c r="C17" s="145" t="s">
        <v>163</v>
      </c>
      <c r="D17" s="145" t="s">
        <v>130</v>
      </c>
      <c r="E17" s="146" t="s">
        <v>131</v>
      </c>
      <c r="F17" s="190" t="s">
        <v>132</v>
      </c>
      <c r="G17" s="145" t="s">
        <v>133</v>
      </c>
      <c r="H17" s="147" t="str">
        <f>IF(F17="Rack","No of Racks",(IF(F17="Space","Sq Ft","U Space")))</f>
        <v>No of Racks</v>
      </c>
      <c r="I17" s="145">
        <v>6</v>
      </c>
      <c r="J17" s="145">
        <v>6</v>
      </c>
      <c r="K17" s="148">
        <f>I17-J17</f>
        <v>0</v>
      </c>
      <c r="L17" s="145">
        <v>6</v>
      </c>
      <c r="M17" s="145"/>
      <c r="N17" s="149">
        <f>((3601628+672384)/6)/12</f>
        <v>59361.277777777781</v>
      </c>
      <c r="O17" s="150" t="str">
        <f>D17</f>
        <v>Rated</v>
      </c>
      <c r="P17" s="145" t="s">
        <v>134</v>
      </c>
      <c r="Q17" s="146">
        <v>84.65</v>
      </c>
      <c r="R17" s="151">
        <v>84.65</v>
      </c>
      <c r="S17" s="232">
        <f>Q17-R17</f>
        <v>0</v>
      </c>
      <c r="T17" s="146"/>
      <c r="U17" s="146">
        <f>IF(S17&lt;=0,0,(IF(O17="Rated",(S17+T17)*'Noida-01'!#REF!,(S17+T17))))</f>
        <v>0</v>
      </c>
      <c r="V17" s="146" t="e">
        <f>IF(O17="Rated",Q17*'Noida-01'!#REF!,Q17)</f>
        <v>#REF!</v>
      </c>
      <c r="W17" s="231">
        <v>14.66</v>
      </c>
      <c r="X17" s="146">
        <f>IF((S17*-1)&gt;0, (S17*-1), 0)</f>
        <v>0</v>
      </c>
      <c r="Y17" s="152">
        <f>92700/12</f>
        <v>7725</v>
      </c>
      <c r="Z17" s="153" t="str">
        <f>E17</f>
        <v>Bundled</v>
      </c>
      <c r="AA17" s="146"/>
      <c r="AB17" s="146"/>
      <c r="AC17" s="154"/>
      <c r="AD17" s="146"/>
      <c r="AE17" s="155"/>
      <c r="AF17" s="156" t="str">
        <f>IF(AE17="No of Seats","No of Seats",(IF(AE17="Space","Sq Ft","")))</f>
        <v/>
      </c>
      <c r="AG17" s="146"/>
      <c r="AH17" s="146"/>
      <c r="AI17" s="146">
        <f>AG17-AH17</f>
        <v>0</v>
      </c>
      <c r="AJ17" s="146"/>
      <c r="AK17" s="146"/>
      <c r="AL17" s="149"/>
      <c r="AM17" s="157">
        <f>N17*L17</f>
        <v>356167.66666666669</v>
      </c>
      <c r="AN17" s="157">
        <f>Y17*X17</f>
        <v>0</v>
      </c>
      <c r="AO17" s="158">
        <f>AD17*AC17*AA17</f>
        <v>0</v>
      </c>
      <c r="AP17" s="157">
        <f>AL17*AJ17</f>
        <v>0</v>
      </c>
      <c r="AQ17" s="159"/>
      <c r="AR17" s="160">
        <f>SUBTOTAL(9,AM17:AQ17)</f>
        <v>356167.66666666669</v>
      </c>
      <c r="AS17" s="160"/>
      <c r="AT17" s="234" t="s">
        <v>164</v>
      </c>
      <c r="AU17" s="235">
        <v>43922</v>
      </c>
      <c r="AV17" s="236">
        <v>1</v>
      </c>
      <c r="AW17" s="235">
        <v>44286</v>
      </c>
      <c r="AX17" s="320"/>
      <c r="AZ17" s="165">
        <f>IF(F17="Rack",AR17/I17,0)+IF(F17="U Space",AR17*40/I17,0)+IF(F17="Space",AR17*30/I17,0)</f>
        <v>59361.277777777781</v>
      </c>
      <c r="BA17" s="165" t="e">
        <f>+AR17/V17</f>
        <v>#REF!</v>
      </c>
      <c r="BB17" s="165" t="e">
        <f t="shared" si="97"/>
        <v>#REF!</v>
      </c>
      <c r="BC17" s="165" t="e">
        <f t="shared" si="97"/>
        <v>#REF!</v>
      </c>
      <c r="BD17" s="165" t="e">
        <f>+($AM17+$AN17+IF(E17="Bundled",0,V17*0.85*AA17*AC17*30.5*24)-BK17)/$V17</f>
        <v>#REF!</v>
      </c>
      <c r="BE17" s="165"/>
      <c r="BF17" s="166">
        <f>+AM17+AN17+AO17</f>
        <v>356167.66666666669</v>
      </c>
      <c r="BG17" s="166" t="e">
        <f>+BF17-BH17</f>
        <v>#REF!</v>
      </c>
      <c r="BH17" s="166" t="e">
        <f>IF(E17="Bundled",MIN(V17*'Noida-01'!#REF!*(1+#REF!),BF17),AO17)</f>
        <v>#REF!</v>
      </c>
      <c r="BI17" s="167" t="e">
        <f>IF($AD17&gt;0,$AD17*'Noida-01'!#REF!*'Noida-01'!#REF!*(1+'Noida-01'!#REF!*(20/'Noida-01'!#REF!)/732),'Noida-01'!#REF!*W17)</f>
        <v>#REF!</v>
      </c>
      <c r="BJ17" s="167" t="e">
        <f>IF($AD17&gt;0,$AD17*'Noida-01'!#REF!*'Noida-01'!#REF!*(1+'Noida-01'!#REF!*(20/'Noida-01'!#REF!)/732),+'Noida-01'!#REF!*(W17+U17))</f>
        <v>#REF!</v>
      </c>
      <c r="BK17" s="167" t="e">
        <f>IF(E17="Bundled",'Noida-01'!#REF!*V17,'Noida-01'!#REF!*V17*0.85)</f>
        <v>#REF!</v>
      </c>
      <c r="BL17" s="167" t="e">
        <f>+BB17*V17</f>
        <v>#REF!</v>
      </c>
      <c r="BM17" s="167" t="e">
        <f>+#REF!*V17</f>
        <v>#REF!</v>
      </c>
      <c r="BN17" s="167" t="e">
        <f>+BG17-BM17</f>
        <v>#REF!</v>
      </c>
      <c r="BO17" s="167" t="e">
        <f>+BH17-BI17</f>
        <v>#REF!</v>
      </c>
      <c r="BP17" s="167" t="e">
        <f>+BN17+BO17</f>
        <v>#REF!</v>
      </c>
      <c r="BQ17" s="167" t="e">
        <f>+V17</f>
        <v>#REF!</v>
      </c>
      <c r="BR17" s="167" t="e">
        <f>+BB17</f>
        <v>#REF!</v>
      </c>
      <c r="BS17" s="167" t="e">
        <f>IF(E17="Bundled",BK17-BI17,AO17-BI17)</f>
        <v>#REF!</v>
      </c>
      <c r="BT17" s="167" t="e">
        <f>IF(E17="Bundled",+(BD17-#REF!)*V17,(AM17+AN17)-V17*#REF!)</f>
        <v>#REF!</v>
      </c>
      <c r="BU17" s="167" t="e">
        <f>+BS17+BT17</f>
        <v>#REF!</v>
      </c>
      <c r="BV17" s="167" t="e">
        <f t="shared" si="98"/>
        <v>#REF!</v>
      </c>
      <c r="BW17" s="167" t="e">
        <f t="shared" si="98"/>
        <v>#REF!</v>
      </c>
      <c r="BX17" s="167" t="e">
        <f t="shared" si="98"/>
        <v>#REF!</v>
      </c>
    </row>
    <row r="18" spans="1:78" s="16" customFormat="1" ht="26.1">
      <c r="A18" s="202" t="s">
        <v>48</v>
      </c>
      <c r="B18" s="183" t="s">
        <v>165</v>
      </c>
      <c r="C18" s="144" t="s">
        <v>166</v>
      </c>
      <c r="D18" s="145" t="s">
        <v>130</v>
      </c>
      <c r="E18" s="146" t="s">
        <v>131</v>
      </c>
      <c r="F18" s="191" t="s">
        <v>132</v>
      </c>
      <c r="G18" s="204" t="s">
        <v>133</v>
      </c>
      <c r="H18" s="206" t="str">
        <f>IF(F18="Rack","No of Racks",(IF(F18="Space","Sq Ft","U Space")))</f>
        <v>No of Racks</v>
      </c>
      <c r="I18" s="204">
        <v>1</v>
      </c>
      <c r="J18" s="204">
        <v>1</v>
      </c>
      <c r="K18" s="207">
        <f>I18-J18</f>
        <v>0</v>
      </c>
      <c r="L18" s="204">
        <v>1</v>
      </c>
      <c r="M18" s="204"/>
      <c r="N18" s="208">
        <f>(442500)/12</f>
        <v>36875</v>
      </c>
      <c r="O18" s="209" t="str">
        <f>D18</f>
        <v>Rated</v>
      </c>
      <c r="P18" s="204" t="s">
        <v>134</v>
      </c>
      <c r="Q18" s="205">
        <v>3.5</v>
      </c>
      <c r="R18" s="211">
        <v>3.33</v>
      </c>
      <c r="S18" s="212">
        <f>Q18-R18</f>
        <v>0.16999999999999993</v>
      </c>
      <c r="T18" s="205"/>
      <c r="U18" s="205" t="e">
        <f>IF(S18&lt;=0,0,(IF(O18="Rated",(S18+T18)*'Noida-01'!#REF!,(S18+T18))))</f>
        <v>#REF!</v>
      </c>
      <c r="V18" s="205" t="e">
        <f>IF(O18="Rated",Q18*'Noida-01'!#REF!,Q18)</f>
        <v>#REF!</v>
      </c>
      <c r="W18" s="325">
        <v>2.41</v>
      </c>
      <c r="X18" s="205">
        <f>IF((S18*-1)&gt;0, (S18*-1), 0)</f>
        <v>0</v>
      </c>
      <c r="Y18" s="213">
        <f>90000/12</f>
        <v>7500</v>
      </c>
      <c r="Z18" s="214" t="str">
        <f>E18</f>
        <v>Bundled</v>
      </c>
      <c r="AA18" s="205"/>
      <c r="AB18" s="205"/>
      <c r="AC18" s="215"/>
      <c r="AD18" s="205"/>
      <c r="AE18" s="216"/>
      <c r="AF18" s="217" t="str">
        <f>IF(AE18="No of Seats","No of Seats",(IF(AE18="Space","Sq Ft","")))</f>
        <v/>
      </c>
      <c r="AG18" s="205"/>
      <c r="AH18" s="205"/>
      <c r="AI18" s="205">
        <f>AG18-AH18</f>
        <v>0</v>
      </c>
      <c r="AJ18" s="205"/>
      <c r="AK18" s="205"/>
      <c r="AL18" s="208"/>
      <c r="AM18" s="218">
        <f>N18*L18</f>
        <v>36875</v>
      </c>
      <c r="AN18" s="218">
        <f>Y18*X18</f>
        <v>0</v>
      </c>
      <c r="AO18" s="219">
        <f>AD18*AC18*AA18</f>
        <v>0</v>
      </c>
      <c r="AP18" s="218">
        <f>AL18*AJ18</f>
        <v>0</v>
      </c>
      <c r="AQ18" s="220"/>
      <c r="AR18" s="221">
        <f>SUBTOTAL(9,AM18:AQ18)</f>
        <v>36875</v>
      </c>
      <c r="AS18" s="221"/>
      <c r="AT18" s="326"/>
      <c r="AU18" s="223"/>
      <c r="AV18" s="224"/>
      <c r="AW18" s="223"/>
      <c r="AX18" s="225"/>
      <c r="AZ18" s="226">
        <f>IF(F18="Rack",AR18/I18,0)+IF(F18="U Space",AR18*40/I18,0)+IF(F18="Space",AR18*30/I18,0)</f>
        <v>36875</v>
      </c>
      <c r="BA18" s="226" t="e">
        <f>+AR18/V18</f>
        <v>#REF!</v>
      </c>
      <c r="BB18" s="226" t="e">
        <f t="shared" si="97"/>
        <v>#REF!</v>
      </c>
      <c r="BC18" s="226" t="e">
        <f t="shared" si="97"/>
        <v>#REF!</v>
      </c>
      <c r="BD18" s="226" t="e">
        <f>+($AM18+$AN18+IF(E18="Bundled",0,V18*0.85*AA18*AC18*30.5*24)-BK18)/$V18</f>
        <v>#REF!</v>
      </c>
      <c r="BE18" s="226"/>
      <c r="BF18" s="227">
        <f>+AM18+AN18+AO18</f>
        <v>36875</v>
      </c>
      <c r="BG18" s="227" t="e">
        <f>+BF18-BH18</f>
        <v>#REF!</v>
      </c>
      <c r="BH18" s="227" t="e">
        <f>IF(E18="Bundled",MIN(V18*'Noida-01'!#REF!*(1+#REF!),BF18),AO18)</f>
        <v>#REF!</v>
      </c>
      <c r="BI18" s="228" t="e">
        <f>IF($AD18&gt;0,$AD18*'Noida-01'!#REF!*'Noida-01'!#REF!*(1+'Noida-01'!#REF!*(20/'Noida-01'!#REF!)/732),'Noida-01'!#REF!*W18)</f>
        <v>#REF!</v>
      </c>
      <c r="BJ18" s="228" t="e">
        <f>IF($AD18&gt;0,$AD18*'Noida-01'!#REF!*'Noida-01'!#REF!*(1+'Noida-01'!#REF!*(20/'Noida-01'!#REF!)/732),+'Noida-01'!#REF!*(W18+U18))</f>
        <v>#REF!</v>
      </c>
      <c r="BK18" s="228" t="e">
        <f>IF(E18="Bundled",'Noida-01'!#REF!*V18,'Noida-01'!#REF!*V18*0.85)</f>
        <v>#REF!</v>
      </c>
      <c r="BL18" s="228" t="e">
        <f>+BB18*V18</f>
        <v>#REF!</v>
      </c>
      <c r="BM18" s="228" t="e">
        <f>+#REF!*V18</f>
        <v>#REF!</v>
      </c>
      <c r="BN18" s="228" t="e">
        <f>+BG18-BM18</f>
        <v>#REF!</v>
      </c>
      <c r="BO18" s="228" t="e">
        <f>+BH18-BI18</f>
        <v>#REF!</v>
      </c>
      <c r="BP18" s="228" t="e">
        <f>+BN18+BO18</f>
        <v>#REF!</v>
      </c>
      <c r="BQ18" s="228" t="e">
        <f>+V18</f>
        <v>#REF!</v>
      </c>
      <c r="BR18" s="228" t="e">
        <f>+BB18</f>
        <v>#REF!</v>
      </c>
      <c r="BS18" s="228" t="e">
        <f>IF(E18="Bundled",BK18-BI18,AO18-BI18)</f>
        <v>#REF!</v>
      </c>
      <c r="BT18" s="228" t="e">
        <f>IF(E18="Bundled",+(BD18-#REF!)*V18,(AM18+AN18)-V18*#REF!)</f>
        <v>#REF!</v>
      </c>
      <c r="BU18" s="228" t="e">
        <f>+BS18+BT18</f>
        <v>#REF!</v>
      </c>
      <c r="BV18" s="228" t="e">
        <f t="shared" si="98"/>
        <v>#REF!</v>
      </c>
      <c r="BW18" s="228" t="e">
        <f t="shared" si="98"/>
        <v>#REF!</v>
      </c>
      <c r="BX18" s="228" t="e">
        <f t="shared" si="98"/>
        <v>#REF!</v>
      </c>
    </row>
    <row r="19" spans="1:78" s="16" customFormat="1" ht="26.1">
      <c r="A19" s="238" t="s">
        <v>48</v>
      </c>
      <c r="B19" s="184" t="s">
        <v>167</v>
      </c>
      <c r="C19" s="144" t="s">
        <v>168</v>
      </c>
      <c r="D19" s="145" t="s">
        <v>169</v>
      </c>
      <c r="E19" s="146" t="s">
        <v>170</v>
      </c>
      <c r="F19" s="190" t="s">
        <v>132</v>
      </c>
      <c r="G19" s="145" t="s">
        <v>133</v>
      </c>
      <c r="H19" s="147" t="str">
        <f>IF(F19="Rack","No of Racks",(IF(F19="Space","Sq Ft","U Space")))</f>
        <v>No of Racks</v>
      </c>
      <c r="I19" s="145">
        <v>1</v>
      </c>
      <c r="J19" s="145">
        <v>1</v>
      </c>
      <c r="K19" s="148">
        <f>I19-J19</f>
        <v>0</v>
      </c>
      <c r="L19" s="145">
        <v>1</v>
      </c>
      <c r="M19" s="145"/>
      <c r="N19" s="149">
        <f>(270000)/12</f>
        <v>22500</v>
      </c>
      <c r="O19" s="150" t="str">
        <f>D19</f>
        <v>Subscribed</v>
      </c>
      <c r="P19" s="145" t="s">
        <v>123</v>
      </c>
      <c r="Q19" s="146">
        <v>3</v>
      </c>
      <c r="R19" s="327">
        <f>W19</f>
        <v>3.7634408602150539E-2</v>
      </c>
      <c r="S19" s="232">
        <f>Q19-R19</f>
        <v>2.9623655913978495</v>
      </c>
      <c r="T19" s="146"/>
      <c r="U19" s="146">
        <f>IF(S19&lt;=0,0,(IF(O19="Rated",(S19+T19)*'Noida-01'!#REF!,(S19+T19))))</f>
        <v>2.9623655913978495</v>
      </c>
      <c r="V19" s="146">
        <f>IF(O19="Rated",Q19*'Noida-01'!#REF!,Q19)</f>
        <v>3</v>
      </c>
      <c r="W19" s="231">
        <f>AD19/31/24</f>
        <v>3.7634408602150539E-2</v>
      </c>
      <c r="X19" s="146">
        <f>IF((S19*-1)&gt;0, (S19*-1), 0)</f>
        <v>0</v>
      </c>
      <c r="Y19" s="152">
        <f>95000/12</f>
        <v>7916.666666666667</v>
      </c>
      <c r="Z19" s="153" t="str">
        <f>E19</f>
        <v>Metered</v>
      </c>
      <c r="AA19" s="146">
        <v>1</v>
      </c>
      <c r="AB19" s="146" t="s">
        <v>171</v>
      </c>
      <c r="AC19" s="154">
        <v>17</v>
      </c>
      <c r="AD19" s="146">
        <v>28</v>
      </c>
      <c r="AE19" s="155"/>
      <c r="AF19" s="156"/>
      <c r="AG19" s="146"/>
      <c r="AH19" s="146"/>
      <c r="AI19" s="146">
        <f>AG19-AH19</f>
        <v>0</v>
      </c>
      <c r="AJ19" s="146"/>
      <c r="AK19" s="146"/>
      <c r="AL19" s="149">
        <f>(0)/12</f>
        <v>0</v>
      </c>
      <c r="AM19" s="157">
        <f>N19*L19</f>
        <v>22500</v>
      </c>
      <c r="AN19" s="157">
        <f>Y19*X19</f>
        <v>0</v>
      </c>
      <c r="AO19" s="158">
        <f>AD19*AC19*AA19</f>
        <v>476</v>
      </c>
      <c r="AP19" s="157">
        <f>AL19*AJ19</f>
        <v>0</v>
      </c>
      <c r="AQ19" s="159">
        <f>0/12</f>
        <v>0</v>
      </c>
      <c r="AR19" s="160">
        <f>SUBTOTAL(9,AM19:AQ19)</f>
        <v>22976</v>
      </c>
      <c r="AS19" s="160"/>
      <c r="AT19" s="161"/>
      <c r="AU19" s="162"/>
      <c r="AV19" s="163"/>
      <c r="AW19" s="162"/>
      <c r="AX19" s="229"/>
      <c r="AY19" s="229"/>
      <c r="AZ19" s="165">
        <f>IF(F19="Rack",AR19/I19,0)+IF(F19="U Space",AR19*40/I19,0)+IF(F19="Space",AR19*30/I19,0)</f>
        <v>22976</v>
      </c>
      <c r="BA19" s="165">
        <f>+AR19/V19</f>
        <v>7658.666666666667</v>
      </c>
      <c r="BB19" s="165" t="e">
        <f>+($AM19+$AN19+$AO19-BI19)/$V19</f>
        <v>#REF!</v>
      </c>
      <c r="BC19" s="165" t="e">
        <f>+($AM19+$AN19+$AO19-BJ19)/$V19</f>
        <v>#REF!</v>
      </c>
      <c r="BD19" s="165" t="e">
        <f>+($AM19+$AN19+IF(E19="Bundled",0,V19*0.85*AA19*AC19*30.5*24)-BK19)/$V19</f>
        <v>#REF!</v>
      </c>
      <c r="BE19" s="165"/>
      <c r="BF19" s="166">
        <f>+AM19+AN19+AO19</f>
        <v>22976</v>
      </c>
      <c r="BG19" s="166">
        <f>+BF19-BH19</f>
        <v>22500</v>
      </c>
      <c r="BH19" s="166">
        <f>IF(E19="Bundled",MIN(V19*'Noida-01'!#REF!*(1+#REF!),BF19),AO19)</f>
        <v>476</v>
      </c>
      <c r="BI19" s="167" t="e">
        <f>IF($AD19&gt;0,$AD19*'Noida-01'!#REF!*'Noida-01'!#REF!*(1+'Noida-01'!#REF!*(20/'Noida-01'!#REF!)/732),'Noida-01'!#REF!*W19)</f>
        <v>#REF!</v>
      </c>
      <c r="BJ19" s="167" t="e">
        <f>IF($AD19&gt;0,$AD19*'Noida-01'!#REF!*'Noida-01'!#REF!*(1+'Noida-01'!#REF!*(20/'Noida-01'!#REF!)/732),+'Noida-01'!#REF!*(W19+U19))</f>
        <v>#REF!</v>
      </c>
      <c r="BK19" s="167" t="e">
        <f>IF(E19="Bundled",'Noida-01'!#REF!*V19,'Noida-01'!#REF!*V19*0.85)</f>
        <v>#REF!</v>
      </c>
      <c r="BL19" s="167" t="e">
        <f>+BB19*V19</f>
        <v>#REF!</v>
      </c>
      <c r="BM19" s="167" t="e">
        <f>+#REF!*V19</f>
        <v>#REF!</v>
      </c>
      <c r="BN19" s="167" t="e">
        <f>+BG19-BM19</f>
        <v>#REF!</v>
      </c>
      <c r="BO19" s="167" t="e">
        <f>+BH19-BI19</f>
        <v>#REF!</v>
      </c>
      <c r="BP19" s="167" t="e">
        <f>+BN19+BO19</f>
        <v>#REF!</v>
      </c>
      <c r="BQ19" s="167">
        <f>+V19</f>
        <v>3</v>
      </c>
      <c r="BR19" s="167" t="e">
        <f>+BB19</f>
        <v>#REF!</v>
      </c>
      <c r="BS19" s="167" t="e">
        <f>IF(E19="Bundled",BK19-BI19,AO19-BI19)</f>
        <v>#REF!</v>
      </c>
      <c r="BT19" s="167" t="e">
        <f>IF(E19="Bundled",+(BD19-#REF!)*V19,(AM19+AN19)-V19*#REF!)</f>
        <v>#REF!</v>
      </c>
      <c r="BU19" s="167" t="e">
        <f>+BS19+BT19</f>
        <v>#REF!</v>
      </c>
      <c r="BV19" s="167" t="e">
        <f t="shared" ref="BV19:BX20" si="99">+BS19/$BQ19</f>
        <v>#REF!</v>
      </c>
      <c r="BW19" s="167" t="e">
        <f t="shared" si="99"/>
        <v>#REF!</v>
      </c>
      <c r="BX19" s="167" t="e">
        <f t="shared" si="99"/>
        <v>#REF!</v>
      </c>
    </row>
    <row r="20" spans="1:78" s="16" customFormat="1" ht="26.1">
      <c r="A20" s="238" t="s">
        <v>49</v>
      </c>
      <c r="B20" s="184" t="s">
        <v>172</v>
      </c>
      <c r="C20" s="198" t="s">
        <v>173</v>
      </c>
      <c r="D20" s="145" t="s">
        <v>169</v>
      </c>
      <c r="E20" s="146" t="s">
        <v>170</v>
      </c>
      <c r="F20" s="190" t="s">
        <v>132</v>
      </c>
      <c r="G20" s="145" t="s">
        <v>133</v>
      </c>
      <c r="H20" s="147" t="str">
        <f>IF(F20="Rack","No of Racks",(IF(F20="Space","Sq Ft","U Space")))</f>
        <v>No of Racks</v>
      </c>
      <c r="I20" s="145">
        <v>4</v>
      </c>
      <c r="J20" s="200">
        <v>4</v>
      </c>
      <c r="K20" s="323">
        <f>I20-J20</f>
        <v>0</v>
      </c>
      <c r="L20" s="200">
        <v>4</v>
      </c>
      <c r="M20" s="200"/>
      <c r="N20" s="324">
        <f>(31100)</f>
        <v>31100</v>
      </c>
      <c r="O20" s="150" t="str">
        <f>D20</f>
        <v>Subscribed</v>
      </c>
      <c r="P20" s="145" t="s">
        <v>123</v>
      </c>
      <c r="Q20" s="146">
        <v>16.600000000000001</v>
      </c>
      <c r="R20" s="327">
        <f>W20</f>
        <v>6.8954166666666659</v>
      </c>
      <c r="S20" s="232">
        <f>Q20-R20</f>
        <v>9.7045833333333356</v>
      </c>
      <c r="T20" s="146"/>
      <c r="U20" s="146">
        <f>IF(S20&lt;=0,0,(IF(O20="Rated",(S20+T20)*'Noida-01'!#REF!,(S20+T20))))</f>
        <v>9.7045833333333356</v>
      </c>
      <c r="V20" s="146">
        <f>IF(O20="Rated",Q20*'Noida-01'!#REF!,Q20)</f>
        <v>16.600000000000001</v>
      </c>
      <c r="W20" s="231">
        <f>AD20/30/24</f>
        <v>6.8954166666666659</v>
      </c>
      <c r="X20" s="146">
        <f>IF((S20*-1)&gt;0, (S20*-1), 0)</f>
        <v>0</v>
      </c>
      <c r="Y20" s="152">
        <f>0/12</f>
        <v>0</v>
      </c>
      <c r="Z20" s="153" t="str">
        <f>E20</f>
        <v>Metered</v>
      </c>
      <c r="AA20" s="146">
        <v>1</v>
      </c>
      <c r="AB20" s="146" t="s">
        <v>171</v>
      </c>
      <c r="AC20" s="154">
        <v>0</v>
      </c>
      <c r="AD20" s="328">
        <v>4964.7</v>
      </c>
      <c r="AE20" s="155"/>
      <c r="AF20" s="156"/>
      <c r="AG20" s="146"/>
      <c r="AH20" s="146"/>
      <c r="AI20" s="146">
        <f>AG20-AH20</f>
        <v>0</v>
      </c>
      <c r="AJ20" s="146"/>
      <c r="AK20" s="146"/>
      <c r="AL20" s="149">
        <f>(0)/12</f>
        <v>0</v>
      </c>
      <c r="AM20" s="157">
        <f>N20*L20</f>
        <v>124400</v>
      </c>
      <c r="AN20" s="157">
        <f>Y20*X20</f>
        <v>0</v>
      </c>
      <c r="AO20" s="158">
        <f>AD20*AC20*AA20</f>
        <v>0</v>
      </c>
      <c r="AP20" s="157">
        <f>AL20*AJ20</f>
        <v>0</v>
      </c>
      <c r="AQ20" s="159">
        <f>0/12</f>
        <v>0</v>
      </c>
      <c r="AR20" s="160">
        <f>SUBTOTAL(9,AM20:AQ20)</f>
        <v>124400</v>
      </c>
      <c r="AS20" s="160"/>
      <c r="AT20" s="161"/>
      <c r="AU20" s="162"/>
      <c r="AV20" s="163"/>
      <c r="AW20" s="162"/>
      <c r="AX20" s="229"/>
      <c r="AY20" s="229"/>
      <c r="AZ20" s="165">
        <f>IF(F20="Rack",AR20/I20,0)+IF(F20="U Space",AR20*40/I20,0)+IF(F20="Space",AR20*30/I20,0)</f>
        <v>31100</v>
      </c>
      <c r="BA20" s="165">
        <f>+AR20/V20</f>
        <v>7493.9759036144569</v>
      </c>
      <c r="BB20" s="165" t="e">
        <f>+($AM20+$AN20+$AO20-BI20)/$V20</f>
        <v>#REF!</v>
      </c>
      <c r="BC20" s="165" t="e">
        <f>+($AM20+$AN20+$AO20-BJ20)/$V20</f>
        <v>#REF!</v>
      </c>
      <c r="BD20" s="165" t="e">
        <f>+($AM20+$AN20+IF(E20="Bundled",0,V20*0.85*AA20*AC20*30.5*24)-BK20)/$V20</f>
        <v>#REF!</v>
      </c>
      <c r="BE20" s="165"/>
      <c r="BF20" s="166">
        <f>+AM20+AN20+AO20</f>
        <v>124400</v>
      </c>
      <c r="BG20" s="166">
        <f>+BF20-BH20</f>
        <v>124400</v>
      </c>
      <c r="BH20" s="166">
        <f>IF(E20="Bundled",MIN(V20*'Noida-01'!#REF!*(1+#REF!),BF20),AO20)</f>
        <v>0</v>
      </c>
      <c r="BI20" s="167" t="e">
        <f>IF($AD20&gt;0,$AD20*'Noida-01'!#REF!*'Noida-01'!#REF!*(1+'Noida-01'!#REF!*(20/'Noida-01'!#REF!)/732),'Noida-01'!#REF!*W20)</f>
        <v>#REF!</v>
      </c>
      <c r="BJ20" s="167" t="e">
        <f>IF($AD20&gt;0,$AD20*'Noida-01'!#REF!*'Noida-01'!#REF!*(1+'Noida-01'!#REF!*(20/'Noida-01'!#REF!)/732),+'Noida-01'!#REF!*(W20+U20))</f>
        <v>#REF!</v>
      </c>
      <c r="BK20" s="167" t="e">
        <f>IF(E20="Bundled",'Noida-01'!#REF!*V20,'Noida-01'!#REF!*V20*0.85)</f>
        <v>#REF!</v>
      </c>
      <c r="BL20" s="167" t="e">
        <f>+BB20*V20</f>
        <v>#REF!</v>
      </c>
      <c r="BM20" s="167" t="e">
        <f>+#REF!*V20</f>
        <v>#REF!</v>
      </c>
      <c r="BN20" s="167" t="e">
        <f>+BG20-BM20</f>
        <v>#REF!</v>
      </c>
      <c r="BO20" s="167" t="e">
        <f>+BH20-BI20</f>
        <v>#REF!</v>
      </c>
      <c r="BP20" s="167" t="e">
        <f>+BN20+BO20</f>
        <v>#REF!</v>
      </c>
      <c r="BQ20" s="167">
        <f>+V20</f>
        <v>16.600000000000001</v>
      </c>
      <c r="BR20" s="167" t="e">
        <f>+BB20</f>
        <v>#REF!</v>
      </c>
      <c r="BS20" s="167" t="e">
        <f>IF(E20="Bundled",BK20-BI20,AO20-BI20)</f>
        <v>#REF!</v>
      </c>
      <c r="BT20" s="167" t="e">
        <f>IF(E20="Bundled",+(BD20-#REF!)*V20,(AM20+AN20)-V20*#REF!)</f>
        <v>#REF!</v>
      </c>
      <c r="BU20" s="167" t="e">
        <f>+BS20+BT20</f>
        <v>#REF!</v>
      </c>
      <c r="BV20" s="167" t="e">
        <f t="shared" si="99"/>
        <v>#REF!</v>
      </c>
      <c r="BW20" s="167" t="e">
        <f t="shared" si="99"/>
        <v>#REF!</v>
      </c>
      <c r="BX20" s="167" t="e">
        <f t="shared" si="99"/>
        <v>#REF!</v>
      </c>
    </row>
    <row r="21" spans="1:78" s="16" customFormat="1" ht="26.1">
      <c r="A21" s="238" t="s">
        <v>47</v>
      </c>
      <c r="B21" s="181" t="s">
        <v>158</v>
      </c>
      <c r="C21" s="168" t="s">
        <v>174</v>
      </c>
      <c r="D21" s="145" t="s">
        <v>130</v>
      </c>
      <c r="E21" s="146" t="s">
        <v>131</v>
      </c>
      <c r="F21" s="190" t="s">
        <v>144</v>
      </c>
      <c r="G21" s="145" t="s">
        <v>133</v>
      </c>
      <c r="H21" s="147" t="str">
        <f t="shared" ref="H21" si="100">IF(F21="Rack","No of Racks",(IF(F21="Space","Sq Ft","U Space")))</f>
        <v>U Space</v>
      </c>
      <c r="I21" s="145">
        <v>6</v>
      </c>
      <c r="J21" s="145">
        <v>6</v>
      </c>
      <c r="K21" s="148">
        <f t="shared" ref="K21:K23" si="101">I21-J21</f>
        <v>0</v>
      </c>
      <c r="L21" s="145">
        <v>6</v>
      </c>
      <c r="M21" s="145"/>
      <c r="N21" s="149">
        <f>120000/12/6</f>
        <v>1666.6666666666667</v>
      </c>
      <c r="O21" s="150" t="str">
        <f t="shared" ref="O21:O23" si="102">D21</f>
        <v>Rated</v>
      </c>
      <c r="P21" s="321" t="s">
        <v>134</v>
      </c>
      <c r="Q21" s="146">
        <v>1</v>
      </c>
      <c r="R21" s="151">
        <v>0.05</v>
      </c>
      <c r="S21" s="232">
        <f t="shared" ref="S21:S23" si="103">Q21-R21</f>
        <v>0.95</v>
      </c>
      <c r="T21" s="146"/>
      <c r="U21" s="146">
        <f>IF(S21&lt;=0,0,(IF(O21="Rated",(S21+T21)*$S$20,(S21+T21))))</f>
        <v>9.219354166666669</v>
      </c>
      <c r="V21" s="146">
        <f>IF(O21="Rated",Q21*$S$20,Q21)</f>
        <v>9.7045833333333356</v>
      </c>
      <c r="W21" s="329"/>
      <c r="X21" s="146">
        <f t="shared" ref="X21:X23" si="104">IF((S21*-1)&gt;0, (S21*-1), 0)</f>
        <v>0</v>
      </c>
      <c r="Y21" s="152">
        <f>110000/12</f>
        <v>9166.6666666666661</v>
      </c>
      <c r="Z21" s="153" t="str">
        <f t="shared" ref="Z21:Z23" si="105">E21</f>
        <v>Bundled</v>
      </c>
      <c r="AA21" s="146"/>
      <c r="AB21" s="146"/>
      <c r="AC21" s="154"/>
      <c r="AD21" s="146"/>
      <c r="AE21" s="155"/>
      <c r="AF21" s="156" t="str">
        <f t="shared" ref="AF21" si="106">IF(AE21="No of Seats","No of Seats",(IF(AE21="Space","Sq Ft","")))</f>
        <v/>
      </c>
      <c r="AG21" s="146"/>
      <c r="AH21" s="146"/>
      <c r="AI21" s="146">
        <f t="shared" ref="AI21:AI23" si="107">AG21-AH21</f>
        <v>0</v>
      </c>
      <c r="AJ21" s="146"/>
      <c r="AK21" s="146"/>
      <c r="AL21" s="149"/>
      <c r="AM21" s="157">
        <f t="shared" ref="AM21:AM23" si="108">N21*L21</f>
        <v>10000</v>
      </c>
      <c r="AN21" s="157">
        <f t="shared" ref="AN21:AN23" si="109">Y21*X21</f>
        <v>0</v>
      </c>
      <c r="AO21" s="158">
        <f t="shared" ref="AO21:AO23" si="110">AD21*AC21*AA21</f>
        <v>0</v>
      </c>
      <c r="AP21" s="157">
        <f t="shared" ref="AP21:AP23" si="111">AL21*AJ21</f>
        <v>0</v>
      </c>
      <c r="AQ21" s="159">
        <v>0</v>
      </c>
      <c r="AR21" s="160">
        <f t="shared" ref="AR21:AR23" si="112">SUBTOTAL(9,AM21:AQ21)</f>
        <v>10000</v>
      </c>
      <c r="AS21" s="160"/>
      <c r="AT21" s="322"/>
      <c r="AU21" s="318"/>
      <c r="AV21" s="319"/>
      <c r="AW21" s="318"/>
      <c r="AX21" s="330"/>
      <c r="AY21" s="229"/>
      <c r="AZ21" s="165">
        <f t="shared" ref="AZ21:AZ23" si="113">IF(F21="Rack",AR21/I21,0)+IF(F21="U Space",AR21*40/I21,0)+IF(F21="Space",AR21*30/I21,0)</f>
        <v>66666.666666666672</v>
      </c>
      <c r="BA21" s="165">
        <f t="shared" ref="BA21:BA23" si="114">+AR21/V21</f>
        <v>1030.4409428534625</v>
      </c>
      <c r="BB21" s="165" t="e">
        <f>+($AK21+$AL21+$AM21-BI21)/$T21</f>
        <v>#VALUE!</v>
      </c>
      <c r="BC21" s="165" t="e">
        <f>+($AK21+$AL21+$AM21-BJ21)/$T21</f>
        <v>#VALUE!</v>
      </c>
      <c r="BD21" s="165" t="e">
        <f>+($AK21+$AL21+IF(E21="Bundled",0,V21*0.85*AA21*AC21*30.5*24)-BK21)/$T21</f>
        <v>#VALUE!</v>
      </c>
      <c r="BE21" s="165"/>
      <c r="BF21" s="166">
        <f t="shared" ref="BF21:BF23" si="115">+AM21+AN21+AO21</f>
        <v>10000</v>
      </c>
      <c r="BG21" s="166" t="e">
        <f t="shared" ref="BG21:BG23" si="116">+BF21-BH21</f>
        <v>#VALUE!</v>
      </c>
      <c r="BH21" s="166" t="e">
        <f>IF(E21="Bundled",MIN(V21*$AB$20*(1+$K$2),BF21),AO21)</f>
        <v>#VALUE!</v>
      </c>
      <c r="BI21" s="167" t="e">
        <f>IF($AB21&gt;0,$AB21*$Y$20*$AA$20*(1+$AD$20*(20/$AA$20)/732),$AB$20*W21)</f>
        <v>#VALUE!</v>
      </c>
      <c r="BJ21" s="167" t="e">
        <f>IF($AB21&gt;0,$AB21*$Y$20*$AA$20*(1+$AD$20*(20/$AA$20)/732),+$AB$20*(W21+U21))</f>
        <v>#VALUE!</v>
      </c>
      <c r="BK21" s="167" t="e">
        <f>IF(E21="Bundled",$AB$20*V21,$AB$20*V21*0.85)</f>
        <v>#VALUE!</v>
      </c>
      <c r="BL21" s="167" t="e">
        <f t="shared" ref="BL21:BL23" si="117">+BB21*V21</f>
        <v>#VALUE!</v>
      </c>
      <c r="BM21" s="167">
        <f t="shared" ref="BM21" si="118">+$J$2*V21</f>
        <v>0</v>
      </c>
      <c r="BN21" s="167" t="e">
        <f t="shared" ref="BN21:BN23" si="119">+BG21-BM21</f>
        <v>#VALUE!</v>
      </c>
      <c r="BO21" s="167" t="e">
        <f t="shared" ref="BO21:BO23" si="120">+BH21-BI21</f>
        <v>#VALUE!</v>
      </c>
      <c r="BP21" s="167" t="e">
        <f t="shared" ref="BP21:BP23" si="121">+BN21+BO21</f>
        <v>#VALUE!</v>
      </c>
      <c r="BQ21" s="167">
        <f t="shared" ref="BQ21:BQ23" si="122">+V21</f>
        <v>9.7045833333333356</v>
      </c>
      <c r="BR21" s="167" t="e">
        <f t="shared" ref="BR21:BR23" si="123">+BB21</f>
        <v>#VALUE!</v>
      </c>
      <c r="BS21" s="167" t="e">
        <f t="shared" ref="BS21:BS23" si="124">IF(E21="Bundled",BK21-BI21,AO21-BI21)</f>
        <v>#VALUE!</v>
      </c>
      <c r="BT21" s="167" t="e">
        <f t="shared" ref="BT21" si="125">IF(E21="Bundled",+(BD21-$J$2)*V21,(AM21+AN21)-V21*$J$2)</f>
        <v>#VALUE!</v>
      </c>
      <c r="BU21" s="167" t="e">
        <f t="shared" ref="BU21:BU23" si="126">+BS21+BT21</f>
        <v>#VALUE!</v>
      </c>
      <c r="BV21" s="167" t="e">
        <f>+BS21/$BO21</f>
        <v>#VALUE!</v>
      </c>
      <c r="BW21" s="167" t="e">
        <f>+BT21/$BO21</f>
        <v>#VALUE!</v>
      </c>
      <c r="BX21" s="167" t="e">
        <f>+BU21/$BO21</f>
        <v>#VALUE!</v>
      </c>
      <c r="BY21" s="5"/>
      <c r="BZ21" s="5"/>
    </row>
    <row r="22" spans="1:78" ht="26.1">
      <c r="A22" s="142" t="s">
        <v>45</v>
      </c>
      <c r="B22" s="178" t="s">
        <v>175</v>
      </c>
      <c r="C22" s="168" t="s">
        <v>176</v>
      </c>
      <c r="D22" s="145" t="s">
        <v>169</v>
      </c>
      <c r="E22" s="146" t="s">
        <v>131</v>
      </c>
      <c r="F22" s="192" t="s">
        <v>132</v>
      </c>
      <c r="G22" s="175" t="s">
        <v>133</v>
      </c>
      <c r="H22" s="70" t="str">
        <f>IF(F22="Rack","No of Racks",(IF(F22="Space","Sq Ft","U Space")))</f>
        <v>No of Racks</v>
      </c>
      <c r="I22" s="175">
        <v>2</v>
      </c>
      <c r="J22" s="145">
        <v>2</v>
      </c>
      <c r="K22" s="148">
        <f t="shared" si="101"/>
        <v>0</v>
      </c>
      <c r="L22" s="145">
        <v>2</v>
      </c>
      <c r="M22" s="145"/>
      <c r="N22" s="331">
        <v>1840</v>
      </c>
      <c r="O22" s="150" t="str">
        <f t="shared" si="102"/>
        <v>Subscribed</v>
      </c>
      <c r="P22" s="145" t="s">
        <v>134</v>
      </c>
      <c r="Q22" s="146">
        <v>14.36</v>
      </c>
      <c r="R22" s="327">
        <f>W22/0.9</f>
        <v>8.0506327160493836</v>
      </c>
      <c r="S22" s="232">
        <f t="shared" si="103"/>
        <v>6.3093672839506159</v>
      </c>
      <c r="T22" s="146"/>
      <c r="U22" s="146">
        <f t="shared" ref="U22:U23" si="127">IF(S22&lt;=0,0,(IF(O22="Rated",(S22+T22)*$V$1,(S22+T22))))</f>
        <v>6.3093672839506159</v>
      </c>
      <c r="V22" s="146">
        <f t="shared" ref="V22:V23" si="128">IF(O22="Rated",Q22*$V$1,Q22)</f>
        <v>14.36</v>
      </c>
      <c r="W22" s="231">
        <f t="shared" ref="W22" si="129">AD22/30/24</f>
        <v>7.2455694444444454</v>
      </c>
      <c r="X22" s="146">
        <f t="shared" si="104"/>
        <v>0</v>
      </c>
      <c r="Y22" s="331">
        <v>250</v>
      </c>
      <c r="Z22" s="153" t="str">
        <f t="shared" si="105"/>
        <v>Bundled</v>
      </c>
      <c r="AA22" s="146">
        <v>1</v>
      </c>
      <c r="AB22" s="146" t="s">
        <v>171</v>
      </c>
      <c r="AC22" s="154">
        <v>0</v>
      </c>
      <c r="AD22" s="146">
        <v>5216.8100000000004</v>
      </c>
      <c r="AE22" s="155"/>
      <c r="AF22" s="156"/>
      <c r="AG22" s="146"/>
      <c r="AH22" s="146"/>
      <c r="AI22" s="146">
        <f t="shared" si="107"/>
        <v>0</v>
      </c>
      <c r="AJ22" s="146"/>
      <c r="AK22" s="146"/>
      <c r="AL22" s="149"/>
      <c r="AM22" s="331">
        <f t="shared" si="108"/>
        <v>3680</v>
      </c>
      <c r="AN22" s="331">
        <f t="shared" si="109"/>
        <v>0</v>
      </c>
      <c r="AO22" s="158">
        <f t="shared" si="110"/>
        <v>0</v>
      </c>
      <c r="AP22" s="331">
        <f t="shared" si="111"/>
        <v>0</v>
      </c>
      <c r="AQ22" s="331">
        <v>0</v>
      </c>
      <c r="AR22" s="332">
        <f t="shared" si="112"/>
        <v>3680</v>
      </c>
      <c r="AS22" s="160"/>
      <c r="AT22" s="161">
        <v>121000084</v>
      </c>
      <c r="AU22" s="162"/>
      <c r="AV22" s="163"/>
      <c r="AW22" s="162"/>
      <c r="AX22" s="164"/>
      <c r="AY22" s="5"/>
      <c r="AZ22" s="165">
        <f t="shared" si="113"/>
        <v>1840</v>
      </c>
      <c r="BA22" s="165">
        <f t="shared" si="114"/>
        <v>256.26740947075211</v>
      </c>
      <c r="BB22" s="165" t="e">
        <f t="shared" ref="BB22:BC23" si="130">+($AN22+$AO22+$AP22-BI22)/$W22</f>
        <v>#VALUE!</v>
      </c>
      <c r="BC22" s="165" t="e">
        <f t="shared" si="130"/>
        <v>#VALUE!</v>
      </c>
      <c r="BD22" s="165" t="e">
        <f t="shared" ref="BD22:BD23" si="131">+($AN22+$AO22+IF(E22="Bundled",0,V22*0.85*AA22*AC22*30.5*24)-BK22)/$W22</f>
        <v>#VALUE!</v>
      </c>
      <c r="BE22" s="165"/>
      <c r="BF22" s="166">
        <f t="shared" si="115"/>
        <v>3680</v>
      </c>
      <c r="BG22" s="166" t="e">
        <f t="shared" si="116"/>
        <v>#VALUE!</v>
      </c>
      <c r="BH22" s="166" t="e">
        <f>IF(E22="Bundled",MIN(V22*$AE$1*(1+#REF!),BF22),AO22)</f>
        <v>#VALUE!</v>
      </c>
      <c r="BI22" s="167" t="e">
        <f t="shared" ref="BI22:BI23" si="132">IF($AE22&gt;0,$AE22*$AB$1*$AD$1*(1+$AG$1*(20/$AD$1)/732),$AE$1*W22)</f>
        <v>#VALUE!</v>
      </c>
      <c r="BJ22" s="167" t="e">
        <f t="shared" ref="BJ22:BJ23" si="133">IF($AE22&gt;0,$AE22*$AB$1*$AD$1*(1+$AG$1*(20/$AD$1)/732),+$AE$1*(W22+U22))</f>
        <v>#VALUE!</v>
      </c>
      <c r="BK22" s="167" t="e">
        <f t="shared" ref="BK22:BK23" si="134">IF(E22="Bundled",$AE$1*V22,$AE$1*V22*0.85)</f>
        <v>#VALUE!</v>
      </c>
      <c r="BL22" s="167" t="e">
        <f t="shared" si="117"/>
        <v>#VALUE!</v>
      </c>
      <c r="BM22" s="167" t="e">
        <f>+#REF!*V22</f>
        <v>#REF!</v>
      </c>
      <c r="BN22" s="167" t="e">
        <f t="shared" si="119"/>
        <v>#VALUE!</v>
      </c>
      <c r="BO22" s="167" t="e">
        <f t="shared" si="120"/>
        <v>#VALUE!</v>
      </c>
      <c r="BP22" s="167" t="e">
        <f t="shared" si="121"/>
        <v>#VALUE!</v>
      </c>
      <c r="BQ22" s="167">
        <f t="shared" si="122"/>
        <v>14.36</v>
      </c>
      <c r="BR22" s="167" t="e">
        <f t="shared" si="123"/>
        <v>#VALUE!</v>
      </c>
      <c r="BS22" s="167" t="e">
        <f t="shared" si="124"/>
        <v>#VALUE!</v>
      </c>
      <c r="BT22" s="167" t="e">
        <f>IF(E22="Bundled",+(BD22-#REF!)*V22,(AM22+AN22)-V22*#REF!)</f>
        <v>#VALUE!</v>
      </c>
      <c r="BU22" s="167" t="e">
        <f t="shared" si="126"/>
        <v>#VALUE!</v>
      </c>
      <c r="BV22" s="167" t="e">
        <f t="shared" ref="BV22:BX23" si="135">+BS22/$BR22</f>
        <v>#VALUE!</v>
      </c>
      <c r="BW22" s="167" t="e">
        <f t="shared" si="135"/>
        <v>#VALUE!</v>
      </c>
      <c r="BX22" s="167" t="e">
        <f t="shared" si="135"/>
        <v>#VALUE!</v>
      </c>
    </row>
    <row r="23" spans="1:78" ht="26.1">
      <c r="A23" s="142" t="s">
        <v>48</v>
      </c>
      <c r="B23" s="184" t="s">
        <v>177</v>
      </c>
      <c r="C23" s="145" t="s">
        <v>178</v>
      </c>
      <c r="D23" s="145" t="s">
        <v>169</v>
      </c>
      <c r="E23" s="146" t="s">
        <v>131</v>
      </c>
      <c r="F23" s="190" t="s">
        <v>132</v>
      </c>
      <c r="G23" s="145" t="s">
        <v>133</v>
      </c>
      <c r="H23" s="147" t="str">
        <f t="shared" ref="H23" si="136">IF(F23="Rack","No of Racks",(IF(F23="Space","Sq Ft","U Space")))</f>
        <v>No of Racks</v>
      </c>
      <c r="I23" s="145">
        <v>2</v>
      </c>
      <c r="J23" s="145">
        <v>2</v>
      </c>
      <c r="K23" s="148">
        <f t="shared" si="101"/>
        <v>0</v>
      </c>
      <c r="L23" s="145">
        <v>2</v>
      </c>
      <c r="M23" s="145"/>
      <c r="N23" s="331">
        <v>1840</v>
      </c>
      <c r="O23" s="150" t="str">
        <f t="shared" si="102"/>
        <v>Subscribed</v>
      </c>
      <c r="P23" s="145" t="s">
        <v>123</v>
      </c>
      <c r="Q23" s="146">
        <v>13</v>
      </c>
      <c r="R23" s="327">
        <f>W23</f>
        <v>0</v>
      </c>
      <c r="S23" s="232">
        <f t="shared" si="103"/>
        <v>13</v>
      </c>
      <c r="T23" s="146"/>
      <c r="U23" s="146">
        <f t="shared" si="127"/>
        <v>13</v>
      </c>
      <c r="V23" s="146">
        <f t="shared" si="128"/>
        <v>13</v>
      </c>
      <c r="W23" s="231">
        <f>AD23/31/24</f>
        <v>0</v>
      </c>
      <c r="X23" s="146">
        <f t="shared" si="104"/>
        <v>0</v>
      </c>
      <c r="Y23" s="331">
        <v>283</v>
      </c>
      <c r="Z23" s="153" t="str">
        <f t="shared" si="105"/>
        <v>Bundled</v>
      </c>
      <c r="AA23" s="146">
        <v>1</v>
      </c>
      <c r="AB23" s="146" t="s">
        <v>171</v>
      </c>
      <c r="AC23" s="154">
        <v>0</v>
      </c>
      <c r="AD23" s="146">
        <v>0</v>
      </c>
      <c r="AE23" s="155"/>
      <c r="AF23" s="156"/>
      <c r="AG23" s="146"/>
      <c r="AH23" s="146"/>
      <c r="AI23" s="146">
        <f t="shared" si="107"/>
        <v>0</v>
      </c>
      <c r="AJ23" s="146"/>
      <c r="AK23" s="146"/>
      <c r="AL23" s="149"/>
      <c r="AM23" s="331">
        <f t="shared" si="108"/>
        <v>3680</v>
      </c>
      <c r="AN23" s="331">
        <f t="shared" si="109"/>
        <v>0</v>
      </c>
      <c r="AO23" s="158">
        <f t="shared" si="110"/>
        <v>0</v>
      </c>
      <c r="AP23" s="331">
        <f t="shared" si="111"/>
        <v>0</v>
      </c>
      <c r="AQ23" s="331">
        <v>0</v>
      </c>
      <c r="AR23" s="332">
        <f t="shared" si="112"/>
        <v>3680</v>
      </c>
      <c r="AS23" s="160"/>
      <c r="AT23" s="161"/>
      <c r="AU23" s="162"/>
      <c r="AV23" s="163"/>
      <c r="AW23" s="162"/>
      <c r="AX23" s="164"/>
      <c r="AY23" s="5"/>
      <c r="AZ23" s="165">
        <f t="shared" si="113"/>
        <v>1840</v>
      </c>
      <c r="BA23" s="165">
        <f t="shared" si="114"/>
        <v>283.07692307692309</v>
      </c>
      <c r="BB23" s="165" t="e">
        <f t="shared" si="130"/>
        <v>#VALUE!</v>
      </c>
      <c r="BC23" s="165" t="e">
        <f t="shared" si="130"/>
        <v>#VALUE!</v>
      </c>
      <c r="BD23" s="165" t="e">
        <f t="shared" si="131"/>
        <v>#VALUE!</v>
      </c>
      <c r="BE23" s="165"/>
      <c r="BF23" s="166">
        <f t="shared" si="115"/>
        <v>3680</v>
      </c>
      <c r="BG23" s="166" t="e">
        <f t="shared" si="116"/>
        <v>#VALUE!</v>
      </c>
      <c r="BH23" s="166" t="e">
        <f>IF(E23="Bundled",MIN(V23*$AE$1*(1+#REF!),BF23),AO23)</f>
        <v>#VALUE!</v>
      </c>
      <c r="BI23" s="167" t="e">
        <f t="shared" si="132"/>
        <v>#VALUE!</v>
      </c>
      <c r="BJ23" s="167" t="e">
        <f t="shared" si="133"/>
        <v>#VALUE!</v>
      </c>
      <c r="BK23" s="167" t="e">
        <f t="shared" si="134"/>
        <v>#VALUE!</v>
      </c>
      <c r="BL23" s="167" t="e">
        <f t="shared" si="117"/>
        <v>#VALUE!</v>
      </c>
      <c r="BM23" s="167" t="e">
        <f>+#REF!*V23</f>
        <v>#REF!</v>
      </c>
      <c r="BN23" s="167" t="e">
        <f t="shared" si="119"/>
        <v>#VALUE!</v>
      </c>
      <c r="BO23" s="167" t="e">
        <f t="shared" si="120"/>
        <v>#VALUE!</v>
      </c>
      <c r="BP23" s="167" t="e">
        <f t="shared" si="121"/>
        <v>#VALUE!</v>
      </c>
      <c r="BQ23" s="167">
        <f t="shared" si="122"/>
        <v>13</v>
      </c>
      <c r="BR23" s="167" t="e">
        <f t="shared" si="123"/>
        <v>#VALUE!</v>
      </c>
      <c r="BS23" s="167" t="e">
        <f t="shared" si="124"/>
        <v>#VALUE!</v>
      </c>
      <c r="BT23" s="167" t="e">
        <f>IF(E23="Bundled",+(BD23-#REF!)*V23,(AM23+AN23)-V23*#REF!)</f>
        <v>#VALUE!</v>
      </c>
      <c r="BU23" s="167" t="e">
        <f t="shared" si="126"/>
        <v>#VALUE!</v>
      </c>
      <c r="BV23" s="167" t="e">
        <f t="shared" si="135"/>
        <v>#VALUE!</v>
      </c>
      <c r="BW23" s="167" t="e">
        <f t="shared" si="135"/>
        <v>#VALUE!</v>
      </c>
      <c r="BX23" s="167" t="e">
        <f t="shared" si="135"/>
        <v>#VALUE!</v>
      </c>
    </row>
    <row r="24" spans="1:78" s="16" customFormat="1" ht="51.95">
      <c r="A24" s="142" t="s">
        <v>45</v>
      </c>
      <c r="B24" s="178" t="s">
        <v>179</v>
      </c>
      <c r="C24" s="168" t="s">
        <v>180</v>
      </c>
      <c r="D24" s="145" t="s">
        <v>130</v>
      </c>
      <c r="E24" s="146" t="s">
        <v>170</v>
      </c>
      <c r="F24" s="190" t="s">
        <v>132</v>
      </c>
      <c r="G24" s="145" t="s">
        <v>133</v>
      </c>
      <c r="H24" s="147" t="str">
        <f t="shared" ref="H24" si="137">IF(F24="Rack","No of Racks",(IF(F24="Space","Sq Ft","U Space")))</f>
        <v>No of Racks</v>
      </c>
      <c r="I24" s="145">
        <v>1</v>
      </c>
      <c r="J24" s="145">
        <v>1</v>
      </c>
      <c r="K24" s="148">
        <f t="shared" ref="K24" si="138">I24-J24</f>
        <v>0</v>
      </c>
      <c r="L24" s="145">
        <v>1</v>
      </c>
      <c r="M24" s="145"/>
      <c r="N24" s="149">
        <f>(360000)/12</f>
        <v>30000</v>
      </c>
      <c r="O24" s="150" t="str">
        <f t="shared" ref="O24" si="139">D24</f>
        <v>Rated</v>
      </c>
      <c r="P24" s="145" t="s">
        <v>134</v>
      </c>
      <c r="Q24" s="146">
        <v>9</v>
      </c>
      <c r="R24" s="151">
        <v>9</v>
      </c>
      <c r="S24" s="232">
        <f t="shared" ref="S24" si="140">Q24-R24</f>
        <v>0</v>
      </c>
      <c r="T24" s="146"/>
      <c r="U24" s="146">
        <f t="shared" ref="U24" si="141">IF(S24&lt;=0,0,(IF(O24="Rated",(S24+T24)*$V$1,(S24+T24))))</f>
        <v>0</v>
      </c>
      <c r="V24" s="146" t="e">
        <f t="shared" ref="V24" si="142">IF(O24="Rated",Q24*$V$1,Q24)</f>
        <v>#VALUE!</v>
      </c>
      <c r="W24" s="231">
        <f>AD24/31/24</f>
        <v>0.81201612903225806</v>
      </c>
      <c r="X24" s="146">
        <f t="shared" ref="X24" si="143">IF((S24*-1)&gt;0, (S24*-1), 0)</f>
        <v>0</v>
      </c>
      <c r="Y24" s="152">
        <v>0</v>
      </c>
      <c r="Z24" s="153" t="str">
        <f t="shared" ref="Z24" si="144">E24</f>
        <v>Metered</v>
      </c>
      <c r="AA24" s="146">
        <v>1</v>
      </c>
      <c r="AB24" s="146" t="s">
        <v>171</v>
      </c>
      <c r="AC24" s="154">
        <v>17</v>
      </c>
      <c r="AD24" s="146">
        <v>604.14</v>
      </c>
      <c r="AE24" s="155"/>
      <c r="AF24" s="156" t="str">
        <f t="shared" ref="AF24" si="145">IF(AE24="No of Seats","No of Seats",(IF(AE24="Space","Sq Ft","")))</f>
        <v/>
      </c>
      <c r="AG24" s="146"/>
      <c r="AH24" s="146"/>
      <c r="AI24" s="146">
        <f t="shared" ref="AI24" si="146">AG24-AH24</f>
        <v>0</v>
      </c>
      <c r="AJ24" s="146"/>
      <c r="AK24" s="146"/>
      <c r="AL24" s="149"/>
      <c r="AM24" s="157">
        <f t="shared" ref="AM24" si="147">N24*L24</f>
        <v>30000</v>
      </c>
      <c r="AN24" s="157">
        <f t="shared" ref="AN24" si="148">Y24*X24</f>
        <v>0</v>
      </c>
      <c r="AO24" s="158">
        <f t="shared" ref="AO24" si="149">AD24*AC24*AA24</f>
        <v>10270.379999999999</v>
      </c>
      <c r="AP24" s="157">
        <f t="shared" ref="AP24" si="150">AL24*AJ24</f>
        <v>0</v>
      </c>
      <c r="AQ24" s="159">
        <f>600000/12</f>
        <v>50000</v>
      </c>
      <c r="AR24" s="160">
        <f t="shared" ref="AR24" si="151">SUBTOTAL(9,AM24:AQ24)</f>
        <v>90270.38</v>
      </c>
      <c r="AS24" s="160"/>
      <c r="AT24" s="161" t="s">
        <v>181</v>
      </c>
      <c r="AU24" s="162"/>
      <c r="AV24" s="163"/>
      <c r="AW24" s="162"/>
      <c r="AX24" s="164"/>
      <c r="AZ24" s="165">
        <f t="shared" ref="AZ24" si="152">IF(F24="Rack",AR24/I24,0)+IF(F24="U Space",AR24*40/I24,0)+IF(F24="Space",AR24*30/I24,0)</f>
        <v>90270.38</v>
      </c>
      <c r="BA24" s="165" t="e">
        <f t="shared" ref="BA24" si="153">+AR24/V24</f>
        <v>#VALUE!</v>
      </c>
      <c r="BB24" s="165" t="e">
        <f t="shared" ref="BB24:BC26" si="154">+($AM24+$AN24+$AO24-BI24)/$V24</f>
        <v>#VALUE!</v>
      </c>
      <c r="BC24" s="165" t="e">
        <f t="shared" si="154"/>
        <v>#VALUE!</v>
      </c>
      <c r="BD24" s="165" t="e">
        <f>+($AM24+$AN24+IF(E24="Bundled",0,V24*0.85*AA24*AC24*30.5*24)-BK24)/$V24</f>
        <v>#VALUE!</v>
      </c>
      <c r="BE24" s="165"/>
      <c r="BF24" s="166">
        <f t="shared" ref="BF24" si="155">+AM24+AN24+AO24</f>
        <v>40270.379999999997</v>
      </c>
      <c r="BG24" s="166">
        <f t="shared" ref="BG24" si="156">+BF24-BH24</f>
        <v>30000</v>
      </c>
      <c r="BH24" s="166">
        <f>IF(E24="Bundled",MIN(V24*$AE$1*(1+#REF!),BF24),AO24)</f>
        <v>10270.379999999999</v>
      </c>
      <c r="BI24" s="167" t="e">
        <f>IF($AD24&gt;0,$AD24*$AB$1*$AD$1*(1+$AG$1*(20/$AD$1)/732),$AE$1*W24)</f>
        <v>#VALUE!</v>
      </c>
      <c r="BJ24" s="167" t="e">
        <f>IF($AD24&gt;0,$AD24*$AB$1*$AD$1*(1+$AG$1*(20/$AD$1)/732),+$AE$1*(W24+U24))</f>
        <v>#VALUE!</v>
      </c>
      <c r="BK24" s="167" t="e">
        <f t="shared" ref="BK24" si="157">IF(E24="Bundled",$AE$1*V24,$AE$1*V24*0.85)</f>
        <v>#VALUE!</v>
      </c>
      <c r="BL24" s="167" t="e">
        <f t="shared" ref="BL24" si="158">+BB24*V24</f>
        <v>#VALUE!</v>
      </c>
      <c r="BM24" s="167" t="e">
        <f>+#REF!*V24</f>
        <v>#REF!</v>
      </c>
      <c r="BN24" s="167" t="e">
        <f t="shared" ref="BN24" si="159">+BG24-BM24</f>
        <v>#REF!</v>
      </c>
      <c r="BO24" s="167" t="e">
        <f t="shared" ref="BO24" si="160">+BH24-BI24</f>
        <v>#VALUE!</v>
      </c>
      <c r="BP24" s="167" t="e">
        <f t="shared" ref="BP24" si="161">+BN24+BO24</f>
        <v>#REF!</v>
      </c>
      <c r="BQ24" s="167" t="e">
        <f t="shared" ref="BQ24" si="162">+V24</f>
        <v>#VALUE!</v>
      </c>
      <c r="BR24" s="167" t="e">
        <f t="shared" ref="BR24" si="163">+BB24</f>
        <v>#VALUE!</v>
      </c>
      <c r="BS24" s="167" t="e">
        <f t="shared" ref="BS24" si="164">IF(E24="Bundled",BK24-BI24,AO24-BI24)</f>
        <v>#VALUE!</v>
      </c>
      <c r="BT24" s="167" t="e">
        <f>IF(E24="Bundled",+(BD24-#REF!)*V24,(AM24+AN24)-V24*#REF!)</f>
        <v>#VALUE!</v>
      </c>
      <c r="BU24" s="167" t="e">
        <f t="shared" ref="BU24" si="165">+BS24+BT24</f>
        <v>#VALUE!</v>
      </c>
      <c r="BV24" s="167" t="e">
        <f t="shared" ref="BV24:BX25" si="166">+BS24/$BQ24</f>
        <v>#VALUE!</v>
      </c>
      <c r="BW24" s="167" t="e">
        <f t="shared" si="166"/>
        <v>#VALUE!</v>
      </c>
      <c r="BX24" s="167" t="e">
        <f t="shared" si="166"/>
        <v>#VALUE!</v>
      </c>
    </row>
    <row r="25" spans="1:78" ht="51.95">
      <c r="A25" s="202" t="s">
        <v>45</v>
      </c>
      <c r="B25" s="185" t="s">
        <v>182</v>
      </c>
      <c r="C25" s="168" t="s">
        <v>180</v>
      </c>
      <c r="D25" s="145" t="s">
        <v>130</v>
      </c>
      <c r="E25" s="146" t="s">
        <v>170</v>
      </c>
      <c r="F25" s="191" t="s">
        <v>132</v>
      </c>
      <c r="G25" s="204" t="s">
        <v>133</v>
      </c>
      <c r="H25" s="206" t="str">
        <f t="shared" ref="H25" si="167">IF(F25="Rack","No of Racks",(IF(F25="Space","Sq Ft","U Space")))</f>
        <v>No of Racks</v>
      </c>
      <c r="I25" s="204">
        <v>1</v>
      </c>
      <c r="J25" s="204">
        <v>1</v>
      </c>
      <c r="K25" s="207">
        <v>0</v>
      </c>
      <c r="L25" s="204">
        <v>1</v>
      </c>
      <c r="M25" s="204"/>
      <c r="N25" s="208">
        <f>(750000+320000+225000)/12/3</f>
        <v>35972.222222222226</v>
      </c>
      <c r="O25" s="209" t="str">
        <f t="shared" ref="O25" si="168">D25</f>
        <v>Rated</v>
      </c>
      <c r="P25" s="204" t="s">
        <v>134</v>
      </c>
      <c r="Q25" s="205">
        <v>8</v>
      </c>
      <c r="R25" s="211">
        <v>10.62</v>
      </c>
      <c r="S25" s="212">
        <f t="shared" ref="S25" si="169">Q25-R25</f>
        <v>-2.6199999999999992</v>
      </c>
      <c r="T25" s="205"/>
      <c r="U25" s="205">
        <f t="shared" ref="U25" si="170">IF(S25&lt;=0,0,(IF(O25="Rated",(S25+T25)*$V$1,(S25+T25))))</f>
        <v>0</v>
      </c>
      <c r="V25" s="205" t="e">
        <f t="shared" ref="V25" si="171">IF(O25="Rated",Q25*$V$1,Q25)</f>
        <v>#VALUE!</v>
      </c>
      <c r="W25" s="325">
        <f>AD25/31/24</f>
        <v>4.4697849462365591</v>
      </c>
      <c r="X25" s="205">
        <f t="shared" ref="X25" si="172">IF((S25*-1)&gt;0, (S25*-1), 0)</f>
        <v>2.6199999999999992</v>
      </c>
      <c r="Y25" s="213">
        <f>90000/12</f>
        <v>7500</v>
      </c>
      <c r="Z25" s="214" t="str">
        <f t="shared" ref="Z25" si="173">E25</f>
        <v>Metered</v>
      </c>
      <c r="AA25" s="205">
        <v>1</v>
      </c>
      <c r="AB25" s="205" t="s">
        <v>171</v>
      </c>
      <c r="AC25" s="215">
        <v>15.75</v>
      </c>
      <c r="AD25" s="205">
        <v>3325.52</v>
      </c>
      <c r="AE25" s="216"/>
      <c r="AF25" s="217" t="str">
        <f t="shared" ref="AF25" si="174">IF(AE25="No of Seats","No of Seats",(IF(AE25="Space","Sq Ft","")))</f>
        <v/>
      </c>
      <c r="AG25" s="205"/>
      <c r="AH25" s="205"/>
      <c r="AI25" s="205">
        <f t="shared" ref="AI25" si="175">AG25-AH25</f>
        <v>0</v>
      </c>
      <c r="AJ25" s="205"/>
      <c r="AK25" s="205"/>
      <c r="AL25" s="208"/>
      <c r="AM25" s="218">
        <f t="shared" ref="AM25" si="176">N25*L25</f>
        <v>35972.222222222226</v>
      </c>
      <c r="AN25" s="218">
        <f t="shared" ref="AN25" si="177">Y25*X25</f>
        <v>19649.999999999993</v>
      </c>
      <c r="AO25" s="219">
        <f t="shared" ref="AO25" si="178">AD25*AC25*AA25</f>
        <v>52376.94</v>
      </c>
      <c r="AP25" s="218">
        <f t="shared" ref="AP25" si="179">AL25*AJ25</f>
        <v>0</v>
      </c>
      <c r="AQ25" s="220">
        <f>600000/12</f>
        <v>50000</v>
      </c>
      <c r="AR25" s="221">
        <f t="shared" ref="AR25" si="180">SUBTOTAL(9,AM25:AQ25)</f>
        <v>157999.16222222222</v>
      </c>
      <c r="AS25" s="221"/>
      <c r="AT25" s="326" t="s">
        <v>181</v>
      </c>
      <c r="AU25" s="333"/>
      <c r="AV25" s="334"/>
      <c r="AW25" s="333"/>
      <c r="AX25" s="335"/>
      <c r="AY25" s="16"/>
      <c r="AZ25" s="226">
        <f t="shared" ref="AZ25" si="181">IF(F25="Rack",AR25/I25,0)+IF(F25="U Space",AR25*40/I25,0)+IF(F25="Space",AR25*30/I25,0)</f>
        <v>157999.16222222222</v>
      </c>
      <c r="BA25" s="226" t="e">
        <f t="shared" ref="BA25" si="182">+AR25/V25</f>
        <v>#VALUE!</v>
      </c>
      <c r="BB25" s="226" t="e">
        <f t="shared" si="154"/>
        <v>#VALUE!</v>
      </c>
      <c r="BC25" s="226" t="e">
        <f t="shared" si="154"/>
        <v>#VALUE!</v>
      </c>
      <c r="BD25" s="226" t="e">
        <f>+($AM25+$AN25+IF(E25="Bundled",0,V25*0.85*AA25*AC25*30.5*24)-BK25)/$V25</f>
        <v>#VALUE!</v>
      </c>
      <c r="BE25" s="226"/>
      <c r="BF25" s="227">
        <f t="shared" ref="BF25" si="183">+AM25+AN25+AO25</f>
        <v>107999.16222222222</v>
      </c>
      <c r="BG25" s="227">
        <f t="shared" ref="BG25" si="184">+BF25-BH25</f>
        <v>55622.222222222219</v>
      </c>
      <c r="BH25" s="227">
        <f>IF(E25="Bundled",MIN(V25*$AE$1*(1+#REF!),BF25),AO25)</f>
        <v>52376.94</v>
      </c>
      <c r="BI25" s="228" t="e">
        <f>IF($AD25&gt;0,$AD25*$AB$1*$AD$1*(1+$AG$1*(20/$AD$1)/732),$AE$1*W25)</f>
        <v>#VALUE!</v>
      </c>
      <c r="BJ25" s="228" t="e">
        <f>IF($AD25&gt;0,$AD25*$AB$1*$AD$1*(1+$AG$1*(20/$AD$1)/732),+$AE$1*(W25+U25))</f>
        <v>#VALUE!</v>
      </c>
      <c r="BK25" s="228" t="e">
        <f t="shared" ref="BK25" si="185">IF(E25="Bundled",$AE$1*V25,$AE$1*V25*0.85)</f>
        <v>#VALUE!</v>
      </c>
      <c r="BL25" s="228" t="e">
        <f t="shared" ref="BL25" si="186">+BB25*V25</f>
        <v>#VALUE!</v>
      </c>
      <c r="BM25" s="228" t="e">
        <f>+#REF!*V25</f>
        <v>#REF!</v>
      </c>
      <c r="BN25" s="228" t="e">
        <f t="shared" ref="BN25" si="187">+BG25-BM25</f>
        <v>#REF!</v>
      </c>
      <c r="BO25" s="228" t="e">
        <f t="shared" ref="BO25" si="188">+BH25-BI25</f>
        <v>#VALUE!</v>
      </c>
      <c r="BP25" s="228" t="e">
        <f t="shared" ref="BP25" si="189">+BN25+BO25</f>
        <v>#REF!</v>
      </c>
      <c r="BQ25" s="228" t="e">
        <f t="shared" ref="BQ25" si="190">+V25</f>
        <v>#VALUE!</v>
      </c>
      <c r="BR25" s="228" t="e">
        <f t="shared" ref="BR25" si="191">+BB25</f>
        <v>#VALUE!</v>
      </c>
      <c r="BS25" s="228" t="e">
        <f t="shared" ref="BS25" si="192">IF(E25="Bundled",BK25-BI25,AO25-BI25)</f>
        <v>#VALUE!</v>
      </c>
      <c r="BT25" s="228" t="e">
        <f>IF(E25="Bundled",+(BD25-#REF!)*V25,(AM25+AN25)-V25*#REF!)</f>
        <v>#VALUE!</v>
      </c>
      <c r="BU25" s="228" t="e">
        <f t="shared" ref="BU25" si="193">+BS25+BT25</f>
        <v>#VALUE!</v>
      </c>
      <c r="BV25" s="228" t="e">
        <f t="shared" si="166"/>
        <v>#VALUE!</v>
      </c>
      <c r="BW25" s="228" t="e">
        <f t="shared" si="166"/>
        <v>#VALUE!</v>
      </c>
      <c r="BX25" s="228" t="e">
        <f t="shared" si="166"/>
        <v>#VALUE!</v>
      </c>
    </row>
    <row r="26" spans="1:78" s="16" customFormat="1" ht="39">
      <c r="A26" s="238" t="s">
        <v>49</v>
      </c>
      <c r="B26" s="186" t="s">
        <v>183</v>
      </c>
      <c r="C26" s="168" t="s">
        <v>184</v>
      </c>
      <c r="D26" s="145" t="s">
        <v>169</v>
      </c>
      <c r="E26" s="146" t="s">
        <v>170</v>
      </c>
      <c r="F26" s="190" t="s">
        <v>132</v>
      </c>
      <c r="G26" s="145" t="s">
        <v>185</v>
      </c>
      <c r="H26" s="147" t="str">
        <f>IF(F26="Rack","No of Racks",(IF(F26="Space","Sq Ft","U Space")))</f>
        <v>No of Racks</v>
      </c>
      <c r="I26" s="145">
        <v>4</v>
      </c>
      <c r="J26" s="145">
        <v>4</v>
      </c>
      <c r="K26" s="148">
        <f>I26-J26</f>
        <v>0</v>
      </c>
      <c r="L26" s="145">
        <v>4</v>
      </c>
      <c r="M26" s="145"/>
      <c r="N26" s="149">
        <f>(0)/12</f>
        <v>0</v>
      </c>
      <c r="O26" s="150" t="str">
        <f>D26</f>
        <v>Subscribed</v>
      </c>
      <c r="P26" s="145" t="s">
        <v>123</v>
      </c>
      <c r="Q26" s="146">
        <v>30</v>
      </c>
      <c r="R26" s="327">
        <f>W26</f>
        <v>12.16693548387097</v>
      </c>
      <c r="S26" s="232">
        <f>Q26-R26</f>
        <v>17.833064516129028</v>
      </c>
      <c r="T26" s="146"/>
      <c r="U26" s="146">
        <f>IF(S26&lt;=0,0,(IF(O26="Rated",(S26+T26)*'Noida-01'!#REF!,(S26+T26))))</f>
        <v>17.833064516129028</v>
      </c>
      <c r="V26" s="146">
        <f>IF(O26="Rated",Q26*'Noida-01'!#REF!,Q26)</f>
        <v>30</v>
      </c>
      <c r="W26" s="231">
        <f>AD26/31/24</f>
        <v>12.16693548387097</v>
      </c>
      <c r="X26" s="146">
        <f>IF((S26*-1)&gt;0, (S26*-1), 0)</f>
        <v>0</v>
      </c>
      <c r="Y26" s="152">
        <f>0/12</f>
        <v>0</v>
      </c>
      <c r="Z26" s="153" t="str">
        <f>E26</f>
        <v>Metered</v>
      </c>
      <c r="AA26" s="146"/>
      <c r="AB26" s="146" t="s">
        <v>171</v>
      </c>
      <c r="AC26" s="154">
        <v>0</v>
      </c>
      <c r="AD26" s="146">
        <v>9052.2000000000007</v>
      </c>
      <c r="AE26" s="155"/>
      <c r="AF26" s="156"/>
      <c r="AG26" s="146"/>
      <c r="AH26" s="146"/>
      <c r="AI26" s="146">
        <f>AG26-AH26</f>
        <v>0</v>
      </c>
      <c r="AJ26" s="146"/>
      <c r="AK26" s="146"/>
      <c r="AL26" s="149">
        <f>(0)/12</f>
        <v>0</v>
      </c>
      <c r="AM26" s="157">
        <f>N26*L26</f>
        <v>0</v>
      </c>
      <c r="AN26" s="157">
        <f>Y26*X26</f>
        <v>0</v>
      </c>
      <c r="AO26" s="158">
        <f>AD26*AC26*AA26</f>
        <v>0</v>
      </c>
      <c r="AP26" s="157">
        <f>AL26*AJ26</f>
        <v>0</v>
      </c>
      <c r="AQ26" s="159">
        <f>0/12</f>
        <v>0</v>
      </c>
      <c r="AR26" s="160">
        <f>SUBTOTAL(9,AM26:AQ26)</f>
        <v>0</v>
      </c>
      <c r="AS26" s="160"/>
      <c r="AT26" s="161"/>
      <c r="AU26" s="162"/>
      <c r="AV26" s="163"/>
      <c r="AW26" s="162"/>
      <c r="AX26" s="229"/>
      <c r="AY26" s="229"/>
      <c r="AZ26" s="165">
        <f>IF(F26="Rack",AR26/I26,0)+IF(F26="U Space",AR26*40/I26,0)+IF(F26="Space",AR26*30/I26,0)</f>
        <v>0</v>
      </c>
      <c r="BA26" s="165">
        <f>+AR26/V26</f>
        <v>0</v>
      </c>
      <c r="BB26" s="165" t="e">
        <f t="shared" si="154"/>
        <v>#REF!</v>
      </c>
      <c r="BC26" s="165" t="e">
        <f t="shared" si="154"/>
        <v>#REF!</v>
      </c>
      <c r="BD26" s="165" t="e">
        <f>+($AM26+$AN26+IF(E26="Bundled",0,V26*0.85*AA26*AC26*30.5*24)-BK26)/$V26</f>
        <v>#REF!</v>
      </c>
      <c r="BE26" s="165"/>
      <c r="BF26" s="166">
        <f>+AM26+AN26+AO26</f>
        <v>0</v>
      </c>
      <c r="BG26" s="166">
        <f>+BF26-BH26</f>
        <v>0</v>
      </c>
      <c r="BH26" s="166">
        <f>IF(E26="Bundled",MIN(V26*'Noida-01'!#REF!*(1+#REF!),BF26),AO26)</f>
        <v>0</v>
      </c>
      <c r="BI26" s="167" t="e">
        <f>IF($AD26&gt;0,$AD26*'Noida-01'!#REF!*'Noida-01'!#REF!*(1+'Noida-01'!#REF!*(20/'Noida-01'!#REF!)/732),'Noida-01'!#REF!*W26)</f>
        <v>#REF!</v>
      </c>
      <c r="BJ26" s="167" t="e">
        <f>IF($AD26&gt;0,$AD26*'Noida-01'!#REF!*'Noida-01'!#REF!*(1+'Noida-01'!#REF!*(20/'Noida-01'!#REF!)/732),+'Noida-01'!#REF!*(W26+U26))</f>
        <v>#REF!</v>
      </c>
      <c r="BK26" s="167" t="e">
        <f>IF(E26="Bundled",'Noida-01'!#REF!*V26,'Noida-01'!#REF!*V26*0.85)</f>
        <v>#REF!</v>
      </c>
      <c r="BL26" s="167" t="e">
        <f>+BB26*V26</f>
        <v>#REF!</v>
      </c>
      <c r="BM26" s="167" t="e">
        <f>+#REF!*V26</f>
        <v>#REF!</v>
      </c>
      <c r="BN26" s="167" t="e">
        <f>+BG26-BM26</f>
        <v>#REF!</v>
      </c>
      <c r="BO26" s="167" t="e">
        <f>+BH26-BI26</f>
        <v>#REF!</v>
      </c>
      <c r="BP26" s="167" t="e">
        <f>+BN26+BO26</f>
        <v>#REF!</v>
      </c>
      <c r="BQ26" s="167">
        <f>+V26</f>
        <v>30</v>
      </c>
      <c r="BR26" s="167" t="e">
        <f>+BB26</f>
        <v>#REF!</v>
      </c>
      <c r="BS26" s="167" t="e">
        <f>IF(E26="Bundled",BK26-BI26,AO26-BI26)</f>
        <v>#REF!</v>
      </c>
      <c r="BT26" s="167" t="e">
        <f>IF(E26="Bundled",+(BD26-#REF!)*V26,(AM26+AN26)-V26*#REF!)</f>
        <v>#REF!</v>
      </c>
      <c r="BU26" s="167" t="e">
        <f>+BS26+BT26</f>
        <v>#REF!</v>
      </c>
      <c r="BV26" s="167" t="e">
        <f t="shared" ref="BV26:BX27" si="194">+BS26/$BQ26</f>
        <v>#REF!</v>
      </c>
      <c r="BW26" s="167" t="e">
        <f t="shared" si="194"/>
        <v>#REF!</v>
      </c>
      <c r="BX26" s="167" t="e">
        <f t="shared" si="194"/>
        <v>#REF!</v>
      </c>
    </row>
    <row r="27" spans="1:78" s="16" customFormat="1">
      <c r="A27" s="202" t="s">
        <v>45</v>
      </c>
      <c r="B27" s="187" t="s">
        <v>186</v>
      </c>
      <c r="C27" s="196" t="s">
        <v>187</v>
      </c>
      <c r="D27" s="145" t="s">
        <v>130</v>
      </c>
      <c r="E27" s="146" t="s">
        <v>131</v>
      </c>
      <c r="F27" s="191" t="s">
        <v>132</v>
      </c>
      <c r="G27" s="204" t="s">
        <v>133</v>
      </c>
      <c r="H27" s="206" t="str">
        <f>IF(F27="Rack","No of Racks",(IF(F27="Space","Sq Ft","U Space")))</f>
        <v>No of Racks</v>
      </c>
      <c r="I27" s="204">
        <v>1</v>
      </c>
      <c r="J27" s="204">
        <v>1</v>
      </c>
      <c r="K27" s="207">
        <f>I27-J27</f>
        <v>0</v>
      </c>
      <c r="L27" s="204">
        <v>1</v>
      </c>
      <c r="M27" s="204"/>
      <c r="N27" s="208">
        <f>(13000*70)/12</f>
        <v>75833.333333333328</v>
      </c>
      <c r="O27" s="209" t="str">
        <f>D27</f>
        <v>Rated</v>
      </c>
      <c r="P27" s="204" t="s">
        <v>134</v>
      </c>
      <c r="Q27" s="205">
        <v>5</v>
      </c>
      <c r="R27" s="211">
        <v>19.62</v>
      </c>
      <c r="S27" s="212">
        <f>Q27-R27</f>
        <v>-14.620000000000001</v>
      </c>
      <c r="T27" s="205"/>
      <c r="U27" s="205">
        <f>IF(S27&lt;=0,0,(IF(O27="Rated",(S27+T27)*'Noida-01'!#REF!,(S27+T27))))</f>
        <v>0</v>
      </c>
      <c r="V27" s="205" t="e">
        <f>IF(O27="Rated",Q27*'Noida-01'!#REF!,Q27)</f>
        <v>#REF!</v>
      </c>
      <c r="W27" s="325">
        <v>5.49</v>
      </c>
      <c r="X27" s="205">
        <f>IF((S27*-1)&gt;0, (S27*-1), 0)</f>
        <v>14.620000000000001</v>
      </c>
      <c r="Y27" s="213">
        <f>0/12</f>
        <v>0</v>
      </c>
      <c r="Z27" s="214" t="str">
        <f>E27</f>
        <v>Bundled</v>
      </c>
      <c r="AA27" s="205"/>
      <c r="AB27" s="205"/>
      <c r="AC27" s="215"/>
      <c r="AD27" s="205"/>
      <c r="AE27" s="216"/>
      <c r="AF27" s="217"/>
      <c r="AG27" s="205"/>
      <c r="AH27" s="205"/>
      <c r="AI27" s="205">
        <f>AG27-AH27</f>
        <v>0</v>
      </c>
      <c r="AJ27" s="205"/>
      <c r="AK27" s="205"/>
      <c r="AL27" s="208">
        <f>(0)/12</f>
        <v>0</v>
      </c>
      <c r="AM27" s="218">
        <f>N27*L27</f>
        <v>75833.333333333328</v>
      </c>
      <c r="AN27" s="218">
        <f>Y27*X27</f>
        <v>0</v>
      </c>
      <c r="AO27" s="219">
        <f>AD27*AC27*AA27</f>
        <v>0</v>
      </c>
      <c r="AP27" s="218">
        <f>AL27*AJ27</f>
        <v>0</v>
      </c>
      <c r="AQ27" s="220">
        <f>((19700+2850)*70)/12</f>
        <v>131541.66666666666</v>
      </c>
      <c r="AR27" s="221">
        <f>SUBTOTAL(9,AM27:AQ27)</f>
        <v>207375</v>
      </c>
      <c r="AS27" s="221"/>
      <c r="AT27" s="326">
        <v>121000513</v>
      </c>
      <c r="AU27" s="333">
        <v>43700</v>
      </c>
      <c r="AV27" s="334">
        <v>3</v>
      </c>
      <c r="AW27" s="333">
        <v>44795</v>
      </c>
      <c r="AX27" s="335"/>
      <c r="AY27" s="5"/>
      <c r="AZ27" s="226">
        <f>IF(F27="Rack",AR27/I27,0)+IF(F27="U Space",AR27*40/I27,0)+IF(F27="Space",AR27*30/I27,0)</f>
        <v>207375</v>
      </c>
      <c r="BA27" s="226" t="e">
        <f>+AR27/V27</f>
        <v>#REF!</v>
      </c>
      <c r="BB27" s="226" t="e">
        <f>+($AM27+$AN27+$AO27-BI27)/$V27</f>
        <v>#REF!</v>
      </c>
      <c r="BC27" s="226" t="e">
        <f>+($AM27+$AN27+$AO27-BJ27)/$V27</f>
        <v>#REF!</v>
      </c>
      <c r="BD27" s="226" t="e">
        <f>+($AM27+$AN27+IF(E27="Bundled",0,V27*0.85*AA27*AC27*30.5*24)-BK27)/$V27</f>
        <v>#REF!</v>
      </c>
      <c r="BE27" s="226"/>
      <c r="BF27" s="227">
        <f>+AM27+AN27+AO27</f>
        <v>75833.333333333328</v>
      </c>
      <c r="BG27" s="227" t="e">
        <f>+BF27-BH27</f>
        <v>#REF!</v>
      </c>
      <c r="BH27" s="227" t="e">
        <f>IF(E27="Bundled",MIN(V27*'Noida-01'!#REF!*(1+#REF!),BF27),AO27)</f>
        <v>#REF!</v>
      </c>
      <c r="BI27" s="228" t="e">
        <f>IF($AD27&gt;0,$AD27*'Noida-01'!#REF!*'Noida-01'!#REF!*(1+'Noida-01'!#REF!*(20/'Noida-01'!#REF!)/732),'Noida-01'!#REF!*W27)</f>
        <v>#REF!</v>
      </c>
      <c r="BJ27" s="228" t="e">
        <f>IF($AD27&gt;0,$AD27*'Noida-01'!#REF!*'Noida-01'!#REF!*(1+'Noida-01'!#REF!*(20/'Noida-01'!#REF!)/732),+'Noida-01'!#REF!*(W27+U27))</f>
        <v>#REF!</v>
      </c>
      <c r="BK27" s="228" t="e">
        <f>IF(E27="Bundled",'Noida-01'!#REF!*V27,'Noida-01'!#REF!*V27*0.85)</f>
        <v>#REF!</v>
      </c>
      <c r="BL27" s="228" t="e">
        <f>+BB27*V27</f>
        <v>#REF!</v>
      </c>
      <c r="BM27" s="228" t="e">
        <f>+#REF!*V27</f>
        <v>#REF!</v>
      </c>
      <c r="BN27" s="228" t="e">
        <f>+BG27-BM27</f>
        <v>#REF!</v>
      </c>
      <c r="BO27" s="228" t="e">
        <f>+BH27-BI27</f>
        <v>#REF!</v>
      </c>
      <c r="BP27" s="228" t="e">
        <f>+BN27+BO27</f>
        <v>#REF!</v>
      </c>
      <c r="BQ27" s="228" t="e">
        <f>+V27</f>
        <v>#REF!</v>
      </c>
      <c r="BR27" s="228" t="e">
        <f>+BB27</f>
        <v>#REF!</v>
      </c>
      <c r="BS27" s="228" t="e">
        <f>IF(E27="Bundled",BK27-BI27,AO27-BI27)</f>
        <v>#REF!</v>
      </c>
      <c r="BT27" s="228" t="e">
        <f>IF(E27="Bundled",+(BD27-#REF!)*V27,(AM27+AN27)-V27*#REF!)</f>
        <v>#REF!</v>
      </c>
      <c r="BU27" s="228" t="e">
        <f>+BS27+BT27</f>
        <v>#REF!</v>
      </c>
      <c r="BV27" s="228" t="e">
        <f t="shared" si="194"/>
        <v>#REF!</v>
      </c>
      <c r="BW27" s="228" t="e">
        <f t="shared" si="194"/>
        <v>#REF!</v>
      </c>
      <c r="BX27" s="228" t="e">
        <f t="shared" si="194"/>
        <v>#REF!</v>
      </c>
    </row>
    <row r="28" spans="1:78" s="16" customFormat="1" ht="26.1">
      <c r="A28" s="238" t="s">
        <v>49</v>
      </c>
      <c r="B28" s="180" t="s">
        <v>188</v>
      </c>
      <c r="C28" s="199" t="s">
        <v>189</v>
      </c>
      <c r="D28" s="145" t="s">
        <v>169</v>
      </c>
      <c r="E28" s="146" t="s">
        <v>170</v>
      </c>
      <c r="F28" s="190" t="s">
        <v>132</v>
      </c>
      <c r="G28" s="145" t="s">
        <v>133</v>
      </c>
      <c r="H28" s="147" t="str">
        <f t="shared" ref="H28" si="195">IF(F28="Rack","No of Racks",(IF(F28="Space","Sq Ft","U Space")))</f>
        <v>No of Racks</v>
      </c>
      <c r="I28" s="145">
        <v>1</v>
      </c>
      <c r="J28" s="145">
        <v>1</v>
      </c>
      <c r="K28" s="148">
        <f t="shared" ref="K28" si="196">I28-J28</f>
        <v>0</v>
      </c>
      <c r="L28" s="145">
        <v>1</v>
      </c>
      <c r="M28" s="145"/>
      <c r="N28" s="149"/>
      <c r="O28" s="150" t="str">
        <f t="shared" ref="O28" si="197">D28</f>
        <v>Subscribed</v>
      </c>
      <c r="P28" s="145" t="s">
        <v>123</v>
      </c>
      <c r="Q28" s="146">
        <v>2.5</v>
      </c>
      <c r="R28" s="327"/>
      <c r="S28" s="232">
        <f t="shared" ref="S28" si="198">Q28-R28</f>
        <v>2.5</v>
      </c>
      <c r="T28" s="146"/>
      <c r="U28" s="146">
        <f t="shared" ref="U28" si="199">IF(S28&lt;=0,0,(IF(O28="Rated",(S28+T28)*$V$1,(S28+T28))))</f>
        <v>2.5</v>
      </c>
      <c r="V28" s="146">
        <f t="shared" ref="V28" si="200">IF(O28="Rated",Q28*$V$1,Q28)</f>
        <v>2.5</v>
      </c>
      <c r="W28" s="231">
        <f>AD28/31/24</f>
        <v>0</v>
      </c>
      <c r="X28" s="146">
        <f t="shared" ref="X28" si="201">IF((S28*-1)&gt;0, (S28*-1), 0)</f>
        <v>0</v>
      </c>
      <c r="Y28" s="152"/>
      <c r="Z28" s="153" t="str">
        <f t="shared" ref="Z28" si="202">E28</f>
        <v>Metered</v>
      </c>
      <c r="AA28" s="146"/>
      <c r="AB28" s="146"/>
      <c r="AC28" s="154"/>
      <c r="AD28" s="146"/>
      <c r="AE28" s="155"/>
      <c r="AF28" s="156"/>
      <c r="AG28" s="146"/>
      <c r="AH28" s="146"/>
      <c r="AI28" s="146"/>
      <c r="AJ28" s="146"/>
      <c r="AK28" s="146"/>
      <c r="AL28" s="149"/>
      <c r="AM28" s="157"/>
      <c r="AN28" s="157"/>
      <c r="AO28" s="158"/>
      <c r="AP28" s="157"/>
      <c r="AQ28" s="159"/>
      <c r="AR28" s="160"/>
      <c r="AS28" s="160"/>
      <c r="AT28" s="161"/>
      <c r="AU28" s="162"/>
      <c r="AV28" s="163"/>
      <c r="AW28" s="162"/>
      <c r="AX28" s="229"/>
      <c r="AY28" s="229"/>
      <c r="AZ28" s="165"/>
      <c r="BA28" s="165"/>
      <c r="BB28" s="165"/>
      <c r="BC28" s="165"/>
      <c r="BD28" s="165"/>
      <c r="BE28" s="165"/>
      <c r="BF28" s="166"/>
      <c r="BG28" s="166"/>
      <c r="BH28" s="166"/>
      <c r="BI28" s="167"/>
      <c r="BJ28" s="167"/>
      <c r="BK28" s="167"/>
      <c r="BL28" s="167"/>
      <c r="BM28" s="167"/>
      <c r="BN28" s="167"/>
      <c r="BO28" s="167"/>
      <c r="BP28" s="167"/>
      <c r="BQ28" s="167"/>
      <c r="BR28" s="167"/>
      <c r="BS28" s="167"/>
      <c r="BT28" s="167"/>
      <c r="BU28" s="167"/>
      <c r="BV28" s="167"/>
      <c r="BW28" s="167"/>
      <c r="BX28" s="238"/>
    </row>
    <row r="29" spans="1:78" s="16" customFormat="1" ht="26.1">
      <c r="A29" s="229" t="s">
        <v>47</v>
      </c>
      <c r="B29" s="188" t="s">
        <v>190</v>
      </c>
      <c r="C29" s="168" t="s">
        <v>191</v>
      </c>
      <c r="D29" s="145" t="s">
        <v>130</v>
      </c>
      <c r="E29" s="146" t="s">
        <v>131</v>
      </c>
      <c r="F29" s="190" t="s">
        <v>144</v>
      </c>
      <c r="G29" s="145" t="s">
        <v>133</v>
      </c>
      <c r="H29" s="147" t="str">
        <f t="shared" ref="H29" si="203">IF(F29="Rack","No of Racks",(IF(F29="Space","Sq Ft","U Space")))</f>
        <v>U Space</v>
      </c>
      <c r="I29" s="145">
        <v>1</v>
      </c>
      <c r="J29" s="145">
        <v>1</v>
      </c>
      <c r="K29" s="148">
        <f t="shared" ref="K29" si="204">I29-J29</f>
        <v>0</v>
      </c>
      <c r="L29" s="145">
        <v>1</v>
      </c>
      <c r="M29" s="145"/>
      <c r="N29" s="149">
        <f>55000/12</f>
        <v>4583.333333333333</v>
      </c>
      <c r="O29" s="150" t="str">
        <f t="shared" ref="O29" si="205">D29</f>
        <v>Rated</v>
      </c>
      <c r="P29" s="321" t="s">
        <v>134</v>
      </c>
      <c r="Q29" s="146">
        <v>0.25</v>
      </c>
      <c r="R29" s="151">
        <v>0.26</v>
      </c>
      <c r="S29" s="232">
        <f t="shared" ref="S29" si="206">Q29-R29</f>
        <v>-1.0000000000000009E-2</v>
      </c>
      <c r="T29" s="146"/>
      <c r="U29" s="146">
        <f t="shared" ref="U29" si="207">IF(S29&lt;=0,0,(IF(O29="Rated",(S29+T29)*$V$1,(S29+T29))))</f>
        <v>0</v>
      </c>
      <c r="V29" s="146" t="e">
        <f t="shared" ref="V29" si="208">IF(O29="Rated",Q29*$V$1,Q29)</f>
        <v>#VALUE!</v>
      </c>
      <c r="W29"/>
      <c r="X29" s="146">
        <f t="shared" ref="X29" si="209">IF((S29*-1)&gt;0, (S29*-1), 0)</f>
        <v>1.0000000000000009E-2</v>
      </c>
      <c r="Y29" s="152">
        <f>90000/12</f>
        <v>7500</v>
      </c>
      <c r="Z29" s="153" t="str">
        <f t="shared" ref="Z29" si="210">E29</f>
        <v>Bundled</v>
      </c>
      <c r="AA29" s="146"/>
      <c r="AB29" s="146"/>
      <c r="AC29" s="154"/>
      <c r="AD29" s="146"/>
      <c r="AE29" s="155"/>
      <c r="AF29" s="156" t="str">
        <f t="shared" ref="AF29" si="211">IF(AE29="No of Seats","No of Seats",(IF(AE29="Space","Sq Ft","")))</f>
        <v/>
      </c>
      <c r="AG29" s="146"/>
      <c r="AH29" s="146"/>
      <c r="AI29" s="146">
        <f t="shared" ref="AI29" si="212">AG29-AH29</f>
        <v>0</v>
      </c>
      <c r="AJ29" s="146"/>
      <c r="AK29" s="146"/>
      <c r="AL29" s="149"/>
      <c r="AM29" s="157">
        <f t="shared" ref="AM29" si="213">N29*L29</f>
        <v>4583.333333333333</v>
      </c>
      <c r="AN29" s="157">
        <f t="shared" ref="AN29" si="214">Y29*X29</f>
        <v>75.000000000000071</v>
      </c>
      <c r="AO29" s="158">
        <f t="shared" ref="AO29" si="215">AD29*AC29*AA29</f>
        <v>0</v>
      </c>
      <c r="AP29" s="157">
        <f t="shared" ref="AP29" si="216">AL29*AJ29</f>
        <v>0</v>
      </c>
      <c r="AQ29" s="159">
        <f>(10000+140000)/12</f>
        <v>12500</v>
      </c>
      <c r="AR29" s="160">
        <f t="shared" ref="AR29" si="217">SUBTOTAL(9,AM29:AQ29)</f>
        <v>17158.333333333332</v>
      </c>
      <c r="AS29" s="160"/>
      <c r="AT29" s="315">
        <v>121000867</v>
      </c>
      <c r="AU29" s="235"/>
      <c r="AV29" s="236"/>
      <c r="AW29" s="235"/>
      <c r="AX29" s="316"/>
      <c r="AZ29" s="165">
        <f t="shared" ref="AZ29" si="218">IF(F29="Rack",AR29/I29,0)+IF(F29="U Space",AR29*40/I29,0)+IF(F29="Space",AR29*30/I29,0)</f>
        <v>686333.33333333326</v>
      </c>
      <c r="BA29" s="165" t="e">
        <f t="shared" ref="BA29" si="219">+AR29/V29</f>
        <v>#VALUE!</v>
      </c>
      <c r="BB29" s="165" t="e">
        <f t="shared" ref="BB29:BC33" si="220">+($AM29+$AN29+$AO29-BI29)/$V29</f>
        <v>#VALUE!</v>
      </c>
      <c r="BC29" s="165" t="e">
        <f t="shared" si="220"/>
        <v>#VALUE!</v>
      </c>
      <c r="BD29" s="165" t="e">
        <f t="shared" ref="BD29:BD34" si="221">+($AM29+$AN29+IF(E29="Bundled",0,V29*0.85*AA29*AC29*30.5*24)-BK29)/$V29</f>
        <v>#VALUE!</v>
      </c>
      <c r="BE29" s="165"/>
      <c r="BF29" s="166">
        <f t="shared" ref="BF29" si="222">+AM29+AN29+AO29</f>
        <v>4658.333333333333</v>
      </c>
      <c r="BG29" s="166" t="e">
        <f t="shared" ref="BG29" si="223">+BF29-BH29</f>
        <v>#VALUE!</v>
      </c>
      <c r="BH29" s="166" t="e">
        <f>IF(E29="Bundled",MIN(V29*$AE$1*(1+#REF!),BF29),AO29)</f>
        <v>#VALUE!</v>
      </c>
      <c r="BI29" s="167" t="e">
        <f>IF($AD29&gt;0,$AD29*$AB$1*$AD$1*(1+$AG$1*(20/$AD$1)/732),$AE$1*W29)</f>
        <v>#VALUE!</v>
      </c>
      <c r="BJ29" s="167" t="e">
        <f>IF($AD29&gt;0,$AD29*$AB$1*$AD$1*(1+$AG$1*(20/$AD$1)/732),+$AE$1*(W29+U29))</f>
        <v>#VALUE!</v>
      </c>
      <c r="BK29" s="167" t="e">
        <f t="shared" ref="BK29" si="224">IF(E29="Bundled",$AE$1*V29,$AE$1*V29*0.85)</f>
        <v>#VALUE!</v>
      </c>
      <c r="BL29" s="167" t="e">
        <f t="shared" ref="BL29" si="225">+BB29*V29</f>
        <v>#VALUE!</v>
      </c>
      <c r="BM29" s="167" t="e">
        <f>+#REF!*V29</f>
        <v>#REF!</v>
      </c>
      <c r="BN29" s="167" t="e">
        <f t="shared" ref="BN29" si="226">+BG29-BM29</f>
        <v>#VALUE!</v>
      </c>
      <c r="BO29" s="167" t="e">
        <f t="shared" ref="BO29" si="227">+BH29-BI29</f>
        <v>#VALUE!</v>
      </c>
      <c r="BP29" s="167" t="e">
        <f t="shared" ref="BP29" si="228">+BN29+BO29</f>
        <v>#VALUE!</v>
      </c>
      <c r="BQ29" s="167" t="e">
        <f t="shared" ref="BQ29" si="229">+V29</f>
        <v>#VALUE!</v>
      </c>
      <c r="BR29" s="167" t="e">
        <f t="shared" ref="BR29" si="230">+BB29</f>
        <v>#VALUE!</v>
      </c>
      <c r="BS29" s="167" t="e">
        <f t="shared" ref="BS29" si="231">IF(E29="Bundled",BK29-BI29,AO29-BI29)</f>
        <v>#VALUE!</v>
      </c>
      <c r="BT29" s="167" t="e">
        <f>IF(E29="Bundled",+(BD29-#REF!)*V29,(AM29+AN29)-V29*#REF!)</f>
        <v>#VALUE!</v>
      </c>
      <c r="BU29" s="167" t="e">
        <f t="shared" ref="BU29" si="232">+BS29+BT29</f>
        <v>#VALUE!</v>
      </c>
      <c r="BV29" s="167" t="e">
        <f t="shared" ref="BV29:BX33" si="233">+BS29/$BQ29</f>
        <v>#VALUE!</v>
      </c>
      <c r="BW29" s="167" t="e">
        <f t="shared" si="233"/>
        <v>#VALUE!</v>
      </c>
      <c r="BX29" s="167" t="e">
        <f t="shared" si="233"/>
        <v>#VALUE!</v>
      </c>
    </row>
    <row r="30" spans="1:78" s="5" customFormat="1" ht="26.1">
      <c r="A30" s="238" t="s">
        <v>47</v>
      </c>
      <c r="B30" s="188" t="s">
        <v>192</v>
      </c>
      <c r="C30" s="144" t="s">
        <v>193</v>
      </c>
      <c r="D30" s="145" t="s">
        <v>130</v>
      </c>
      <c r="E30" s="146" t="s">
        <v>131</v>
      </c>
      <c r="F30" s="190" t="s">
        <v>144</v>
      </c>
      <c r="G30" s="145" t="s">
        <v>133</v>
      </c>
      <c r="H30" s="147" t="str">
        <f t="shared" ref="H30" si="234">IF(F30="Rack","No of Racks",(IF(F30="Space","Sq Ft","U Space")))</f>
        <v>U Space</v>
      </c>
      <c r="I30" s="145">
        <v>4</v>
      </c>
      <c r="J30" s="145">
        <v>4</v>
      </c>
      <c r="K30" s="148">
        <f t="shared" ref="K30" si="235">I30-J30</f>
        <v>0</v>
      </c>
      <c r="L30" s="145">
        <v>4</v>
      </c>
      <c r="M30" s="145"/>
      <c r="N30" s="149">
        <f>35000/12</f>
        <v>2916.6666666666665</v>
      </c>
      <c r="O30" s="150" t="str">
        <f t="shared" ref="O30" si="236">D30</f>
        <v>Rated</v>
      </c>
      <c r="P30" s="321" t="s">
        <v>134</v>
      </c>
      <c r="Q30" s="146">
        <v>1</v>
      </c>
      <c r="R30" s="151">
        <v>0.17</v>
      </c>
      <c r="S30" s="232">
        <f t="shared" ref="S30" si="237">Q30-R30</f>
        <v>0.83</v>
      </c>
      <c r="T30" s="146"/>
      <c r="U30" s="146" t="e">
        <f t="shared" ref="U30" si="238">IF(S30&lt;=0,0,(IF(O30="Rated",(S30+T30)*$V$1,(S30+T30))))</f>
        <v>#VALUE!</v>
      </c>
      <c r="V30" s="146" t="e">
        <f t="shared" ref="V30" si="239">IF(O30="Rated",Q30*$V$1,Q30)</f>
        <v>#VALUE!</v>
      </c>
      <c r="W30"/>
      <c r="X30" s="146">
        <f t="shared" ref="X30" si="240">IF((S30*-1)&gt;0, (S30*-1), 0)</f>
        <v>0</v>
      </c>
      <c r="Y30" s="152">
        <f>110000/12</f>
        <v>9166.6666666666661</v>
      </c>
      <c r="Z30" s="153" t="str">
        <f t="shared" ref="Z30" si="241">E30</f>
        <v>Bundled</v>
      </c>
      <c r="AA30" s="146"/>
      <c r="AB30" s="146"/>
      <c r="AC30" s="154"/>
      <c r="AD30" s="146"/>
      <c r="AE30" s="155"/>
      <c r="AF30" s="156" t="str">
        <f t="shared" ref="AF30" si="242">IF(AE30="No of Seats","No of Seats",(IF(AE30="Space","Sq Ft","")))</f>
        <v/>
      </c>
      <c r="AG30" s="146"/>
      <c r="AH30" s="146"/>
      <c r="AI30" s="146">
        <f t="shared" ref="AI30" si="243">AG30-AH30</f>
        <v>0</v>
      </c>
      <c r="AJ30" s="146"/>
      <c r="AK30" s="146"/>
      <c r="AL30" s="149"/>
      <c r="AM30" s="157">
        <f t="shared" ref="AM30" si="244">N30*L30</f>
        <v>11666.666666666666</v>
      </c>
      <c r="AN30" s="157">
        <f t="shared" ref="AN30" si="245">Y30*X30</f>
        <v>0</v>
      </c>
      <c r="AO30" s="158">
        <f t="shared" ref="AO30" si="246">AD30*AC30*AA30</f>
        <v>0</v>
      </c>
      <c r="AP30" s="157">
        <f t="shared" ref="AP30" si="247">AL30*AJ30</f>
        <v>0</v>
      </c>
      <c r="AQ30" s="159">
        <f>(100000+60000)/12</f>
        <v>13333.333333333334</v>
      </c>
      <c r="AR30" s="160">
        <f t="shared" ref="AR30" si="248">SUBTOTAL(9,AM30:AQ30)</f>
        <v>25000</v>
      </c>
      <c r="AS30" s="160"/>
      <c r="AT30" s="315">
        <v>121000185</v>
      </c>
      <c r="AU30" s="235"/>
      <c r="AV30" s="236"/>
      <c r="AW30" s="235"/>
      <c r="AX30" s="320"/>
      <c r="AZ30" s="165">
        <f t="shared" ref="AZ30" si="249">IF(F30="Rack",AR30/I30,0)+IF(F30="U Space",AR30*40/I30,0)+IF(F30="Space",AR30*30/I30,0)</f>
        <v>250000</v>
      </c>
      <c r="BA30" s="165" t="e">
        <f t="shared" ref="BA30" si="250">+AR30/V30</f>
        <v>#VALUE!</v>
      </c>
      <c r="BB30" s="165" t="e">
        <f t="shared" si="220"/>
        <v>#VALUE!</v>
      </c>
      <c r="BC30" s="165" t="e">
        <f t="shared" si="220"/>
        <v>#VALUE!</v>
      </c>
      <c r="BD30" s="165" t="e">
        <f t="shared" si="221"/>
        <v>#VALUE!</v>
      </c>
      <c r="BE30" s="165"/>
      <c r="BF30" s="166">
        <f t="shared" ref="BF30" si="251">+AM30+AN30+AO30</f>
        <v>11666.666666666666</v>
      </c>
      <c r="BG30" s="166" t="e">
        <f t="shared" ref="BG30" si="252">+BF30-BH30</f>
        <v>#VALUE!</v>
      </c>
      <c r="BH30" s="166" t="e">
        <f>IF(E30="Bundled",MIN(V30*$AE$1*(1+#REF!),BF30),AO30)</f>
        <v>#VALUE!</v>
      </c>
      <c r="BI30" s="167" t="e">
        <f>IF($AD30&gt;0,$AD30*$AB$1*$AD$1*(1+$AG$1*(20/$AD$1)/732),$AE$1*W30)</f>
        <v>#VALUE!</v>
      </c>
      <c r="BJ30" s="167" t="e">
        <f>IF($AD30&gt;0,$AD30*$AB$1*$AD$1*(1+$AG$1*(20/$AD$1)/732),+$AE$1*(W30+U30))</f>
        <v>#VALUE!</v>
      </c>
      <c r="BK30" s="167" t="e">
        <f t="shared" ref="BK30" si="253">IF(E30="Bundled",$AE$1*V30,$AE$1*V30*0.85)</f>
        <v>#VALUE!</v>
      </c>
      <c r="BL30" s="167" t="e">
        <f t="shared" ref="BL30" si="254">+BB30*V30</f>
        <v>#VALUE!</v>
      </c>
      <c r="BM30" s="167" t="e">
        <f>+#REF!*V30</f>
        <v>#REF!</v>
      </c>
      <c r="BN30" s="167" t="e">
        <f t="shared" ref="BN30" si="255">+BG30-BM30</f>
        <v>#VALUE!</v>
      </c>
      <c r="BO30" s="167" t="e">
        <f t="shared" ref="BO30" si="256">+BH30-BI30</f>
        <v>#VALUE!</v>
      </c>
      <c r="BP30" s="167" t="e">
        <f t="shared" ref="BP30" si="257">+BN30+BO30</f>
        <v>#VALUE!</v>
      </c>
      <c r="BQ30" s="167" t="e">
        <f t="shared" ref="BQ30" si="258">+V30</f>
        <v>#VALUE!</v>
      </c>
      <c r="BR30" s="167" t="e">
        <f t="shared" ref="BR30" si="259">+BB30</f>
        <v>#VALUE!</v>
      </c>
      <c r="BS30" s="167" t="e">
        <f t="shared" ref="BS30" si="260">IF(E30="Bundled",BK30-BI30,AO30-BI30)</f>
        <v>#VALUE!</v>
      </c>
      <c r="BT30" s="167" t="e">
        <f>IF(E30="Bundled",+(BD30-#REF!)*V30,(AM30+AN30)-V30*#REF!)</f>
        <v>#VALUE!</v>
      </c>
      <c r="BU30" s="167" t="e">
        <f t="shared" ref="BU30" si="261">+BS30+BT30</f>
        <v>#VALUE!</v>
      </c>
      <c r="BV30" s="167" t="e">
        <f t="shared" si="233"/>
        <v>#VALUE!</v>
      </c>
      <c r="BW30" s="167" t="e">
        <f t="shared" si="233"/>
        <v>#VALUE!</v>
      </c>
      <c r="BX30" s="167" t="e">
        <f t="shared" si="233"/>
        <v>#VALUE!</v>
      </c>
    </row>
    <row r="31" spans="1:78" s="16" customFormat="1" ht="26.1">
      <c r="A31" s="142" t="s">
        <v>45</v>
      </c>
      <c r="B31" s="181" t="s">
        <v>151</v>
      </c>
      <c r="C31" s="196" t="s">
        <v>194</v>
      </c>
      <c r="D31" s="145" t="s">
        <v>130</v>
      </c>
      <c r="E31" s="146" t="s">
        <v>131</v>
      </c>
      <c r="F31" s="190" t="s">
        <v>144</v>
      </c>
      <c r="G31" s="145" t="s">
        <v>133</v>
      </c>
      <c r="H31" s="147" t="str">
        <f t="shared" ref="H31" si="262">IF(F31="Rack","No of Racks",(IF(F31="Space","Sq Ft","U Space")))</f>
        <v>U Space</v>
      </c>
      <c r="I31" s="145">
        <v>1</v>
      </c>
      <c r="J31" s="145">
        <v>1</v>
      </c>
      <c r="K31" s="148">
        <f>I31-J31</f>
        <v>0</v>
      </c>
      <c r="L31" s="145">
        <v>1</v>
      </c>
      <c r="M31" s="145"/>
      <c r="N31" s="149">
        <f>(35000)/12</f>
        <v>2916.6666666666665</v>
      </c>
      <c r="O31" s="150" t="str">
        <f t="shared" ref="O31" si="263">D31</f>
        <v>Rated</v>
      </c>
      <c r="P31" s="145" t="s">
        <v>134</v>
      </c>
      <c r="Q31" s="146">
        <v>0.25</v>
      </c>
      <c r="R31" s="151">
        <v>0.13</v>
      </c>
      <c r="S31" s="232">
        <f t="shared" ref="S31" si="264">Q31-R31</f>
        <v>0.12</v>
      </c>
      <c r="T31" s="146"/>
      <c r="U31" s="146">
        <f t="shared" ref="U31" si="265">IF(S31&lt;=0,0,(IF(O31="Rated",(S31+T31)*$W$1,(S31+T31))))</f>
        <v>0</v>
      </c>
      <c r="V31" s="146">
        <f t="shared" ref="V31" si="266">IF(O31="Rated",Q31*$W$1,Q31)</f>
        <v>0</v>
      </c>
      <c r="W31" s="152"/>
      <c r="X31" s="146">
        <f>IF((S31*-1)&gt;0, (S31*-1), 0)</f>
        <v>0</v>
      </c>
      <c r="Y31" s="152">
        <f>0/12</f>
        <v>0</v>
      </c>
      <c r="Z31" s="153" t="str">
        <f t="shared" ref="Z31" si="267">E31</f>
        <v>Bundled</v>
      </c>
      <c r="AA31" s="146"/>
      <c r="AB31" s="146"/>
      <c r="AC31" s="154"/>
      <c r="AD31" s="146"/>
      <c r="AE31" s="155"/>
      <c r="AF31" s="156"/>
      <c r="AG31" s="146"/>
      <c r="AH31" s="146"/>
      <c r="AI31" s="146">
        <f>AG31-AH31</f>
        <v>0</v>
      </c>
      <c r="AJ31" s="146"/>
      <c r="AK31" s="146"/>
      <c r="AL31" s="149">
        <f>(0)/12</f>
        <v>0</v>
      </c>
      <c r="AM31" s="157">
        <f>N31*L31</f>
        <v>2916.6666666666665</v>
      </c>
      <c r="AN31" s="157">
        <f>Y31*X31</f>
        <v>0</v>
      </c>
      <c r="AO31" s="158">
        <f>AD31*AC31*AA31</f>
        <v>0</v>
      </c>
      <c r="AP31" s="157">
        <f>AL31*AJ31</f>
        <v>0</v>
      </c>
      <c r="AQ31" s="159">
        <f t="shared" ref="AQ31" si="268">0/12</f>
        <v>0</v>
      </c>
      <c r="AR31" s="160">
        <f>SUBTOTAL(9,AM31:AQ31)</f>
        <v>2916.6666666666665</v>
      </c>
      <c r="AS31" s="160"/>
      <c r="AT31" s="161"/>
      <c r="AU31" s="162"/>
      <c r="AV31" s="163"/>
      <c r="AW31" s="162"/>
      <c r="AX31" s="164"/>
      <c r="AY31" s="5"/>
      <c r="AZ31" s="165">
        <f>IF(F31="Rack",AR31/I31,0)+IF(F31="U Space",AR31*40/I31,0)+IF(F31="Space",AR31*30/I31,0)</f>
        <v>116666.66666666666</v>
      </c>
      <c r="BA31" s="165" t="e">
        <f>+AR31/V31</f>
        <v>#DIV/0!</v>
      </c>
      <c r="BB31" s="165" t="e">
        <f>+($AM31+$AN31+$AO31-BI31)/$V31</f>
        <v>#DIV/0!</v>
      </c>
      <c r="BC31" s="165" t="e">
        <f>+($AM31+$AN31+$AO31-BJ31)/$V31</f>
        <v>#DIV/0!</v>
      </c>
      <c r="BD31" s="165" t="e">
        <f t="shared" si="221"/>
        <v>#DIV/0!</v>
      </c>
      <c r="BE31" s="165"/>
      <c r="BF31" s="166">
        <f>+AM31+AN31+AO31</f>
        <v>2916.6666666666665</v>
      </c>
      <c r="BG31" s="166" t="e">
        <f>+BF31-BH31</f>
        <v>#REF!</v>
      </c>
      <c r="BH31" s="166" t="e">
        <f>IF(E31="Bundled",MIN(V31*$AF$1*(1+#REF!),BF31),AO31)</f>
        <v>#REF!</v>
      </c>
      <c r="BI31" s="167">
        <f>IF($AD31&gt;0,$AD31*$AC$1*$AE$1*(1+$AH$1*(20/$AE$1)/732),$AF$1*W31)</f>
        <v>0</v>
      </c>
      <c r="BJ31" s="167">
        <f>IF($AD31&gt;0,$AD31*$AC$1*$AE$1*(1+$AH$1*(20/$AE$1)/732),+$AF$1*(W31+U31))</f>
        <v>0</v>
      </c>
      <c r="BK31" s="167">
        <f>IF(E31="Bundled",$AF$1*V31,$AF$1*V31*0.85)</f>
        <v>0</v>
      </c>
      <c r="BL31" s="167" t="e">
        <f>+BB31*V31</f>
        <v>#DIV/0!</v>
      </c>
      <c r="BM31" s="167" t="e">
        <f>+#REF!*V31</f>
        <v>#REF!</v>
      </c>
      <c r="BN31" s="167" t="e">
        <f>+BG31-BM31</f>
        <v>#REF!</v>
      </c>
      <c r="BO31" s="167" t="e">
        <f>+BH31-BI31</f>
        <v>#REF!</v>
      </c>
      <c r="BP31" s="167" t="e">
        <f>+BN31+BO31</f>
        <v>#REF!</v>
      </c>
      <c r="BQ31" s="167">
        <f>+V31</f>
        <v>0</v>
      </c>
      <c r="BR31" s="167" t="e">
        <f>+BB31</f>
        <v>#DIV/0!</v>
      </c>
      <c r="BS31" s="167">
        <f>IF(E31="Bundled",BK31-BI31,AO31-BI31)</f>
        <v>0</v>
      </c>
      <c r="BT31" s="167" t="e">
        <f>IF(E31="Bundled",+(BD31-#REF!)*V31,(AM31+AN31)-V31*#REF!)</f>
        <v>#DIV/0!</v>
      </c>
      <c r="BU31" s="167" t="e">
        <f>+BS31+BT31</f>
        <v>#DIV/0!</v>
      </c>
      <c r="BV31" s="167" t="e">
        <f>+BS31/$BQ31</f>
        <v>#DIV/0!</v>
      </c>
      <c r="BW31" s="167" t="e">
        <f>+BT31/$BQ31</f>
        <v>#DIV/0!</v>
      </c>
      <c r="BX31" s="167" t="e">
        <f>+BU31/$BQ31</f>
        <v>#DIV/0!</v>
      </c>
    </row>
    <row r="32" spans="1:78" s="16" customFormat="1" ht="26.1">
      <c r="A32" s="238" t="s">
        <v>45</v>
      </c>
      <c r="B32" s="181" t="s">
        <v>195</v>
      </c>
      <c r="C32" s="168" t="s">
        <v>196</v>
      </c>
      <c r="D32" s="145" t="s">
        <v>130</v>
      </c>
      <c r="E32" s="146" t="s">
        <v>131</v>
      </c>
      <c r="F32" s="190" t="s">
        <v>144</v>
      </c>
      <c r="G32" s="145" t="s">
        <v>133</v>
      </c>
      <c r="H32" s="147" t="str">
        <f t="shared" ref="H32" si="269">IF(F32="Rack","No of Racks",(IF(F32="Space","Sq Ft","U Space")))</f>
        <v>U Space</v>
      </c>
      <c r="I32" s="145">
        <v>2</v>
      </c>
      <c r="J32" s="145">
        <v>2</v>
      </c>
      <c r="K32" s="148">
        <f t="shared" ref="K32" si="270">I32-J32</f>
        <v>0</v>
      </c>
      <c r="L32" s="145">
        <v>2</v>
      </c>
      <c r="M32" s="145"/>
      <c r="N32" s="149">
        <f>(75000/2)/12</f>
        <v>3125</v>
      </c>
      <c r="O32" s="150" t="str">
        <f t="shared" ref="O32" si="271">D32</f>
        <v>Rated</v>
      </c>
      <c r="P32" s="145" t="s">
        <v>134</v>
      </c>
      <c r="Q32" s="146">
        <v>0.5</v>
      </c>
      <c r="R32" s="151">
        <v>0.25</v>
      </c>
      <c r="S32" s="232">
        <f t="shared" ref="S32" si="272">Q32-R32</f>
        <v>0.25</v>
      </c>
      <c r="T32" s="146"/>
      <c r="U32" s="146">
        <f t="shared" ref="U32" si="273">IF(S32&lt;=0,0,(IF(O32="Rated",(S32+T32)*$W$1,(S32+T32))))</f>
        <v>0</v>
      </c>
      <c r="V32" s="146">
        <f t="shared" ref="V32" si="274">IF(O32="Rated",Q32*$W$1,Q32)</f>
        <v>0</v>
      </c>
      <c r="W32"/>
      <c r="X32" s="146">
        <f t="shared" ref="X32" si="275">IF((S32*-1)&gt;0, (S32*-1), 0)</f>
        <v>0</v>
      </c>
      <c r="Y32" s="152"/>
      <c r="Z32" s="153" t="str">
        <f t="shared" ref="Z32" si="276">E32</f>
        <v>Bundled</v>
      </c>
      <c r="AA32" s="146"/>
      <c r="AB32" s="146"/>
      <c r="AC32" s="154"/>
      <c r="AD32" s="146"/>
      <c r="AE32" s="155"/>
      <c r="AF32" s="156"/>
      <c r="AG32" s="146"/>
      <c r="AH32" s="146"/>
      <c r="AI32" s="146">
        <f t="shared" ref="AI32" si="277">AG32-AH32</f>
        <v>0</v>
      </c>
      <c r="AJ32" s="146"/>
      <c r="AK32" s="146"/>
      <c r="AL32" s="149">
        <f t="shared" ref="AL32" si="278">(0)/12</f>
        <v>0</v>
      </c>
      <c r="AM32" s="157"/>
      <c r="AN32" s="157">
        <f t="shared" ref="AN32" si="279">Y32*X32</f>
        <v>0</v>
      </c>
      <c r="AO32" s="158">
        <f t="shared" ref="AO32" si="280">AD32*AC32*AA32</f>
        <v>0</v>
      </c>
      <c r="AP32" s="157">
        <f t="shared" ref="AP32" si="281">AL32*AJ32</f>
        <v>0</v>
      </c>
      <c r="AQ32" s="159">
        <f t="shared" ref="AQ32" si="282">0/12</f>
        <v>0</v>
      </c>
      <c r="AR32" s="160">
        <f t="shared" ref="AR32" si="283">SUBTOTAL(9,AM32:AQ32)</f>
        <v>0</v>
      </c>
      <c r="AS32" s="160"/>
      <c r="AT32" s="161"/>
      <c r="AU32" s="162"/>
      <c r="AV32" s="163"/>
      <c r="AW32" s="162"/>
      <c r="AX32" s="164"/>
      <c r="AY32" s="5"/>
      <c r="AZ32" s="165">
        <f t="shared" ref="AZ32" si="284">IF(F32="Rack",AR32/I32,0)+IF(F32="U Space",AR32*40/I32,0)+IF(F32="Space",AR32*30/I32,0)</f>
        <v>0</v>
      </c>
      <c r="BA32" s="165" t="e">
        <f t="shared" ref="BA32" si="285">+AR32/V32</f>
        <v>#DIV/0!</v>
      </c>
      <c r="BB32" s="165" t="e">
        <f t="shared" si="220"/>
        <v>#DIV/0!</v>
      </c>
      <c r="BC32" s="165" t="e">
        <f t="shared" si="220"/>
        <v>#DIV/0!</v>
      </c>
      <c r="BD32" s="165" t="e">
        <f t="shared" si="221"/>
        <v>#DIV/0!</v>
      </c>
      <c r="BE32" s="165"/>
      <c r="BF32" s="166">
        <f t="shared" ref="BF32" si="286">+AM32+AN32+AO32</f>
        <v>0</v>
      </c>
      <c r="BG32" s="166" t="e">
        <f t="shared" ref="BG32" si="287">+BF32-BH32</f>
        <v>#REF!</v>
      </c>
      <c r="BH32" s="166" t="e">
        <f>IF(E32="Bundled",MIN(V32*$AF$1*(1+#REF!),BF32),AO32)</f>
        <v>#REF!</v>
      </c>
      <c r="BI32" s="167">
        <f>IF($AD32&gt;0,$AD32*$AC$1*$AE$1*(1+$AH$1*(20/$AE$1)/732),$AF$1*W32)</f>
        <v>0</v>
      </c>
      <c r="BJ32" s="167">
        <f>IF($AD32&gt;0,$AD32*$AC$1*$AE$1*(1+$AH$1*(20/$AE$1)/732),+$AF$1*(W32+U32))</f>
        <v>0</v>
      </c>
      <c r="BK32" s="167">
        <f t="shared" ref="BK32" si="288">IF(E32="Bundled",$AF$1*V32,$AF$1*V32*0.85)</f>
        <v>0</v>
      </c>
      <c r="BL32" s="167" t="e">
        <f t="shared" ref="BL32" si="289">+BB32*V32</f>
        <v>#DIV/0!</v>
      </c>
      <c r="BM32" s="167" t="e">
        <f>+#REF!*V32</f>
        <v>#REF!</v>
      </c>
      <c r="BN32" s="167" t="e">
        <f t="shared" ref="BN32" si="290">+BG32-BM32</f>
        <v>#REF!</v>
      </c>
      <c r="BO32" s="167" t="e">
        <f t="shared" ref="BO32" si="291">+BH32-BI32</f>
        <v>#REF!</v>
      </c>
      <c r="BP32" s="167" t="e">
        <f t="shared" ref="BP32" si="292">+BN32+BO32</f>
        <v>#REF!</v>
      </c>
      <c r="BQ32" s="167">
        <f t="shared" ref="BQ32" si="293">+V32</f>
        <v>0</v>
      </c>
      <c r="BR32" s="167" t="e">
        <f t="shared" ref="BR32" si="294">+BB32</f>
        <v>#DIV/0!</v>
      </c>
      <c r="BS32" s="167">
        <f t="shared" ref="BS32" si="295">IF(E32="Bundled",BK32-BI32,AO32-BI32)</f>
        <v>0</v>
      </c>
      <c r="BT32" s="167" t="e">
        <f>IF(E32="Bundled",+(BD32-#REF!)*V32,(AM32+AN32)-V32*#REF!)</f>
        <v>#DIV/0!</v>
      </c>
      <c r="BU32" s="167" t="e">
        <f t="shared" ref="BU32" si="296">+BS32+BT32</f>
        <v>#DIV/0!</v>
      </c>
      <c r="BV32" s="167" t="e">
        <f t="shared" ref="BV32:BW34" si="297">+BS32/$BQ32</f>
        <v>#DIV/0!</v>
      </c>
      <c r="BW32" s="167" t="e">
        <f t="shared" si="297"/>
        <v>#DIV/0!</v>
      </c>
      <c r="BX32" s="167" t="e">
        <f t="shared" si="233"/>
        <v>#DIV/0!</v>
      </c>
    </row>
    <row r="33" spans="1:79" s="16" customFormat="1" ht="39">
      <c r="A33" s="142" t="s">
        <v>48</v>
      </c>
      <c r="B33" s="184" t="s">
        <v>197</v>
      </c>
      <c r="C33" s="200" t="s">
        <v>198</v>
      </c>
      <c r="D33" s="145" t="s">
        <v>169</v>
      </c>
      <c r="E33" s="146" t="s">
        <v>131</v>
      </c>
      <c r="F33" s="190" t="s">
        <v>132</v>
      </c>
      <c r="G33" s="145" t="s">
        <v>133</v>
      </c>
      <c r="H33" s="147" t="str">
        <f>IF(F33="Rack","No of Racks",(IF(F33="Space","Sq Ft","U Space")))</f>
        <v>No of Racks</v>
      </c>
      <c r="I33" s="145">
        <v>16</v>
      </c>
      <c r="J33" s="145">
        <v>16</v>
      </c>
      <c r="K33" s="148">
        <f>I33-J33</f>
        <v>0</v>
      </c>
      <c r="L33" s="145">
        <v>16</v>
      </c>
      <c r="M33" s="145"/>
      <c r="N33" s="149">
        <f>2042880/16</f>
        <v>127680</v>
      </c>
      <c r="O33" s="150" t="str">
        <f>D33</f>
        <v>Subscribed</v>
      </c>
      <c r="P33" s="145" t="s">
        <v>123</v>
      </c>
      <c r="Q33" s="146">
        <v>78</v>
      </c>
      <c r="R33" s="327">
        <f>W33</f>
        <v>0</v>
      </c>
      <c r="S33" s="232">
        <f>Q33-R33</f>
        <v>78</v>
      </c>
      <c r="T33" s="146"/>
      <c r="U33" s="146">
        <f>IF(S33&lt;=0,0,(IF(O33="Rated",(S33+T33)*'Noida-01'!#REF!,(S33+T33))))</f>
        <v>78</v>
      </c>
      <c r="V33" s="146">
        <f>IF(O33="Rated",Q33*'Noida-01'!#REF!,Q33)</f>
        <v>78</v>
      </c>
      <c r="W33" s="231">
        <f>AD33/30/24</f>
        <v>0</v>
      </c>
      <c r="X33" s="146">
        <f>IF((S33*-1)&gt;0, (S33*-1), 0)</f>
        <v>0</v>
      </c>
      <c r="Y33" s="152">
        <v>0</v>
      </c>
      <c r="Z33" s="153" t="str">
        <f>E33</f>
        <v>Bundled</v>
      </c>
      <c r="AA33" s="146">
        <v>1</v>
      </c>
      <c r="AB33" s="146" t="s">
        <v>171</v>
      </c>
      <c r="AC33" s="154">
        <v>0</v>
      </c>
      <c r="AD33" s="146">
        <v>0</v>
      </c>
      <c r="AE33" s="155"/>
      <c r="AF33" s="156"/>
      <c r="AG33" s="146"/>
      <c r="AH33" s="146"/>
      <c r="AI33" s="146">
        <f>AG33-AH33</f>
        <v>0</v>
      </c>
      <c r="AJ33" s="146"/>
      <c r="AK33" s="146"/>
      <c r="AL33" s="149">
        <f>(0)/12</f>
        <v>0</v>
      </c>
      <c r="AM33" s="157">
        <f>N33*L33</f>
        <v>2042880</v>
      </c>
      <c r="AN33" s="157">
        <f>Y33*X33</f>
        <v>0</v>
      </c>
      <c r="AO33" s="158">
        <f>AD33*AC33*AA33</f>
        <v>0</v>
      </c>
      <c r="AP33" s="157">
        <f>AL33*AJ33</f>
        <v>0</v>
      </c>
      <c r="AQ33" s="159">
        <f>0/12</f>
        <v>0</v>
      </c>
      <c r="AR33" s="160">
        <f>SUBTOTAL(9,AM33:AQ33)</f>
        <v>2042880</v>
      </c>
      <c r="AS33" s="160"/>
      <c r="AT33" s="161"/>
      <c r="AU33" s="162"/>
      <c r="AV33" s="163"/>
      <c r="AW33" s="162"/>
      <c r="AX33" s="164"/>
      <c r="AY33" s="5"/>
      <c r="AZ33" s="165">
        <f>IF(F33="Rack",AR33/I33,0)+IF(F33="U Space",AR33*40/I33,0)+IF(F33="Space",AR33*30/I33,0)</f>
        <v>127680</v>
      </c>
      <c r="BA33" s="165">
        <f>+AR33/V33</f>
        <v>26190.76923076923</v>
      </c>
      <c r="BB33" s="165" t="e">
        <f t="shared" si="220"/>
        <v>#REF!</v>
      </c>
      <c r="BC33" s="165" t="e">
        <f t="shared" si="220"/>
        <v>#REF!</v>
      </c>
      <c r="BD33" s="165" t="e">
        <f t="shared" si="221"/>
        <v>#REF!</v>
      </c>
      <c r="BE33" s="165"/>
      <c r="BF33" s="166">
        <f>+AM33+AN33+AO33</f>
        <v>2042880</v>
      </c>
      <c r="BG33" s="166" t="e">
        <f>+BF33-BH33</f>
        <v>#REF!</v>
      </c>
      <c r="BH33" s="166" t="e">
        <f>IF(E33="Bundled",MIN(V33*'Noida-01'!#REF!*(1+#REF!),BF33),AO33)</f>
        <v>#REF!</v>
      </c>
      <c r="BI33" s="167" t="e">
        <f>IF($AD33&gt;0,$AD33*'Noida-01'!#REF!*'Noida-01'!#REF!*(1+'Noida-01'!#REF!*(20/'Noida-01'!#REF!)/732),'Noida-01'!#REF!*W33)</f>
        <v>#REF!</v>
      </c>
      <c r="BJ33" s="167" t="e">
        <f>IF($AD33&gt;0,$AD33*'Noida-01'!#REF!*'Noida-01'!#REF!*(1+'Noida-01'!#REF!*(20/'Noida-01'!#REF!)/732),+'Noida-01'!#REF!*(W33+U33))</f>
        <v>#REF!</v>
      </c>
      <c r="BK33" s="167" t="e">
        <f>IF(E33="Bundled",'Noida-01'!#REF!*V33,'Noida-01'!#REF!*V33*0.85)</f>
        <v>#REF!</v>
      </c>
      <c r="BL33" s="167" t="e">
        <f>+BB33*V33</f>
        <v>#REF!</v>
      </c>
      <c r="BM33" s="167" t="e">
        <f>+#REF!*V33</f>
        <v>#REF!</v>
      </c>
      <c r="BN33" s="167" t="e">
        <f>+BG33-BM33</f>
        <v>#REF!</v>
      </c>
      <c r="BO33" s="167" t="e">
        <f>+BH33-BI33</f>
        <v>#REF!</v>
      </c>
      <c r="BP33" s="167" t="e">
        <f>+BN33+BO33</f>
        <v>#REF!</v>
      </c>
      <c r="BQ33" s="167">
        <f>+V33</f>
        <v>78</v>
      </c>
      <c r="BR33" s="167" t="e">
        <f>+BB33</f>
        <v>#REF!</v>
      </c>
      <c r="BS33" s="167" t="e">
        <f>IF(E33="Bundled",BK33-BI33,AO33-BI33)</f>
        <v>#REF!</v>
      </c>
      <c r="BT33" s="167" t="e">
        <f>IF(E33="Bundled",+(BD33-#REF!)*V33,(AM33+AN33)-V33*#REF!)</f>
        <v>#REF!</v>
      </c>
      <c r="BU33" s="167" t="e">
        <f>+BS33+BT33</f>
        <v>#REF!</v>
      </c>
      <c r="BV33" s="167" t="e">
        <f t="shared" si="297"/>
        <v>#REF!</v>
      </c>
      <c r="BW33" s="167" t="e">
        <f t="shared" si="297"/>
        <v>#REF!</v>
      </c>
      <c r="BX33" s="167" t="e">
        <f t="shared" si="233"/>
        <v>#REF!</v>
      </c>
    </row>
    <row r="34" spans="1:79" s="16" customFormat="1" ht="39">
      <c r="A34" s="142" t="s">
        <v>48</v>
      </c>
      <c r="B34" s="181" t="s">
        <v>199</v>
      </c>
      <c r="C34" s="144" t="s">
        <v>200</v>
      </c>
      <c r="D34" s="145" t="s">
        <v>130</v>
      </c>
      <c r="E34" s="146" t="s">
        <v>131</v>
      </c>
      <c r="F34" s="190" t="s">
        <v>144</v>
      </c>
      <c r="G34" s="145" t="s">
        <v>133</v>
      </c>
      <c r="H34" s="147" t="str">
        <f t="shared" ref="H34:H36" si="298">IF(F34="Rack","No of Racks",(IF(F34="Space","Sq Ft","U Space")))</f>
        <v>U Space</v>
      </c>
      <c r="I34" s="145">
        <v>2</v>
      </c>
      <c r="J34" s="145">
        <v>2</v>
      </c>
      <c r="K34" s="148">
        <f t="shared" ref="K34:K36" si="299">I34-J34</f>
        <v>0</v>
      </c>
      <c r="L34" s="145">
        <v>2</v>
      </c>
      <c r="M34" s="145"/>
      <c r="N34" s="149">
        <f>(18000)/12</f>
        <v>1500</v>
      </c>
      <c r="O34" s="150" t="str">
        <f t="shared" ref="O34:O36" si="300">D34</f>
        <v>Rated</v>
      </c>
      <c r="P34" s="321" t="s">
        <v>134</v>
      </c>
      <c r="Q34" s="146">
        <v>0.3</v>
      </c>
      <c r="R34" s="151">
        <v>0.04</v>
      </c>
      <c r="S34" s="232">
        <f t="shared" ref="S34:S36" si="301">Q34-R34</f>
        <v>0.26</v>
      </c>
      <c r="T34" s="146"/>
      <c r="U34" s="146">
        <f t="shared" ref="U34:U36" si="302">IF(S34&lt;=0,0,(IF(O34="Rated",(S34+T34)*$W$1,(S34+T34))))</f>
        <v>0</v>
      </c>
      <c r="V34" s="146">
        <f t="shared" ref="V34:V36" si="303">IF(O34="Rated",Q34*$W$1,Q34)</f>
        <v>0</v>
      </c>
      <c r="W34"/>
      <c r="X34" s="146">
        <f t="shared" ref="X34:X36" si="304">IF((S34*-1)&gt;0, (S34*-1), 0)</f>
        <v>0</v>
      </c>
      <c r="Y34" s="152"/>
      <c r="Z34" s="153" t="str">
        <f t="shared" ref="Z34:Z36" si="305">E34</f>
        <v>Bundled</v>
      </c>
      <c r="AA34" s="146"/>
      <c r="AB34" s="146"/>
      <c r="AC34" s="154"/>
      <c r="AD34" s="146"/>
      <c r="AE34" s="155"/>
      <c r="AF34" s="156" t="str">
        <f>IF(AE34="No of Seats","No of Seats",(IF(AE34="Space","Sq Ft","")))</f>
        <v/>
      </c>
      <c r="AG34" s="146"/>
      <c r="AH34" s="146"/>
      <c r="AI34" s="146">
        <f t="shared" ref="AI34:AI36" si="306">AG34-AH34</f>
        <v>0</v>
      </c>
      <c r="AJ34" s="146"/>
      <c r="AK34" s="146"/>
      <c r="AL34" s="149"/>
      <c r="AM34" s="157">
        <f t="shared" ref="AM34:AM36" si="307">N34*L34</f>
        <v>3000</v>
      </c>
      <c r="AN34" s="157">
        <f t="shared" ref="AN34:AN36" si="308">Y34*X34</f>
        <v>0</v>
      </c>
      <c r="AO34" s="158">
        <f t="shared" ref="AO34:AO36" si="309">AD34*AC34*AA34</f>
        <v>0</v>
      </c>
      <c r="AP34" s="157">
        <f t="shared" ref="AP34:AP36" si="310">AL34*AJ34</f>
        <v>0</v>
      </c>
      <c r="AQ34" s="159">
        <v>0</v>
      </c>
      <c r="AR34" s="160">
        <f t="shared" ref="AR34:AR36" si="311">SUBTOTAL(9,AM34:AQ34)</f>
        <v>3000</v>
      </c>
      <c r="AS34" s="160"/>
      <c r="AT34" s="322"/>
      <c r="AU34" s="318"/>
      <c r="AV34" s="319"/>
      <c r="AW34" s="318"/>
      <c r="AX34" s="320"/>
      <c r="AY34" s="5"/>
      <c r="AZ34" s="165">
        <f t="shared" ref="AZ34:AZ36" si="312">IF(F34="Rack",AR34/I34,0)+IF(F34="U Space",AR34*40/I34,0)+IF(F34="Space",AR34*30/I34,0)</f>
        <v>60000</v>
      </c>
      <c r="BA34" s="165" t="e">
        <f t="shared" ref="BA34:BA36" si="313">+AR34/V34</f>
        <v>#DIV/0!</v>
      </c>
      <c r="BB34" s="165" t="e">
        <f>+($AM34+$AN34+$AO34-BI34)/$V34</f>
        <v>#DIV/0!</v>
      </c>
      <c r="BC34" s="165" t="e">
        <f>+($AM34+$AN34+$AO34-BJ34)/$V34</f>
        <v>#DIV/0!</v>
      </c>
      <c r="BD34" s="165" t="e">
        <f t="shared" si="221"/>
        <v>#DIV/0!</v>
      </c>
      <c r="BE34" s="165"/>
      <c r="BF34" s="166">
        <f t="shared" ref="BF34:BF36" si="314">+AM34+AN34+AO34</f>
        <v>3000</v>
      </c>
      <c r="BG34" s="166" t="e">
        <f t="shared" ref="BG34:BG36" si="315">+BF34-BH34</f>
        <v>#REF!</v>
      </c>
      <c r="BH34" s="166" t="e">
        <f>IF(E34="Bundled",MIN(V34*$AF$1*(1+#REF!),BF34),AO34)</f>
        <v>#REF!</v>
      </c>
      <c r="BI34" s="167">
        <f>IF($AD34&gt;0,$AD34*$AC$1*$AE$1*(1+$AH$1*(20/$AE$1)/732),$AF$1*W34)</f>
        <v>0</v>
      </c>
      <c r="BJ34" s="167">
        <f>IF($AD34&gt;0,$AD34*$AC$1*$AE$1*(1+$AH$1*(20/$AE$1)/732),+$AF$1*(W34+U34))</f>
        <v>0</v>
      </c>
      <c r="BK34" s="167">
        <f t="shared" ref="BK34:BK36" si="316">IF(E34="Bundled",$AF$1*V34,$AF$1*V34*0.85)</f>
        <v>0</v>
      </c>
      <c r="BL34" s="167" t="e">
        <f t="shared" ref="BL34:BL36" si="317">+BB34*V34</f>
        <v>#DIV/0!</v>
      </c>
      <c r="BM34" s="167" t="e">
        <f>+#REF!*V34</f>
        <v>#REF!</v>
      </c>
      <c r="BN34" s="167" t="e">
        <f t="shared" ref="BN34:BN36" si="318">+BG34-BM34</f>
        <v>#REF!</v>
      </c>
      <c r="BO34" s="167" t="e">
        <f t="shared" ref="BO34:BO36" si="319">+BH34-BI34</f>
        <v>#REF!</v>
      </c>
      <c r="BP34" s="167" t="e">
        <f t="shared" ref="BP34:BP36" si="320">+BN34+BO34</f>
        <v>#REF!</v>
      </c>
      <c r="BQ34" s="167">
        <f t="shared" ref="BQ34:BQ36" si="321">+V34</f>
        <v>0</v>
      </c>
      <c r="BR34" s="167" t="e">
        <f t="shared" ref="BR34:BR36" si="322">+BB34</f>
        <v>#DIV/0!</v>
      </c>
      <c r="BS34" s="167">
        <f t="shared" ref="BS34:BS36" si="323">IF(E34="Bundled",BK34-BI34,AO34-BI34)</f>
        <v>0</v>
      </c>
      <c r="BT34" s="167" t="e">
        <f>IF(E34="Bundled",+(BD34-#REF!)*V34,(AM34+AN34)-V34*#REF!)</f>
        <v>#DIV/0!</v>
      </c>
      <c r="BU34" s="167" t="e">
        <f t="shared" ref="BU34:BU36" si="324">+BS34+BT34</f>
        <v>#DIV/0!</v>
      </c>
      <c r="BV34" s="167" t="e">
        <f t="shared" si="297"/>
        <v>#DIV/0!</v>
      </c>
      <c r="BW34" s="167" t="e">
        <f t="shared" si="297"/>
        <v>#DIV/0!</v>
      </c>
      <c r="BX34" s="167" t="e">
        <f>+BU34/$BQ34</f>
        <v>#DIV/0!</v>
      </c>
    </row>
    <row r="35" spans="1:79" ht="26.1">
      <c r="A35" s="238" t="s">
        <v>45</v>
      </c>
      <c r="B35" s="178" t="s">
        <v>201</v>
      </c>
      <c r="C35" s="144" t="s">
        <v>202</v>
      </c>
      <c r="D35" s="145" t="s">
        <v>130</v>
      </c>
      <c r="E35" s="146" t="s">
        <v>131</v>
      </c>
      <c r="F35" s="190" t="s">
        <v>132</v>
      </c>
      <c r="G35" s="145" t="s">
        <v>133</v>
      </c>
      <c r="H35" s="147" t="str">
        <f t="shared" si="298"/>
        <v>No of Racks</v>
      </c>
      <c r="I35" s="145">
        <v>1</v>
      </c>
      <c r="J35" s="145">
        <v>1</v>
      </c>
      <c r="K35" s="148">
        <f t="shared" si="299"/>
        <v>0</v>
      </c>
      <c r="L35" s="145">
        <v>1</v>
      </c>
      <c r="M35" s="145"/>
      <c r="N35" s="149">
        <f>(9740*70)/12</f>
        <v>56816.666666666664</v>
      </c>
      <c r="O35" s="150" t="str">
        <f t="shared" si="300"/>
        <v>Rated</v>
      </c>
      <c r="P35" s="145" t="s">
        <v>134</v>
      </c>
      <c r="Q35" s="146">
        <v>5</v>
      </c>
      <c r="R35" s="151">
        <v>3.56</v>
      </c>
      <c r="S35" s="232">
        <f t="shared" si="301"/>
        <v>1.44</v>
      </c>
      <c r="T35" s="146"/>
      <c r="U35" s="146">
        <f t="shared" si="302"/>
        <v>0</v>
      </c>
      <c r="V35" s="146">
        <f t="shared" si="303"/>
        <v>0</v>
      </c>
      <c r="W35" s="231">
        <v>0.91</v>
      </c>
      <c r="X35" s="146">
        <f t="shared" si="304"/>
        <v>0</v>
      </c>
      <c r="Y35" s="152">
        <f>120000/12</f>
        <v>10000</v>
      </c>
      <c r="Z35" s="153" t="str">
        <f t="shared" si="305"/>
        <v>Bundled</v>
      </c>
      <c r="AA35" s="146"/>
      <c r="AB35" s="146"/>
      <c r="AC35" s="154"/>
      <c r="AD35" s="146"/>
      <c r="AE35" s="155"/>
      <c r="AF35" s="156"/>
      <c r="AG35" s="146"/>
      <c r="AH35" s="146"/>
      <c r="AI35" s="146">
        <f t="shared" si="306"/>
        <v>0</v>
      </c>
      <c r="AJ35" s="146"/>
      <c r="AK35" s="146"/>
      <c r="AL35" s="149">
        <f t="shared" ref="AL35:AL36" si="325">(0)/12</f>
        <v>0</v>
      </c>
      <c r="AM35" s="157">
        <f t="shared" si="307"/>
        <v>56816.666666666664</v>
      </c>
      <c r="AN35" s="157">
        <f t="shared" si="308"/>
        <v>0</v>
      </c>
      <c r="AO35" s="158">
        <f t="shared" si="309"/>
        <v>0</v>
      </c>
      <c r="AP35" s="157">
        <f t="shared" si="310"/>
        <v>0</v>
      </c>
      <c r="AQ35" s="159">
        <f>((7792+325+9091)*70)/12</f>
        <v>100380</v>
      </c>
      <c r="AR35" s="160">
        <f t="shared" si="311"/>
        <v>157196.66666666666</v>
      </c>
      <c r="AS35" s="160"/>
      <c r="AT35" s="161">
        <v>121001564</v>
      </c>
      <c r="AU35" s="162"/>
      <c r="AV35" s="163"/>
      <c r="AW35" s="162"/>
      <c r="AX35" s="164"/>
      <c r="AY35" s="5"/>
      <c r="AZ35" s="165">
        <f t="shared" si="312"/>
        <v>157196.66666666666</v>
      </c>
      <c r="BA35" s="165" t="e">
        <f t="shared" si="313"/>
        <v>#DIV/0!</v>
      </c>
      <c r="BB35" s="165" t="e">
        <f t="shared" ref="BB35:BC36" si="326">+($AO35+$AP35+$AQ35-BI35)/$X35</f>
        <v>#DIV/0!</v>
      </c>
      <c r="BC35" s="165" t="e">
        <f t="shared" si="326"/>
        <v>#DIV/0!</v>
      </c>
      <c r="BD35" s="165" t="e">
        <f t="shared" ref="BD35:BD36" si="327">+($AO35+$AP35+IF(E35="Bundled",0,V35*0.85*AA35*AC35*30.5*24)-BK35)/$X35</f>
        <v>#DIV/0!</v>
      </c>
      <c r="BE35" s="165"/>
      <c r="BF35" s="166">
        <f t="shared" si="314"/>
        <v>56816.666666666664</v>
      </c>
      <c r="BG35" s="166" t="e">
        <f t="shared" si="315"/>
        <v>#REF!</v>
      </c>
      <c r="BH35" s="166" t="e">
        <f>IF(E35="Bundled",MIN(V35*$AF$1*(1+#REF!),BF35),AO35)</f>
        <v>#REF!</v>
      </c>
      <c r="BI35" s="167">
        <f t="shared" ref="BI35:BI36" si="328">IF($AF35&gt;0,$AF35*$AC$1*$AE$1*(1+$AH$1*(20/$AE$1)/732),$AF$1*W35)</f>
        <v>64.155000000000001</v>
      </c>
      <c r="BJ35" s="167">
        <f t="shared" ref="BJ35:BJ36" si="329">IF($AF35&gt;0,$AF35*$AC$1*$AE$1*(1+$AH$1*(20/$AE$1)/732),+$AF$1*(W35+U35))</f>
        <v>64.155000000000001</v>
      </c>
      <c r="BK35" s="167">
        <f t="shared" si="316"/>
        <v>0</v>
      </c>
      <c r="BL35" s="167" t="e">
        <f t="shared" si="317"/>
        <v>#DIV/0!</v>
      </c>
      <c r="BM35" s="167" t="e">
        <f>+#REF!*V35</f>
        <v>#REF!</v>
      </c>
      <c r="BN35" s="167" t="e">
        <f t="shared" si="318"/>
        <v>#REF!</v>
      </c>
      <c r="BO35" s="167" t="e">
        <f t="shared" si="319"/>
        <v>#REF!</v>
      </c>
      <c r="BP35" s="167" t="e">
        <f t="shared" si="320"/>
        <v>#REF!</v>
      </c>
      <c r="BQ35" s="167">
        <f t="shared" si="321"/>
        <v>0</v>
      </c>
      <c r="BR35" s="167" t="e">
        <f t="shared" si="322"/>
        <v>#DIV/0!</v>
      </c>
      <c r="BS35" s="167">
        <f t="shared" si="323"/>
        <v>-64.155000000000001</v>
      </c>
      <c r="BT35" s="167" t="e">
        <f>IF(E35="Bundled",+(BD35-#REF!)*V35,(AM35+AN35)-V35*#REF!)</f>
        <v>#DIV/0!</v>
      </c>
      <c r="BU35" s="167" t="e">
        <f t="shared" si="324"/>
        <v>#DIV/0!</v>
      </c>
      <c r="BV35" s="167">
        <f t="shared" ref="BV35:BX36" si="330">+BS35/$BS35</f>
        <v>1</v>
      </c>
      <c r="BW35" s="167" t="e">
        <f t="shared" si="330"/>
        <v>#DIV/0!</v>
      </c>
      <c r="BX35" s="167" t="e">
        <f t="shared" si="330"/>
        <v>#DIV/0!</v>
      </c>
    </row>
    <row r="36" spans="1:79" ht="26.1">
      <c r="A36" s="238" t="s">
        <v>45</v>
      </c>
      <c r="B36" s="178" t="s">
        <v>203</v>
      </c>
      <c r="C36" s="196" t="s">
        <v>204</v>
      </c>
      <c r="D36" s="145" t="s">
        <v>169</v>
      </c>
      <c r="E36" s="146" t="s">
        <v>131</v>
      </c>
      <c r="F36" s="190" t="s">
        <v>132</v>
      </c>
      <c r="G36" s="145" t="s">
        <v>133</v>
      </c>
      <c r="H36" s="147" t="str">
        <f t="shared" si="298"/>
        <v>No of Racks</v>
      </c>
      <c r="I36" s="145">
        <v>1</v>
      </c>
      <c r="J36" s="145">
        <v>1</v>
      </c>
      <c r="K36" s="148">
        <f t="shared" si="299"/>
        <v>0</v>
      </c>
      <c r="L36" s="145">
        <v>1</v>
      </c>
      <c r="M36" s="145"/>
      <c r="N36" s="149">
        <f>(1080*70)</f>
        <v>75600</v>
      </c>
      <c r="O36" s="150" t="str">
        <f t="shared" si="300"/>
        <v>Subscribed</v>
      </c>
      <c r="P36" s="145" t="s">
        <v>123</v>
      </c>
      <c r="Q36" s="146">
        <v>4</v>
      </c>
      <c r="R36" s="327">
        <f>W36</f>
        <v>0.35441666666666666</v>
      </c>
      <c r="S36" s="232">
        <f t="shared" si="301"/>
        <v>3.6455833333333332</v>
      </c>
      <c r="T36" s="146"/>
      <c r="U36" s="146">
        <f t="shared" si="302"/>
        <v>3.6455833333333332</v>
      </c>
      <c r="V36" s="146">
        <f t="shared" si="303"/>
        <v>4</v>
      </c>
      <c r="W36" s="231">
        <f>AD36/30/24</f>
        <v>0.35441666666666666</v>
      </c>
      <c r="X36" s="146">
        <f t="shared" si="304"/>
        <v>0</v>
      </c>
      <c r="Y36" s="152">
        <f>0/12</f>
        <v>0</v>
      </c>
      <c r="Z36" s="153" t="str">
        <f t="shared" si="305"/>
        <v>Bundled</v>
      </c>
      <c r="AA36" s="146"/>
      <c r="AB36" s="146"/>
      <c r="AC36" s="154"/>
      <c r="AD36" s="146">
        <v>255.18</v>
      </c>
      <c r="AE36" s="155"/>
      <c r="AF36" s="156"/>
      <c r="AG36" s="146"/>
      <c r="AH36" s="146"/>
      <c r="AI36" s="146">
        <f t="shared" si="306"/>
        <v>0</v>
      </c>
      <c r="AJ36" s="146"/>
      <c r="AK36" s="146"/>
      <c r="AL36" s="149">
        <f t="shared" si="325"/>
        <v>0</v>
      </c>
      <c r="AM36" s="157">
        <f t="shared" si="307"/>
        <v>75600</v>
      </c>
      <c r="AN36" s="157">
        <f t="shared" si="308"/>
        <v>0</v>
      </c>
      <c r="AO36" s="158">
        <f t="shared" si="309"/>
        <v>0</v>
      </c>
      <c r="AP36" s="157">
        <f t="shared" si="310"/>
        <v>0</v>
      </c>
      <c r="AQ36" s="159">
        <f t="shared" ref="AQ36" si="331">0/12</f>
        <v>0</v>
      </c>
      <c r="AR36" s="160">
        <f t="shared" si="311"/>
        <v>75600</v>
      </c>
      <c r="AS36" s="160"/>
      <c r="AT36" s="161"/>
      <c r="AU36" s="162"/>
      <c r="AV36" s="163"/>
      <c r="AW36" s="162"/>
      <c r="AX36" s="164"/>
      <c r="AY36" s="5"/>
      <c r="AZ36" s="165">
        <f t="shared" si="312"/>
        <v>75600</v>
      </c>
      <c r="BA36" s="165">
        <f t="shared" si="313"/>
        <v>18900</v>
      </c>
      <c r="BB36" s="165" t="e">
        <f t="shared" si="326"/>
        <v>#DIV/0!</v>
      </c>
      <c r="BC36" s="165" t="e">
        <f t="shared" si="326"/>
        <v>#DIV/0!</v>
      </c>
      <c r="BD36" s="165" t="e">
        <f t="shared" si="327"/>
        <v>#DIV/0!</v>
      </c>
      <c r="BE36" s="165"/>
      <c r="BF36" s="166">
        <f t="shared" si="314"/>
        <v>75600</v>
      </c>
      <c r="BG36" s="166" t="e">
        <f t="shared" si="315"/>
        <v>#REF!</v>
      </c>
      <c r="BH36" s="166" t="e">
        <f>IF(E36="Bundled",MIN(V36*$AF$1*(1+#REF!),BF36),AO36)</f>
        <v>#REF!</v>
      </c>
      <c r="BI36" s="167">
        <f t="shared" si="328"/>
        <v>24.986374999999999</v>
      </c>
      <c r="BJ36" s="167">
        <f t="shared" si="329"/>
        <v>282</v>
      </c>
      <c r="BK36" s="167">
        <f t="shared" si="316"/>
        <v>282</v>
      </c>
      <c r="BL36" s="167" t="e">
        <f t="shared" si="317"/>
        <v>#DIV/0!</v>
      </c>
      <c r="BM36" s="167" t="e">
        <f>+#REF!*V36</f>
        <v>#REF!</v>
      </c>
      <c r="BN36" s="167" t="e">
        <f t="shared" si="318"/>
        <v>#REF!</v>
      </c>
      <c r="BO36" s="167" t="e">
        <f t="shared" si="319"/>
        <v>#REF!</v>
      </c>
      <c r="BP36" s="167" t="e">
        <f t="shared" si="320"/>
        <v>#REF!</v>
      </c>
      <c r="BQ36" s="167">
        <f t="shared" si="321"/>
        <v>4</v>
      </c>
      <c r="BR36" s="167" t="e">
        <f t="shared" si="322"/>
        <v>#DIV/0!</v>
      </c>
      <c r="BS36" s="167">
        <f t="shared" si="323"/>
        <v>257.01362499999999</v>
      </c>
      <c r="BT36" s="167" t="e">
        <f>IF(E36="Bundled",+(BD36-#REF!)*V36,(AM36+AN36)-V36*#REF!)</f>
        <v>#DIV/0!</v>
      </c>
      <c r="BU36" s="167" t="e">
        <f t="shared" si="324"/>
        <v>#DIV/0!</v>
      </c>
      <c r="BV36" s="167">
        <f t="shared" si="330"/>
        <v>1</v>
      </c>
      <c r="BW36" s="167" t="e">
        <f t="shared" si="330"/>
        <v>#DIV/0!</v>
      </c>
      <c r="BX36" s="167" t="e">
        <f t="shared" si="330"/>
        <v>#DIV/0!</v>
      </c>
    </row>
    <row r="37" spans="1:79" s="5" customFormat="1" ht="26.1">
      <c r="A37" s="313" t="s">
        <v>47</v>
      </c>
      <c r="B37" s="177" t="s">
        <v>205</v>
      </c>
      <c r="C37" s="196" t="s">
        <v>206</v>
      </c>
      <c r="D37" s="145" t="s">
        <v>130</v>
      </c>
      <c r="E37" s="146" t="s">
        <v>131</v>
      </c>
      <c r="F37" s="190" t="s">
        <v>132</v>
      </c>
      <c r="G37" s="145" t="s">
        <v>133</v>
      </c>
      <c r="H37" s="147" t="str">
        <f>IF(F37="Rack","No of Racks",(IF(F37="Space","Sq Ft","U Space")))</f>
        <v>No of Racks</v>
      </c>
      <c r="I37" s="145">
        <v>1</v>
      </c>
      <c r="J37" s="145">
        <v>1</v>
      </c>
      <c r="K37" s="148">
        <f>I37-J37</f>
        <v>0</v>
      </c>
      <c r="L37" s="145">
        <v>1</v>
      </c>
      <c r="M37" s="145"/>
      <c r="N37" s="336">
        <f>80000/12</f>
        <v>6666.666666666667</v>
      </c>
      <c r="O37" s="150" t="str">
        <f>D37</f>
        <v>Rated</v>
      </c>
      <c r="P37" s="145" t="s">
        <v>134</v>
      </c>
      <c r="Q37" s="146">
        <v>3</v>
      </c>
      <c r="R37" s="151">
        <v>4.49</v>
      </c>
      <c r="S37" s="232">
        <f>Q37-R37</f>
        <v>-1.4900000000000002</v>
      </c>
      <c r="T37" s="146"/>
      <c r="U37" s="146">
        <f>IF(S37&lt;=0,0,(IF(O37="Rated",(S37+T37)*'Noida-01'!#REF!,(S37+T37))))</f>
        <v>0</v>
      </c>
      <c r="V37" s="146" t="e">
        <f>IF(O37="Rated",Q37*'Noida-01'!#REF!,Q37)</f>
        <v>#REF!</v>
      </c>
      <c r="W37" s="231">
        <v>1.17</v>
      </c>
      <c r="X37" s="146">
        <f>IF((S37*-1)&gt;0, (S37*-1), 0)</f>
        <v>1.4900000000000002</v>
      </c>
      <c r="Y37" s="152">
        <v>0</v>
      </c>
      <c r="Z37" s="153" t="str">
        <f>E37</f>
        <v>Bundled</v>
      </c>
      <c r="AA37" s="146"/>
      <c r="AB37" s="146"/>
      <c r="AC37" s="154"/>
      <c r="AD37" s="155"/>
      <c r="AE37" s="155"/>
      <c r="AF37" s="156" t="str">
        <f>IF(AE37="No of Seats","No of Seats",(IF(AE37="Space","Sq Ft","")))</f>
        <v/>
      </c>
      <c r="AG37" s="146"/>
      <c r="AH37" s="146"/>
      <c r="AI37" s="146">
        <f>AG37-AH37</f>
        <v>0</v>
      </c>
      <c r="AJ37" s="146"/>
      <c r="AK37" s="146"/>
      <c r="AL37" s="149"/>
      <c r="AM37" s="157">
        <f>N37*L37</f>
        <v>6666.666666666667</v>
      </c>
      <c r="AN37" s="157">
        <f>Y37*X37</f>
        <v>0</v>
      </c>
      <c r="AO37" s="158">
        <f>AD37*AC37*AA37</f>
        <v>0</v>
      </c>
      <c r="AP37" s="157">
        <f>AL37*AJ37</f>
        <v>0</v>
      </c>
      <c r="AQ37" s="159">
        <f>10000/12</f>
        <v>833.33333333333337</v>
      </c>
      <c r="AR37" s="160">
        <f>SUBTOTAL(9,AM37:AQ37)</f>
        <v>7500</v>
      </c>
      <c r="AS37" s="160"/>
      <c r="AT37" s="234" t="s">
        <v>164</v>
      </c>
      <c r="AU37" s="235"/>
      <c r="AV37" s="236"/>
      <c r="AW37" s="235"/>
      <c r="AX37" s="337"/>
      <c r="AZ37" s="165">
        <f>IF(F37="Rack",AR37/I37,0)+IF(F37="U Space",AR37*40/I37,0)+IF(F37="Space",AR37*30/I37,0)</f>
        <v>7500</v>
      </c>
      <c r="BA37" s="165" t="e">
        <f>+AR37/V37</f>
        <v>#REF!</v>
      </c>
      <c r="BB37" s="165" t="e">
        <f>+($AM37+$AN37+$AO37-BI37)/$V37</f>
        <v>#REF!</v>
      </c>
      <c r="BC37" s="165" t="e">
        <f>+($AM37+$AN37+$AO37-BJ37)/$V37</f>
        <v>#REF!</v>
      </c>
      <c r="BD37" s="165" t="e">
        <f>+($AM37+$AN37+IF(E37="Bundled",0,V37*0.85*AA37*AC37*30.5*24)-BK37)/$V37</f>
        <v>#REF!</v>
      </c>
      <c r="BE37" s="165"/>
      <c r="BF37" s="166">
        <f>+AM37+AN37+AO37</f>
        <v>6666.666666666667</v>
      </c>
      <c r="BG37" s="166" t="e">
        <f>+BF37-BH37</f>
        <v>#REF!</v>
      </c>
      <c r="BH37" s="166" t="e">
        <f>IF(E37="Bundled",MIN(V37*'Noida-01'!#REF!*(1+#REF!),BF37),AO37)</f>
        <v>#REF!</v>
      </c>
      <c r="BI37" s="167" t="e">
        <f>IF($AD37&gt;0,$AD37*'Noida-01'!#REF!*'Noida-01'!#REF!*(1+'Noida-01'!#REF!*(20/'Noida-01'!#REF!)/732),'Noida-01'!#REF!*W37)</f>
        <v>#REF!</v>
      </c>
      <c r="BJ37" s="167" t="e">
        <f>IF($AD37&gt;0,$AD37*'Noida-01'!#REF!*'Noida-01'!#REF!*(1+'Noida-01'!#REF!*(20/'Noida-01'!#REF!)/732),+'Noida-01'!#REF!*(W37+U37))</f>
        <v>#REF!</v>
      </c>
      <c r="BK37" s="167" t="e">
        <f>IF(E37="Bundled",'Noida-01'!#REF!*V37,'Noida-01'!#REF!*V37*0.85)</f>
        <v>#REF!</v>
      </c>
      <c r="BL37" s="167" t="e">
        <f>+BB37*V37</f>
        <v>#REF!</v>
      </c>
      <c r="BM37" s="167" t="e">
        <f>+#REF!*V37</f>
        <v>#REF!</v>
      </c>
      <c r="BN37" s="167" t="e">
        <f>+BG37-BM37</f>
        <v>#REF!</v>
      </c>
      <c r="BO37" s="167" t="e">
        <f>+BH37-BI37</f>
        <v>#REF!</v>
      </c>
      <c r="BP37" s="167" t="e">
        <f>+BN37+BO37</f>
        <v>#REF!</v>
      </c>
      <c r="BQ37" s="167" t="e">
        <f>+V37</f>
        <v>#REF!</v>
      </c>
      <c r="BR37" s="167" t="e">
        <f>+BB37</f>
        <v>#REF!</v>
      </c>
      <c r="BS37" s="167" t="e">
        <f>IF(E37="Bundled",BK37-BI37,AO37-BI37)</f>
        <v>#REF!</v>
      </c>
      <c r="BT37" s="167" t="e">
        <f>IF(E37="Bundled",+(BD37-#REF!)*V37,(AM37+AN37)-V37*#REF!)</f>
        <v>#REF!</v>
      </c>
      <c r="BU37" s="167" t="e">
        <f>+BS37+BT37</f>
        <v>#REF!</v>
      </c>
      <c r="BV37" s="167" t="e">
        <f t="shared" ref="BV37:BX38" si="332">+BS37/$BQ37</f>
        <v>#REF!</v>
      </c>
      <c r="BW37" s="167" t="e">
        <f t="shared" si="332"/>
        <v>#REF!</v>
      </c>
      <c r="BX37" s="167" t="e">
        <f t="shared" si="332"/>
        <v>#REF!</v>
      </c>
    </row>
    <row r="38" spans="1:79" s="16" customFormat="1" ht="26.1">
      <c r="A38" s="142" t="s">
        <v>47</v>
      </c>
      <c r="B38" s="177" t="s">
        <v>207</v>
      </c>
      <c r="C38" s="168" t="s">
        <v>208</v>
      </c>
      <c r="D38" s="145" t="s">
        <v>169</v>
      </c>
      <c r="E38" s="146" t="s">
        <v>170</v>
      </c>
      <c r="F38" s="190" t="s">
        <v>132</v>
      </c>
      <c r="G38" s="145" t="s">
        <v>133</v>
      </c>
      <c r="H38" s="147" t="str">
        <f t="shared" ref="H38:H39" si="333">IF(F38="Rack","No of Racks",(IF(F38="Space","Sq Ft","U Space")))</f>
        <v>No of Racks</v>
      </c>
      <c r="I38" s="145">
        <v>1</v>
      </c>
      <c r="J38" s="145">
        <v>1</v>
      </c>
      <c r="K38" s="148">
        <f t="shared" ref="K38:K39" si="334">I38-J38</f>
        <v>0</v>
      </c>
      <c r="L38" s="145">
        <v>1</v>
      </c>
      <c r="M38" s="145"/>
      <c r="N38" s="336">
        <f>188000/12</f>
        <v>15666.666666666666</v>
      </c>
      <c r="O38" s="150" t="str">
        <f t="shared" ref="O38:O39" si="335">D38</f>
        <v>Subscribed</v>
      </c>
      <c r="P38" s="145" t="s">
        <v>123</v>
      </c>
      <c r="Q38" s="146">
        <v>3</v>
      </c>
      <c r="R38" s="231">
        <f>W38</f>
        <v>1.5194354838709678</v>
      </c>
      <c r="S38" s="232">
        <f t="shared" ref="S38:S39" si="336">Q38-R38</f>
        <v>1.4805645161290322</v>
      </c>
      <c r="T38" s="146"/>
      <c r="U38" s="146">
        <f t="shared" ref="U38:U39" si="337">IF(S38&lt;=0,0,(IF(O38="Rated",(S38+T38)*$W$1,(S38+T38))))</f>
        <v>1.4805645161290322</v>
      </c>
      <c r="V38" s="146">
        <f t="shared" ref="V38:V39" si="338">IF(O38="Rated",Q38*$W$1,Q38)</f>
        <v>3</v>
      </c>
      <c r="W38" s="231">
        <f t="shared" ref="W38" si="339">AD38/31/24</f>
        <v>1.5194354838709678</v>
      </c>
      <c r="X38" s="146">
        <f>IF((S38*-1)&gt;0, (S38*-1), 0)</f>
        <v>0</v>
      </c>
      <c r="Y38" s="152"/>
      <c r="Z38" s="153" t="str">
        <f t="shared" ref="Z38:Z39" si="340">E38</f>
        <v>Metered</v>
      </c>
      <c r="AA38" s="146">
        <v>1</v>
      </c>
      <c r="AB38" s="146" t="s">
        <v>171</v>
      </c>
      <c r="AC38" s="154"/>
      <c r="AD38" s="146">
        <v>1130.46</v>
      </c>
      <c r="AE38" s="155"/>
      <c r="AF38" s="156" t="str">
        <f>IF(AE38="No of Seats","No of Seats",(IF(AE38="Space","Sq Ft","")))</f>
        <v/>
      </c>
      <c r="AG38" s="146"/>
      <c r="AH38" s="146"/>
      <c r="AI38" s="146">
        <f>AG38-AH38</f>
        <v>0</v>
      </c>
      <c r="AJ38" s="146"/>
      <c r="AK38" s="146"/>
      <c r="AL38" s="149"/>
      <c r="AM38" s="157"/>
      <c r="AN38" s="157">
        <f>Y38*X38</f>
        <v>0</v>
      </c>
      <c r="AO38" s="158">
        <f>AD38*AC38*AA38</f>
        <v>0</v>
      </c>
      <c r="AP38" s="157">
        <f>AL38*AJ38</f>
        <v>0</v>
      </c>
      <c r="AQ38" s="159"/>
      <c r="AR38" s="160">
        <f>SUBTOTAL(9,AM38:AQ38)</f>
        <v>0</v>
      </c>
      <c r="AS38" s="160"/>
      <c r="AT38" s="161"/>
      <c r="AU38" s="162"/>
      <c r="AV38" s="163"/>
      <c r="AW38" s="162"/>
      <c r="AX38" s="164"/>
      <c r="AY38" s="5"/>
      <c r="AZ38" s="165">
        <f>IF(F38="Rack",AR38/I38,0)+IF(F38="U Space",AR38*40/I38,0)+IF(F38="Space",AR38*30/I38,0)</f>
        <v>0</v>
      </c>
      <c r="BA38" s="165">
        <f>+AR38/V38</f>
        <v>0</v>
      </c>
      <c r="BB38" s="165" t="e">
        <f>+($AM38+$AN38+$AO38-BI38)/$V38</f>
        <v>#VALUE!</v>
      </c>
      <c r="BC38" s="165"/>
      <c r="BD38" s="165"/>
      <c r="BE38" s="165"/>
      <c r="BF38" s="166">
        <f>+AM38+AN38+AO38</f>
        <v>0</v>
      </c>
      <c r="BG38" s="166">
        <f>+BF38-BH38</f>
        <v>0</v>
      </c>
      <c r="BH38" s="166">
        <f>IF(E38="Bundled",MIN(V38*$AF$1*(1+#REF!),BF38),AO38)</f>
        <v>0</v>
      </c>
      <c r="BI38" s="167" t="e">
        <f>IF($AD38&gt;0,$AD38*$AC$1*$AE$1*(1+$AH$1*(20/$AE$1)/732),$AF$1*W38)</f>
        <v>#VALUE!</v>
      </c>
      <c r="BJ38" s="167"/>
      <c r="BK38" s="167"/>
      <c r="BL38" s="167" t="e">
        <f>+BB38*V38</f>
        <v>#VALUE!</v>
      </c>
      <c r="BM38" s="167" t="e">
        <f>+#REF!*V38</f>
        <v>#REF!</v>
      </c>
      <c r="BN38" s="167" t="e">
        <f>+BG38-BM38</f>
        <v>#REF!</v>
      </c>
      <c r="BO38" s="167" t="e">
        <f>+BH38-BI38</f>
        <v>#VALUE!</v>
      </c>
      <c r="BP38" s="167" t="e">
        <f>+BN38+BO38</f>
        <v>#REF!</v>
      </c>
      <c r="BQ38" s="167">
        <f>+V38</f>
        <v>3</v>
      </c>
      <c r="BR38" s="167" t="e">
        <f>+BB38</f>
        <v>#VALUE!</v>
      </c>
      <c r="BS38" s="167" t="e">
        <f>IF(E38="Bundled",BK38-BI38,AO38-BI38)</f>
        <v>#VALUE!</v>
      </c>
      <c r="BT38" s="167" t="e">
        <f>IF(E38="Bundled",+(BD38-#REF!)*V38,(AM38+AN38)-V38*#REF!)</f>
        <v>#REF!</v>
      </c>
      <c r="BU38" s="167" t="e">
        <f>+BS38+BT38</f>
        <v>#VALUE!</v>
      </c>
      <c r="BV38" s="167" t="e">
        <f t="shared" si="332"/>
        <v>#VALUE!</v>
      </c>
      <c r="BW38" s="167" t="e">
        <f t="shared" si="332"/>
        <v>#REF!</v>
      </c>
      <c r="BX38" s="167" t="e">
        <f t="shared" si="332"/>
        <v>#VALUE!</v>
      </c>
    </row>
    <row r="39" spans="1:79">
      <c r="A39" s="238" t="s">
        <v>47</v>
      </c>
      <c r="B39" s="179" t="s">
        <v>192</v>
      </c>
      <c r="C39" s="144" t="s">
        <v>209</v>
      </c>
      <c r="D39" s="145" t="s">
        <v>130</v>
      </c>
      <c r="E39" s="146" t="s">
        <v>131</v>
      </c>
      <c r="F39" s="190" t="s">
        <v>144</v>
      </c>
      <c r="G39" s="145" t="s">
        <v>133</v>
      </c>
      <c r="H39" s="147" t="str">
        <f t="shared" si="333"/>
        <v>U Space</v>
      </c>
      <c r="I39" s="145">
        <v>5</v>
      </c>
      <c r="J39" s="145">
        <v>5</v>
      </c>
      <c r="K39" s="148">
        <f t="shared" si="334"/>
        <v>0</v>
      </c>
      <c r="L39" s="145">
        <v>5</v>
      </c>
      <c r="M39" s="145"/>
      <c r="N39" s="149">
        <f>4166.67/2</f>
        <v>2083.335</v>
      </c>
      <c r="O39" s="150" t="str">
        <f t="shared" si="335"/>
        <v>Rated</v>
      </c>
      <c r="P39" s="321" t="s">
        <v>134</v>
      </c>
      <c r="Q39" s="146">
        <v>1.25</v>
      </c>
      <c r="R39" s="151">
        <v>0.78</v>
      </c>
      <c r="S39" s="232">
        <f t="shared" si="336"/>
        <v>0.47</v>
      </c>
      <c r="T39" s="146"/>
      <c r="U39" s="146">
        <f t="shared" si="337"/>
        <v>0</v>
      </c>
      <c r="V39" s="146">
        <f t="shared" si="338"/>
        <v>0</v>
      </c>
      <c r="W39" s="231">
        <v>0.66</v>
      </c>
      <c r="X39" s="146">
        <f t="shared" ref="X39" si="341">IF((S39*-1)&gt;0, (S39*-1), 0)</f>
        <v>0</v>
      </c>
      <c r="Y39" s="152">
        <f>90000/12</f>
        <v>7500</v>
      </c>
      <c r="Z39" s="153" t="str">
        <f t="shared" si="340"/>
        <v>Bundled</v>
      </c>
      <c r="AA39" s="146"/>
      <c r="AB39" s="146"/>
      <c r="AC39" s="154"/>
      <c r="AD39" s="146"/>
      <c r="AE39" s="155"/>
      <c r="AF39" s="156" t="str">
        <f t="shared" ref="AF39" si="342">IF(AE39="No of Seats","No of Seats",(IF(AE39="Space","Sq Ft","")))</f>
        <v/>
      </c>
      <c r="AG39" s="146"/>
      <c r="AH39" s="146"/>
      <c r="AI39" s="146">
        <f t="shared" ref="AI39" si="343">AG39-AH39</f>
        <v>0</v>
      </c>
      <c r="AJ39" s="146"/>
      <c r="AK39" s="146"/>
      <c r="AL39" s="149"/>
      <c r="AM39" s="157">
        <f t="shared" ref="AM39" si="344">N39*L39</f>
        <v>10416.674999999999</v>
      </c>
      <c r="AN39" s="157">
        <f t="shared" ref="AN39" si="345">Y39*X39</f>
        <v>0</v>
      </c>
      <c r="AO39" s="158">
        <f t="shared" ref="AO39" si="346">AD39*AC39*AA39</f>
        <v>0</v>
      </c>
      <c r="AP39" s="157">
        <f t="shared" ref="AP39" si="347">AL39*AJ39</f>
        <v>0</v>
      </c>
      <c r="AQ39" s="159">
        <f>(8334+1000)</f>
        <v>9334</v>
      </c>
      <c r="AR39" s="160">
        <f t="shared" ref="AR39" si="348">SUBTOTAL(9,AM39:AQ39)</f>
        <v>19750.674999999999</v>
      </c>
      <c r="AS39" s="160"/>
      <c r="AT39" s="315">
        <v>121000328</v>
      </c>
      <c r="AU39" s="235"/>
      <c r="AV39" s="236"/>
      <c r="AW39" s="235"/>
      <c r="AX39" s="320"/>
      <c r="AY39" s="5"/>
      <c r="AZ39" s="165">
        <f t="shared" ref="AZ39" si="349">IF(F39="Rack",AR39/I39,0)+IF(F39="U Space",AR39*40/I39,0)+IF(F39="Space",AR39*30/I39,0)</f>
        <v>158005.4</v>
      </c>
      <c r="BA39" s="165" t="e">
        <f t="shared" ref="BA39" si="350">+AR39/V39</f>
        <v>#DIV/0!</v>
      </c>
      <c r="BB39" s="165">
        <f t="shared" ref="BB39:BC39" si="351">+($AP39+$AQ39+$AR39-BI39)/$Y39</f>
        <v>3.8779566666666665</v>
      </c>
      <c r="BC39" s="165">
        <f t="shared" si="351"/>
        <v>3.8779566666666665</v>
      </c>
      <c r="BD39" s="165">
        <f t="shared" ref="BD39" si="352">+($AP39+$AQ39+IF(E39="Bundled",0,V39*0.85*AA39*AC39*30.5*24)-BK39)/$Y39</f>
        <v>1.2445333333333333</v>
      </c>
      <c r="BE39" s="165"/>
      <c r="BF39" s="166">
        <f t="shared" ref="BF39" si="353">+AM39+AN39+AO39</f>
        <v>10416.674999999999</v>
      </c>
      <c r="BG39" s="166" t="e">
        <f t="shared" ref="BG39" si="354">+BF39-BH39</f>
        <v>#REF!</v>
      </c>
      <c r="BH39" s="166" t="e">
        <f>IF(E39="Bundled",MIN(V39*$AG$1*(1+#REF!),BF39),AO39)</f>
        <v>#REF!</v>
      </c>
      <c r="BI39" s="167">
        <f t="shared" ref="BI39" si="355">IF($AG39&gt;0,$AG39*$AD$1*$AF$1*(1+$AI$1*(20/$AF$1)/732),$AG$1*W39)</f>
        <v>0</v>
      </c>
      <c r="BJ39" s="167">
        <f t="shared" ref="BJ39" si="356">IF($AG39&gt;0,$AG39*$AD$1*$AF$1*(1+$AI$1*(20/$AF$1)/732),+$AG$1*(W39+U39))</f>
        <v>0</v>
      </c>
      <c r="BK39" s="167">
        <f t="shared" ref="BK39" si="357">IF(E39="Bundled",$AG$1*V39,$AG$1*V39*0.85)</f>
        <v>0</v>
      </c>
      <c r="BL39" s="167">
        <f t="shared" ref="BL39" si="358">+BB39*V39</f>
        <v>0</v>
      </c>
      <c r="BM39" s="167" t="e">
        <f>+#REF!*V39</f>
        <v>#REF!</v>
      </c>
      <c r="BN39" s="167" t="e">
        <f t="shared" ref="BN39" si="359">+BG39-BM39</f>
        <v>#REF!</v>
      </c>
      <c r="BO39" s="167" t="e">
        <f t="shared" ref="BO39" si="360">+BH39-BI39</f>
        <v>#REF!</v>
      </c>
      <c r="BP39" s="167" t="e">
        <f t="shared" ref="BP39" si="361">+BN39+BO39</f>
        <v>#REF!</v>
      </c>
      <c r="BQ39" s="167">
        <f t="shared" ref="BQ39" si="362">+V39</f>
        <v>0</v>
      </c>
      <c r="BR39" s="167">
        <f t="shared" ref="BR39" si="363">+BB39</f>
        <v>3.8779566666666665</v>
      </c>
      <c r="BS39" s="167">
        <f t="shared" ref="BS39" si="364">IF(E39="Bundled",BK39-BI39,AO39-BI39)</f>
        <v>0</v>
      </c>
      <c r="BT39" s="167" t="e">
        <f>IF(E39="Bundled",+(BD39-#REF!)*V39,(AM39+AN39)-V39*#REF!)</f>
        <v>#REF!</v>
      </c>
      <c r="BU39" s="167" t="e">
        <f t="shared" ref="BU39" si="365">+BS39+BT39</f>
        <v>#REF!</v>
      </c>
      <c r="BV39" s="167" t="e">
        <f t="shared" ref="BV39:BX39" si="366">+BS39/$BT39</f>
        <v>#REF!</v>
      </c>
      <c r="BW39" s="167" t="e">
        <f t="shared" si="366"/>
        <v>#REF!</v>
      </c>
      <c r="BX39" s="167" t="e">
        <f t="shared" si="366"/>
        <v>#REF!</v>
      </c>
    </row>
    <row r="40" spans="1:79" s="16" customFormat="1" ht="65.099999999999994">
      <c r="A40" s="313" t="s">
        <v>47</v>
      </c>
      <c r="B40" s="177" t="s">
        <v>210</v>
      </c>
      <c r="C40" s="201" t="s">
        <v>211</v>
      </c>
      <c r="D40" s="145" t="s">
        <v>130</v>
      </c>
      <c r="E40" s="146" t="s">
        <v>170</v>
      </c>
      <c r="F40" s="190" t="s">
        <v>132</v>
      </c>
      <c r="G40" s="145" t="s">
        <v>133</v>
      </c>
      <c r="H40" s="147" t="str">
        <f t="shared" ref="H40:H45" si="367">IF(F40="Rack","No of Racks",(IF(F40="Space","Sq Ft","U Space")))</f>
        <v>No of Racks</v>
      </c>
      <c r="I40" s="145">
        <v>6</v>
      </c>
      <c r="J40" s="145">
        <v>6</v>
      </c>
      <c r="K40" s="148">
        <f>I40-J40</f>
        <v>0</v>
      </c>
      <c r="L40" s="145">
        <v>6</v>
      </c>
      <c r="M40" s="145"/>
      <c r="N40" s="149">
        <f>260000/12</f>
        <v>21666.666666666668</v>
      </c>
      <c r="O40" s="150" t="str">
        <f>D40</f>
        <v>Rated</v>
      </c>
      <c r="P40" s="145" t="s">
        <v>134</v>
      </c>
      <c r="Q40" s="146">
        <v>45</v>
      </c>
      <c r="R40" s="151">
        <v>26.34</v>
      </c>
      <c r="S40" s="232">
        <f>Q40-R40</f>
        <v>18.66</v>
      </c>
      <c r="T40" s="146"/>
      <c r="U40" s="146" t="e">
        <f>IF(S40&lt;=0,0,(IF(O40="Rated",(S40+T40)*'Noida-01'!#REF!,(S40+T40))))</f>
        <v>#REF!</v>
      </c>
      <c r="V40" s="146" t="e">
        <f>IF(O40="Rated",Q40*'Noida-01'!#REF!,Q40)</f>
        <v>#REF!</v>
      </c>
      <c r="W40" s="231">
        <f>AD40/31/24</f>
        <v>5.3492473118279564</v>
      </c>
      <c r="X40" s="146">
        <f>IF((S40*-1)&gt;0, (S40*-1), 0)</f>
        <v>0</v>
      </c>
      <c r="Y40" s="152">
        <v>0</v>
      </c>
      <c r="Z40" s="153" t="str">
        <f>E40</f>
        <v>Metered</v>
      </c>
      <c r="AA40" s="146">
        <v>1</v>
      </c>
      <c r="AB40" s="146" t="s">
        <v>171</v>
      </c>
      <c r="AC40" s="338">
        <v>14.516</v>
      </c>
      <c r="AD40" s="146">
        <v>3979.84</v>
      </c>
      <c r="AE40" s="155" t="s">
        <v>141</v>
      </c>
      <c r="AF40" s="156" t="str">
        <f>IF(AE40="No of Seats","No of Seats",(IF(AE40="Space","Sq Ft","")))</f>
        <v>No of Seats</v>
      </c>
      <c r="AG40" s="146">
        <v>1</v>
      </c>
      <c r="AH40" s="146">
        <v>1</v>
      </c>
      <c r="AI40" s="146">
        <f>AG40-AH40</f>
        <v>0</v>
      </c>
      <c r="AJ40" s="146">
        <v>1</v>
      </c>
      <c r="AK40" s="146"/>
      <c r="AL40" s="149">
        <f>100000/12</f>
        <v>8333.3333333333339</v>
      </c>
      <c r="AM40" s="157">
        <f>N40*L40</f>
        <v>130000</v>
      </c>
      <c r="AN40" s="157">
        <f>Y40*X40</f>
        <v>0</v>
      </c>
      <c r="AO40" s="158">
        <f>AD40*AC40*AA40</f>
        <v>57771.35744</v>
      </c>
      <c r="AP40" s="157">
        <f>AL40*AJ40</f>
        <v>8333.3333333333339</v>
      </c>
      <c r="AQ40" s="159"/>
      <c r="AR40" s="160">
        <f>SUBTOTAL(9,AM40:AQ40)</f>
        <v>196104.69077333334</v>
      </c>
      <c r="AS40" s="160"/>
      <c r="AT40" s="161">
        <v>721005172</v>
      </c>
      <c r="AU40" s="162"/>
      <c r="AV40" s="163"/>
      <c r="AW40" s="162"/>
      <c r="AX40" s="164"/>
      <c r="AZ40" s="165">
        <f>IF(F40="Rack",AR40/I40,0)+IF(F40="U Space",AR40*40/I40,0)+IF(F40="Space",AR40*30/I40,0)</f>
        <v>32684.11512888889</v>
      </c>
      <c r="BA40" s="165" t="e">
        <f>+AR40/V40</f>
        <v>#REF!</v>
      </c>
      <c r="BB40" s="165" t="e">
        <f t="shared" ref="BB40:BC42" si="368">+($AM40+$AN40+$AO40-BI40)/$V40</f>
        <v>#REF!</v>
      </c>
      <c r="BC40" s="165" t="e">
        <f t="shared" si="368"/>
        <v>#REF!</v>
      </c>
      <c r="BD40" s="165" t="e">
        <f>+($AM40+$AN40+IF(E40="Bundled",0,V40*0.85*AA40*AC40*30.5*24)-BK40)/$V40</f>
        <v>#REF!</v>
      </c>
      <c r="BE40" s="165"/>
      <c r="BF40" s="166">
        <f>+AM40+AN40+AO40</f>
        <v>187771.35743999999</v>
      </c>
      <c r="BG40" s="166">
        <f>+BF40-BH40</f>
        <v>130000</v>
      </c>
      <c r="BH40" s="166">
        <f>IF(E40="Bundled",MIN(V40*'Noida-01'!#REF!*(1+#REF!),BF40),AO40)</f>
        <v>57771.35744</v>
      </c>
      <c r="BI40" s="167" t="e">
        <f>IF($AD40&gt;0,$AD40*'Noida-01'!#REF!*'Noida-01'!#REF!*(1+'Noida-01'!#REF!*(20/'Noida-01'!#REF!)/732),'Noida-01'!#REF!*W40)</f>
        <v>#REF!</v>
      </c>
      <c r="BJ40" s="167" t="e">
        <f>IF($AD40&gt;0,$AD40*'Noida-01'!#REF!*'Noida-01'!#REF!*(1+'Noida-01'!#REF!*(20/'Noida-01'!#REF!)/732),+'Noida-01'!#REF!*(W40+U40))</f>
        <v>#REF!</v>
      </c>
      <c r="BK40" s="167" t="e">
        <f>IF(E40="Bundled",'Noida-01'!#REF!*V40,'Noida-01'!#REF!*V40*0.85)</f>
        <v>#REF!</v>
      </c>
      <c r="BL40" s="167" t="e">
        <f>+BB40*V40</f>
        <v>#REF!</v>
      </c>
      <c r="BM40" s="167" t="e">
        <f>+#REF!*V40</f>
        <v>#REF!</v>
      </c>
      <c r="BN40" s="167" t="e">
        <f>+BG40-BM40</f>
        <v>#REF!</v>
      </c>
      <c r="BO40" s="167" t="e">
        <f>+BH40-BI40</f>
        <v>#REF!</v>
      </c>
      <c r="BP40" s="167" t="e">
        <f>+BN40+BO40</f>
        <v>#REF!</v>
      </c>
      <c r="BQ40" s="167" t="e">
        <f>+V40</f>
        <v>#REF!</v>
      </c>
      <c r="BR40" s="167" t="e">
        <f>+BB40</f>
        <v>#REF!</v>
      </c>
      <c r="BS40" s="167" t="e">
        <f>IF(E40="Bundled",BK40-BI40,AO40-BI40)</f>
        <v>#REF!</v>
      </c>
      <c r="BT40" s="167" t="e">
        <f>IF(E40="Bundled",+(BD40-#REF!)*V40,(AM40+AN40)-V40*#REF!)</f>
        <v>#REF!</v>
      </c>
      <c r="BU40" s="167" t="e">
        <f>+BS40+BT40</f>
        <v>#REF!</v>
      </c>
      <c r="BV40" s="167" t="e">
        <f t="shared" ref="BV40:BX42" si="369">+BS40/$BQ40</f>
        <v>#REF!</v>
      </c>
      <c r="BW40" s="167" t="e">
        <f t="shared" si="369"/>
        <v>#REF!</v>
      </c>
      <c r="BX40" s="167" t="e">
        <f t="shared" si="369"/>
        <v>#REF!</v>
      </c>
    </row>
    <row r="41" spans="1:79" s="16" customFormat="1" ht="39">
      <c r="A41" s="313" t="s">
        <v>47</v>
      </c>
      <c r="B41" s="177" t="s">
        <v>212</v>
      </c>
      <c r="C41" s="201" t="s">
        <v>211</v>
      </c>
      <c r="D41" s="145" t="s">
        <v>130</v>
      </c>
      <c r="E41" s="146" t="s">
        <v>170</v>
      </c>
      <c r="F41" s="190" t="s">
        <v>132</v>
      </c>
      <c r="G41" s="145" t="s">
        <v>133</v>
      </c>
      <c r="H41" s="147" t="str">
        <f t="shared" si="367"/>
        <v>No of Racks</v>
      </c>
      <c r="I41" s="145">
        <v>1</v>
      </c>
      <c r="J41" s="145">
        <v>1</v>
      </c>
      <c r="K41" s="148">
        <f>I41-J41</f>
        <v>0</v>
      </c>
      <c r="L41" s="145">
        <v>1</v>
      </c>
      <c r="M41" s="145"/>
      <c r="N41" s="149">
        <f>260000/12</f>
        <v>21666.666666666668</v>
      </c>
      <c r="O41" s="150" t="str">
        <f>D41</f>
        <v>Rated</v>
      </c>
      <c r="P41" s="145" t="s">
        <v>134</v>
      </c>
      <c r="Q41" s="146">
        <v>3</v>
      </c>
      <c r="R41" s="151">
        <v>8.32</v>
      </c>
      <c r="S41" s="232">
        <f>Q41-R41</f>
        <v>-5.32</v>
      </c>
      <c r="T41" s="146"/>
      <c r="U41" s="146">
        <f>IF(S41&lt;=0,0,(IF(O41="Rated",(S41+T41)*'Noida-01'!#REF!,(S41+T41))))</f>
        <v>0</v>
      </c>
      <c r="V41" s="146" t="e">
        <f>IF(O41="Rated",Q41*'Noida-01'!#REF!,Q41)</f>
        <v>#REF!</v>
      </c>
      <c r="W41" s="231">
        <f>AD41/31/24</f>
        <v>0.19745967741935486</v>
      </c>
      <c r="X41" s="146">
        <f>IF((S41*-1)&gt;0, (S41*-1), 0)</f>
        <v>5.32</v>
      </c>
      <c r="Y41" s="152">
        <v>0</v>
      </c>
      <c r="Z41" s="153" t="str">
        <f>E41</f>
        <v>Metered</v>
      </c>
      <c r="AA41" s="146">
        <v>1</v>
      </c>
      <c r="AB41" s="146" t="s">
        <v>171</v>
      </c>
      <c r="AC41" s="338">
        <v>14.516</v>
      </c>
      <c r="AD41" s="146">
        <v>146.91</v>
      </c>
      <c r="AE41" s="155"/>
      <c r="AF41" s="156" t="str">
        <f>IF(AE41="No of Seats","No of Seats",(IF(AE41="Space","Sq Ft","")))</f>
        <v/>
      </c>
      <c r="AG41" s="146"/>
      <c r="AH41" s="146"/>
      <c r="AI41" s="146">
        <f>AG41-AH41</f>
        <v>0</v>
      </c>
      <c r="AJ41" s="145"/>
      <c r="AK41" s="146"/>
      <c r="AL41" s="149"/>
      <c r="AM41" s="157">
        <f>N41*L41</f>
        <v>21666.666666666668</v>
      </c>
      <c r="AN41" s="157">
        <f>Y41*X41</f>
        <v>0</v>
      </c>
      <c r="AO41" s="158">
        <f>AD41*AC41*AA41</f>
        <v>2132.54556</v>
      </c>
      <c r="AP41" s="157">
        <f>AL41*AJ41</f>
        <v>0</v>
      </c>
      <c r="AQ41" s="159"/>
      <c r="AR41" s="160">
        <f>SUBTOTAL(9,AM41:AQ41)</f>
        <v>23799.212226666667</v>
      </c>
      <c r="AS41" s="160"/>
      <c r="AT41" s="161">
        <v>121001567</v>
      </c>
      <c r="AU41" s="162"/>
      <c r="AV41" s="163"/>
      <c r="AW41" s="162"/>
      <c r="AX41" s="164"/>
      <c r="AZ41" s="165">
        <f>IF(F41="Rack",AR41/I41,0)+IF(F41="U Space",AR41*40/I41,0)+IF(F41="Space",AR41*30/I41,0)</f>
        <v>23799.212226666667</v>
      </c>
      <c r="BA41" s="165" t="e">
        <f>+AR41/V41</f>
        <v>#REF!</v>
      </c>
      <c r="BB41" s="165" t="e">
        <f t="shared" si="368"/>
        <v>#REF!</v>
      </c>
      <c r="BC41" s="165" t="e">
        <f t="shared" si="368"/>
        <v>#REF!</v>
      </c>
      <c r="BD41" s="165" t="e">
        <f>+($AM41+$AN41+IF(E41="Bundled",0,V41*0.85*AA41*AC41*30.5*24)-BK41)/$V41</f>
        <v>#REF!</v>
      </c>
      <c r="BE41" s="165"/>
      <c r="BF41" s="166">
        <f>+AM41+AN41+AO41</f>
        <v>23799.212226666667</v>
      </c>
      <c r="BG41" s="166">
        <f>+BF41-BH41</f>
        <v>21666.666666666668</v>
      </c>
      <c r="BH41" s="166">
        <f>IF(E41="Bundled",MIN(V41*'Noida-01'!#REF!*(1+#REF!),BF41),AO41)</f>
        <v>2132.54556</v>
      </c>
      <c r="BI41" s="167" t="e">
        <f>IF($AD41&gt;0,$AD41*'Noida-01'!#REF!*'Noida-01'!#REF!*(1+'Noida-01'!#REF!*(20/'Noida-01'!#REF!)/732),'Noida-01'!#REF!*W41)</f>
        <v>#REF!</v>
      </c>
      <c r="BJ41" s="167" t="e">
        <f>IF($AD41&gt;0,$AD41*'Noida-01'!#REF!*'Noida-01'!#REF!*(1+'Noida-01'!#REF!*(20/'Noida-01'!#REF!)/732),+'Noida-01'!#REF!*(W41+U41))</f>
        <v>#REF!</v>
      </c>
      <c r="BK41" s="167" t="e">
        <f>IF(E41="Bundled",'Noida-01'!#REF!*V41,'Noida-01'!#REF!*V41*0.85)</f>
        <v>#REF!</v>
      </c>
      <c r="BL41" s="167" t="e">
        <f>+BB41*V41</f>
        <v>#REF!</v>
      </c>
      <c r="BM41" s="167" t="e">
        <f>+#REF!*V41</f>
        <v>#REF!</v>
      </c>
      <c r="BN41" s="167" t="e">
        <f>+BG41-BM41</f>
        <v>#REF!</v>
      </c>
      <c r="BO41" s="167" t="e">
        <f>+BH41-BI41</f>
        <v>#REF!</v>
      </c>
      <c r="BP41" s="167" t="e">
        <f>+BN41+BO41</f>
        <v>#REF!</v>
      </c>
      <c r="BQ41" s="167" t="e">
        <f>+V41</f>
        <v>#REF!</v>
      </c>
      <c r="BR41" s="167" t="e">
        <f>+BB41</f>
        <v>#REF!</v>
      </c>
      <c r="BS41" s="167" t="e">
        <f>IF(E41="Bundled",BK41-BI41,AO41-BI41)</f>
        <v>#REF!</v>
      </c>
      <c r="BT41" s="167" t="e">
        <f>IF(E41="Bundled",+(BD41-#REF!)*V41,(AM41+AN41)-V41*#REF!)</f>
        <v>#REF!</v>
      </c>
      <c r="BU41" s="167" t="e">
        <f>+BS41+BT41</f>
        <v>#REF!</v>
      </c>
      <c r="BV41" s="167" t="e">
        <f t="shared" si="369"/>
        <v>#REF!</v>
      </c>
      <c r="BW41" s="167" t="e">
        <f t="shared" si="369"/>
        <v>#REF!</v>
      </c>
      <c r="BX41" s="167" t="e">
        <f t="shared" si="369"/>
        <v>#REF!</v>
      </c>
    </row>
    <row r="42" spans="1:79" s="16" customFormat="1" ht="78">
      <c r="A42" s="142" t="s">
        <v>47</v>
      </c>
      <c r="B42" s="177" t="s">
        <v>213</v>
      </c>
      <c r="C42" s="201" t="s">
        <v>211</v>
      </c>
      <c r="D42" s="145" t="s">
        <v>130</v>
      </c>
      <c r="E42" s="146" t="s">
        <v>170</v>
      </c>
      <c r="F42" s="190" t="s">
        <v>132</v>
      </c>
      <c r="G42" s="145" t="s">
        <v>133</v>
      </c>
      <c r="H42" s="147" t="str">
        <f t="shared" si="367"/>
        <v>No of Racks</v>
      </c>
      <c r="I42" s="145">
        <v>6</v>
      </c>
      <c r="J42" s="145">
        <v>6</v>
      </c>
      <c r="K42" s="148">
        <f>I42-J42</f>
        <v>0</v>
      </c>
      <c r="L42" s="145">
        <v>6</v>
      </c>
      <c r="M42" s="145"/>
      <c r="N42" s="149">
        <f>260000/12</f>
        <v>21666.666666666668</v>
      </c>
      <c r="O42" s="150" t="str">
        <f>D42</f>
        <v>Rated</v>
      </c>
      <c r="P42" s="145" t="s">
        <v>134</v>
      </c>
      <c r="Q42" s="146">
        <v>50</v>
      </c>
      <c r="R42" s="151">
        <v>43.1</v>
      </c>
      <c r="S42" s="232">
        <f>Q42-R42</f>
        <v>6.8999999999999986</v>
      </c>
      <c r="T42" s="146"/>
      <c r="U42" s="146" t="e">
        <f>IF(S42&lt;=0,0,(IF(O42="Rated",(S42+T42)*'Noida-01'!#REF!,(S42+T42))))</f>
        <v>#REF!</v>
      </c>
      <c r="V42" s="146" t="e">
        <f>IF(O42="Rated",Q42*'Noida-01'!#REF!,Q42)</f>
        <v>#REF!</v>
      </c>
      <c r="W42" s="231">
        <f>AD42/31/24</f>
        <v>3.2056854838709676</v>
      </c>
      <c r="X42" s="146">
        <f>IF((S42*-1)&gt;0, (S42*-1), 0)</f>
        <v>0</v>
      </c>
      <c r="Y42" s="152">
        <v>0</v>
      </c>
      <c r="Z42" s="153" t="str">
        <f>E42</f>
        <v>Metered</v>
      </c>
      <c r="AA42" s="146">
        <v>1</v>
      </c>
      <c r="AB42" s="146" t="s">
        <v>171</v>
      </c>
      <c r="AC42" s="338">
        <v>14.516</v>
      </c>
      <c r="AD42" s="146">
        <v>2385.0300000000002</v>
      </c>
      <c r="AE42" s="155" t="s">
        <v>141</v>
      </c>
      <c r="AF42" s="156" t="str">
        <f>IF(AE42="No of Seats","No of Seats",(IF(AE42="Space","Sq Ft","")))</f>
        <v>No of Seats</v>
      </c>
      <c r="AG42" s="146">
        <v>1</v>
      </c>
      <c r="AH42" s="146">
        <v>1</v>
      </c>
      <c r="AI42" s="146">
        <f>AG42-AH42</f>
        <v>0</v>
      </c>
      <c r="AJ42" s="146">
        <v>1</v>
      </c>
      <c r="AK42" s="146"/>
      <c r="AL42" s="149">
        <f>100000/12</f>
        <v>8333.3333333333339</v>
      </c>
      <c r="AM42" s="157">
        <f>N42*L42</f>
        <v>130000</v>
      </c>
      <c r="AN42" s="157">
        <f>Y42*X42</f>
        <v>0</v>
      </c>
      <c r="AO42" s="158">
        <f>AD42*AC42*AA42</f>
        <v>34621.095480000004</v>
      </c>
      <c r="AP42" s="157">
        <f>AL42*AJ42</f>
        <v>8333.3333333333339</v>
      </c>
      <c r="AQ42" s="159">
        <v>0</v>
      </c>
      <c r="AR42" s="160">
        <f>SUBTOTAL(9,AM42:AQ42)</f>
        <v>172954.42881333336</v>
      </c>
      <c r="AS42" s="160"/>
      <c r="AT42" s="161" t="s">
        <v>214</v>
      </c>
      <c r="AU42" s="162"/>
      <c r="AV42" s="163"/>
      <c r="AW42" s="162"/>
      <c r="AX42" s="164"/>
      <c r="AZ42" s="165">
        <f>IF(F42="Rack",AR42/I42,0)+IF(F42="U Space",AR42*40/I42,0)+IF(F42="Space",AR42*30/I42,0)</f>
        <v>28825.738135555559</v>
      </c>
      <c r="BA42" s="165" t="e">
        <f>+AR42/V42</f>
        <v>#REF!</v>
      </c>
      <c r="BB42" s="165" t="e">
        <f t="shared" si="368"/>
        <v>#REF!</v>
      </c>
      <c r="BC42" s="165" t="e">
        <f t="shared" si="368"/>
        <v>#REF!</v>
      </c>
      <c r="BD42" s="165" t="e">
        <f>+($AM42+$AN42+IF(E42="Bundled",0,V42*0.85*AA42*AC42*30.5*24)-BK42)/$V42</f>
        <v>#REF!</v>
      </c>
      <c r="BE42" s="165"/>
      <c r="BF42" s="166">
        <f>+AM42+AN42+AO42</f>
        <v>164621.09548000002</v>
      </c>
      <c r="BG42" s="166">
        <f>+BF42-BH42</f>
        <v>130000.00000000001</v>
      </c>
      <c r="BH42" s="166">
        <f>IF(E42="Bundled",MIN(V42*'Noida-01'!#REF!*(1+#REF!),BF42),AO42)</f>
        <v>34621.095480000004</v>
      </c>
      <c r="BI42" s="167" t="e">
        <f>IF($AD42&gt;0,$AD42*'Noida-01'!#REF!*'Noida-01'!#REF!*(1+'Noida-01'!#REF!*(20/'Noida-01'!#REF!)/732),'Noida-01'!#REF!*W42)</f>
        <v>#REF!</v>
      </c>
      <c r="BJ42" s="167" t="e">
        <f>IF($AD42&gt;0,$AD42*'Noida-01'!#REF!*'Noida-01'!#REF!*(1+'Noida-01'!#REF!*(20/'Noida-01'!#REF!)/732),+'Noida-01'!#REF!*(W42+U42))</f>
        <v>#REF!</v>
      </c>
      <c r="BK42" s="167" t="e">
        <f>IF(E42="Bundled",'Noida-01'!#REF!*V42,'Noida-01'!#REF!*V42*0.85)</f>
        <v>#REF!</v>
      </c>
      <c r="BL42" s="167" t="e">
        <f>+BB42*V42</f>
        <v>#REF!</v>
      </c>
      <c r="BM42" s="167" t="e">
        <f>+#REF!*V42</f>
        <v>#REF!</v>
      </c>
      <c r="BN42" s="167" t="e">
        <f>+BG42-BM42</f>
        <v>#REF!</v>
      </c>
      <c r="BO42" s="167" t="e">
        <f>+BH42-BI42</f>
        <v>#REF!</v>
      </c>
      <c r="BP42" s="167" t="e">
        <f>+BN42+BO42</f>
        <v>#REF!</v>
      </c>
      <c r="BQ42" s="167" t="e">
        <f>+V42</f>
        <v>#REF!</v>
      </c>
      <c r="BR42" s="167" t="e">
        <f>+BB42</f>
        <v>#REF!</v>
      </c>
      <c r="BS42" s="167" t="e">
        <f>IF(E42="Bundled",BK42-BI42,AO42-BI42)</f>
        <v>#REF!</v>
      </c>
      <c r="BT42" s="167" t="e">
        <f>IF(E42="Bundled",+(BD42-#REF!)*V42,(AM42+AN42)-V42*#REF!)</f>
        <v>#REF!</v>
      </c>
      <c r="BU42" s="167" t="e">
        <f>+BS42+BT42</f>
        <v>#REF!</v>
      </c>
      <c r="BV42" s="167" t="e">
        <f t="shared" si="369"/>
        <v>#REF!</v>
      </c>
      <c r="BW42" s="167" t="e">
        <f t="shared" si="369"/>
        <v>#REF!</v>
      </c>
      <c r="BX42" s="167" t="e">
        <f t="shared" si="369"/>
        <v>#REF!</v>
      </c>
    </row>
    <row r="43" spans="1:79" s="5" customFormat="1" ht="39">
      <c r="A43" s="313" t="s">
        <v>47</v>
      </c>
      <c r="B43" s="177" t="s">
        <v>215</v>
      </c>
      <c r="C43" s="144" t="s">
        <v>216</v>
      </c>
      <c r="D43" s="145" t="s">
        <v>130</v>
      </c>
      <c r="E43" s="146" t="s">
        <v>131</v>
      </c>
      <c r="F43" s="190" t="s">
        <v>132</v>
      </c>
      <c r="G43" s="145" t="s">
        <v>133</v>
      </c>
      <c r="H43" s="147" t="str">
        <f t="shared" si="367"/>
        <v>No of Racks</v>
      </c>
      <c r="I43" s="145">
        <v>1</v>
      </c>
      <c r="J43" s="145">
        <v>1</v>
      </c>
      <c r="K43" s="148">
        <v>0</v>
      </c>
      <c r="L43" s="145">
        <v>1</v>
      </c>
      <c r="M43" s="154"/>
      <c r="N43" s="314">
        <f>((860000+550000+200000)/3)/12</f>
        <v>44722.222222222219</v>
      </c>
      <c r="O43" s="150" t="str">
        <f t="shared" ref="O43" si="370">D43</f>
        <v>Rated</v>
      </c>
      <c r="P43" s="145" t="s">
        <v>134</v>
      </c>
      <c r="Q43" s="146">
        <v>6</v>
      </c>
      <c r="R43" s="151">
        <v>6</v>
      </c>
      <c r="S43" s="232">
        <f t="shared" ref="S43" si="371">Q43-R43</f>
        <v>0</v>
      </c>
      <c r="T43" s="146"/>
      <c r="U43" s="146">
        <f t="shared" ref="U43" si="372">IF(S43&lt;=0,0,(IF(O43="Rated",(S43+T43)*$X$1,(S43+T43))))</f>
        <v>0</v>
      </c>
      <c r="V43" s="146" t="e">
        <f t="shared" ref="V43" si="373">IF(O43="Rated",Q43*$X$1,Q43)</f>
        <v>#REF!</v>
      </c>
      <c r="W43" s="231">
        <v>1.87</v>
      </c>
      <c r="X43" s="146">
        <f t="shared" ref="X43" si="374">IF((S43*-1)&gt;0, (S43*-1), 0)</f>
        <v>0</v>
      </c>
      <c r="Y43" s="152">
        <f>90000/12</f>
        <v>7500</v>
      </c>
      <c r="Z43" s="153" t="str">
        <f t="shared" ref="Z43" si="375">E43</f>
        <v>Bundled</v>
      </c>
      <c r="AA43" s="146"/>
      <c r="AB43" s="146"/>
      <c r="AC43" s="154"/>
      <c r="AD43" s="146"/>
      <c r="AE43" s="155"/>
      <c r="AF43" s="156" t="str">
        <f t="shared" ref="AF43" si="376">IF(AE43="No of Seats","No of Seats",(IF(AE43="Space","Sq Ft","")))</f>
        <v/>
      </c>
      <c r="AG43" s="146"/>
      <c r="AH43" s="146"/>
      <c r="AI43" s="146">
        <f t="shared" ref="AI43" si="377">AG43-AH43</f>
        <v>0</v>
      </c>
      <c r="AJ43" s="146"/>
      <c r="AK43" s="146"/>
      <c r="AL43" s="149"/>
      <c r="AM43" s="157">
        <f t="shared" ref="AM43" si="378">N43*L43</f>
        <v>44722.222222222219</v>
      </c>
      <c r="AN43" s="157">
        <f t="shared" ref="AN43" si="379">Y43*X43</f>
        <v>0</v>
      </c>
      <c r="AO43" s="158">
        <f t="shared" ref="AO43" si="380">AD43*AC43*AA43</f>
        <v>0</v>
      </c>
      <c r="AP43" s="157">
        <f t="shared" ref="AP43" si="381">AL43*AJ43</f>
        <v>0</v>
      </c>
      <c r="AQ43" s="159">
        <f>(20000+200000+50000+5000)/12</f>
        <v>22916.666666666668</v>
      </c>
      <c r="AR43" s="160">
        <f t="shared" ref="AR43" si="382">SUBTOTAL(9,AM43:AQ43)</f>
        <v>67638.888888888891</v>
      </c>
      <c r="AS43" s="160"/>
      <c r="AT43" s="234" t="s">
        <v>164</v>
      </c>
      <c r="AU43" s="235"/>
      <c r="AV43" s="236"/>
      <c r="AW43" s="235"/>
      <c r="AX43" s="337"/>
      <c r="AZ43" s="165">
        <f t="shared" ref="AZ43" si="383">IF(F43="Rack",AR43/I43,0)+IF(F43="U Space",AR43*40/I43,0)+IF(F43="Space",AR43*30/I43,0)</f>
        <v>67638.888888888891</v>
      </c>
      <c r="BA43" s="165" t="e">
        <f t="shared" ref="BA43" si="384">+AR43/V43</f>
        <v>#REF!</v>
      </c>
      <c r="BB43" s="165" t="e">
        <f>+($AM43+$AN43+$AO43-BI43)/$V43</f>
        <v>#REF!</v>
      </c>
      <c r="BC43" s="165" t="e">
        <f>+($AM43+$AN43+$AO43-BJ43)/$V43</f>
        <v>#REF!</v>
      </c>
      <c r="BD43" s="165" t="e">
        <f>+($AM43+$AN43+IF(E43="Bundled",0,V43*0.85*AA43*AC43*30.5*24)-BK43)/$V43</f>
        <v>#REF!</v>
      </c>
      <c r="BE43" s="165"/>
      <c r="BF43" s="166">
        <f t="shared" ref="BF43" si="385">+AM43+AN43+AO43</f>
        <v>44722.222222222219</v>
      </c>
      <c r="BG43" s="166" t="e">
        <f t="shared" ref="BG43" si="386">+BF43-BH43</f>
        <v>#REF!</v>
      </c>
      <c r="BH43" s="166" t="e">
        <f>IF(E43="Bundled",MIN(V43*$AG$1*(1+#REF!),BF43),AO43)</f>
        <v>#REF!</v>
      </c>
      <c r="BI43" s="167">
        <f>IF($AD43&gt;0,$AD43*$AD$1*$AF$1*(1+$AI$1*(20/$AF$1)/732),$AG$1*W43)</f>
        <v>0</v>
      </c>
      <c r="BJ43" s="167">
        <f>IF($AD43&gt;0,$AD43*$AD$1*$AF$1*(1+$AI$1*(20/$AF$1)/732),+$AG$1*(W43+U43))</f>
        <v>0</v>
      </c>
      <c r="BK43" s="167" t="e">
        <f t="shared" ref="BK43" si="387">IF(E43="Bundled",$AG$1*V43,$AG$1*V43*0.85)</f>
        <v>#REF!</v>
      </c>
      <c r="BL43" s="167" t="e">
        <f t="shared" ref="BL43" si="388">+BB43*V43</f>
        <v>#REF!</v>
      </c>
      <c r="BM43" s="167" t="e">
        <f>+#REF!*V43</f>
        <v>#REF!</v>
      </c>
      <c r="BN43" s="167" t="e">
        <f t="shared" ref="BN43" si="389">+BG43-BM43</f>
        <v>#REF!</v>
      </c>
      <c r="BO43" s="167" t="e">
        <f t="shared" ref="BO43" si="390">+BH43-BI43</f>
        <v>#REF!</v>
      </c>
      <c r="BP43" s="167" t="e">
        <f t="shared" ref="BP43" si="391">+BN43+BO43</f>
        <v>#REF!</v>
      </c>
      <c r="BQ43" s="167" t="e">
        <f t="shared" ref="BQ43" si="392">+V43</f>
        <v>#REF!</v>
      </c>
      <c r="BR43" s="167" t="e">
        <f t="shared" ref="BR43" si="393">+BB43</f>
        <v>#REF!</v>
      </c>
      <c r="BS43" s="167" t="e">
        <f t="shared" ref="BS43" si="394">IF(E43="Bundled",BK43-BI43,AO43-BI43)</f>
        <v>#REF!</v>
      </c>
      <c r="BT43" s="167" t="e">
        <f>IF(E43="Bundled",+(BD43-#REF!)*V43,(AM43+AN43)-V43*#REF!)</f>
        <v>#REF!</v>
      </c>
      <c r="BU43" s="167" t="e">
        <f t="shared" ref="BU43" si="395">+BS43+BT43</f>
        <v>#REF!</v>
      </c>
      <c r="BV43" s="167" t="e">
        <f t="shared" ref="BV43:BX44" si="396">+BS43/$BQ43</f>
        <v>#REF!</v>
      </c>
      <c r="BW43" s="167" t="e">
        <f t="shared" si="396"/>
        <v>#REF!</v>
      </c>
      <c r="BX43" s="167" t="e">
        <f t="shared" si="396"/>
        <v>#REF!</v>
      </c>
    </row>
    <row r="44" spans="1:79" s="16" customFormat="1" ht="26.1">
      <c r="A44" s="142" t="s">
        <v>47</v>
      </c>
      <c r="B44" s="168" t="s">
        <v>217</v>
      </c>
      <c r="C44" s="144" t="s">
        <v>218</v>
      </c>
      <c r="D44" s="145" t="s">
        <v>130</v>
      </c>
      <c r="E44" s="146" t="s">
        <v>131</v>
      </c>
      <c r="F44" s="145" t="s">
        <v>132</v>
      </c>
      <c r="G44" s="145" t="s">
        <v>133</v>
      </c>
      <c r="H44" s="147" t="str">
        <f t="shared" si="367"/>
        <v>No of Racks</v>
      </c>
      <c r="I44" s="145">
        <v>2</v>
      </c>
      <c r="J44" s="145">
        <v>2</v>
      </c>
      <c r="K44" s="148">
        <f>I44-J44</f>
        <v>0</v>
      </c>
      <c r="L44" s="145">
        <v>2</v>
      </c>
      <c r="M44" s="145"/>
      <c r="N44" s="336">
        <f>600000/12</f>
        <v>50000</v>
      </c>
      <c r="O44" s="150" t="str">
        <f>D44</f>
        <v>Rated</v>
      </c>
      <c r="P44" s="145" t="s">
        <v>134</v>
      </c>
      <c r="Q44" s="146">
        <v>6</v>
      </c>
      <c r="R44" s="151">
        <v>4.68</v>
      </c>
      <c r="S44" s="232">
        <f>Q44-R44</f>
        <v>1.3200000000000003</v>
      </c>
      <c r="T44" s="146"/>
      <c r="U44" s="146" t="e">
        <f>IF(S44&lt;=0,0,(IF(O44="Rated",(S44+T44)*'Noida-01'!#REF!,(S44+T44))))</f>
        <v>#REF!</v>
      </c>
      <c r="V44" s="146" t="e">
        <f>IF(O44="Rated",Q44*'Noida-01'!#REF!,Q44)</f>
        <v>#REF!</v>
      </c>
      <c r="W44" s="231">
        <v>0.93</v>
      </c>
      <c r="X44" s="146">
        <f>IF((S44*-1)&gt;0, (S44*-1), 0)</f>
        <v>0</v>
      </c>
      <c r="Y44" s="152">
        <f>98000/12</f>
        <v>8166.666666666667</v>
      </c>
      <c r="Z44" s="153" t="str">
        <f>E44</f>
        <v>Bundled</v>
      </c>
      <c r="AA44" s="146"/>
      <c r="AB44" s="146"/>
      <c r="AC44" s="154"/>
      <c r="AD44" s="146"/>
      <c r="AE44" s="155"/>
      <c r="AF44" s="156" t="str">
        <f>IF(AE44="No of Seats","No of Seats",(IF(AE44="Space","Sq Ft","")))</f>
        <v/>
      </c>
      <c r="AG44" s="146"/>
      <c r="AH44" s="146"/>
      <c r="AI44" s="146">
        <f>AG44-AH44</f>
        <v>0</v>
      </c>
      <c r="AJ44" s="146"/>
      <c r="AK44" s="146"/>
      <c r="AL44" s="149"/>
      <c r="AM44" s="157">
        <f>N44*L44</f>
        <v>100000</v>
      </c>
      <c r="AN44" s="157">
        <f>Y44*X44</f>
        <v>0</v>
      </c>
      <c r="AO44" s="158">
        <f>AD44*AC44*AA44</f>
        <v>0</v>
      </c>
      <c r="AP44" s="157">
        <f>AL44*AJ44</f>
        <v>0</v>
      </c>
      <c r="AQ44" s="159">
        <f>(120000)/12</f>
        <v>10000</v>
      </c>
      <c r="AR44" s="160">
        <f>SUBTOTAL(9,AM44:AQ44)</f>
        <v>110000</v>
      </c>
      <c r="AS44" s="160"/>
      <c r="AT44" s="161">
        <v>721005561</v>
      </c>
      <c r="AU44" s="162"/>
      <c r="AV44" s="163"/>
      <c r="AW44" s="162"/>
      <c r="AX44" s="164"/>
      <c r="AY44" s="5"/>
      <c r="AZ44" s="165">
        <f>IF(F44="Rack",AR44/I44,0)+IF(F44="U Space",AR44*40/I44,0)+IF(F44="Space",AR44*30/I44,0)</f>
        <v>55000</v>
      </c>
      <c r="BA44" s="165" t="e">
        <f>+AR44/V44</f>
        <v>#REF!</v>
      </c>
      <c r="BB44" s="165" t="e">
        <f>+($AM44+$AN44+$AO44-BI44)/$V44</f>
        <v>#REF!</v>
      </c>
      <c r="BC44" s="165" t="e">
        <f>+($AM44+$AN44+$AO44-BJ44)/$V44</f>
        <v>#REF!</v>
      </c>
      <c r="BD44" s="165" t="e">
        <f>+($AM44+$AN44+IF(E44="Bundled",0,V44*0.85*AA44*AC44*30.5*24)-BK44)/$V44</f>
        <v>#REF!</v>
      </c>
      <c r="BE44" s="165"/>
      <c r="BF44" s="166">
        <f>+AM44+AN44+AO44</f>
        <v>100000</v>
      </c>
      <c r="BG44" s="166" t="e">
        <f>+BF44-BH44</f>
        <v>#REF!</v>
      </c>
      <c r="BH44" s="166" t="e">
        <f>IF(E44="Bundled",MIN(V44*'Noida-01'!#REF!*(1+#REF!),BF44),AO44)</f>
        <v>#REF!</v>
      </c>
      <c r="BI44" s="167" t="e">
        <f>IF($AD44&gt;0,$AD44*'Noida-01'!#REF!*'Noida-01'!#REF!*(1+'Noida-01'!#REF!*(20/'Noida-01'!#REF!)/732),'Noida-01'!#REF!*W44)</f>
        <v>#REF!</v>
      </c>
      <c r="BJ44" s="167" t="e">
        <f>IF($AD44&gt;0,$AD44*'Noida-01'!#REF!*'Noida-01'!#REF!*(1+'Noida-01'!#REF!*(20/'Noida-01'!#REF!)/732),+'Noida-01'!#REF!*(W44+U44))</f>
        <v>#REF!</v>
      </c>
      <c r="BK44" s="167" t="e">
        <f>IF(E44="Bundled",'Noida-01'!#REF!*V44,'Noida-01'!#REF!*V44*0.85)</f>
        <v>#REF!</v>
      </c>
      <c r="BL44" s="167" t="e">
        <f>+BB44*V44</f>
        <v>#REF!</v>
      </c>
      <c r="BM44" s="167" t="e">
        <f>+#REF!*V44</f>
        <v>#REF!</v>
      </c>
      <c r="BN44" s="167" t="e">
        <f>+BG44-BM44</f>
        <v>#REF!</v>
      </c>
      <c r="BO44" s="167" t="e">
        <f>+BH44-BI44</f>
        <v>#REF!</v>
      </c>
      <c r="BP44" s="167" t="e">
        <f>+BN44+BO44</f>
        <v>#REF!</v>
      </c>
      <c r="BQ44" s="167" t="e">
        <f>+V44</f>
        <v>#REF!</v>
      </c>
      <c r="BR44" s="167" t="e">
        <f>+BB44</f>
        <v>#REF!</v>
      </c>
      <c r="BS44" s="167" t="e">
        <f>IF(E44="Bundled",BK44-BI44,AO44-BI44)</f>
        <v>#REF!</v>
      </c>
      <c r="BT44" s="167" t="e">
        <f>IF(E44="Bundled",+(BD44-#REF!)*V44,(AM44+AN44)-V44*#REF!)</f>
        <v>#REF!</v>
      </c>
      <c r="BU44" s="167" t="e">
        <f>+BS44+BT44</f>
        <v>#REF!</v>
      </c>
      <c r="BV44" s="167" t="e">
        <f t="shared" si="396"/>
        <v>#REF!</v>
      </c>
      <c r="BW44" s="167" t="e">
        <f t="shared" si="396"/>
        <v>#REF!</v>
      </c>
      <c r="BX44" s="167" t="e">
        <f t="shared" si="396"/>
        <v>#REF!</v>
      </c>
    </row>
    <row r="45" spans="1:79" s="16" customFormat="1" ht="26.1">
      <c r="A45" s="142" t="s">
        <v>48</v>
      </c>
      <c r="B45" s="168" t="s">
        <v>165</v>
      </c>
      <c r="C45" s="168" t="s">
        <v>219</v>
      </c>
      <c r="D45" s="145" t="s">
        <v>130</v>
      </c>
      <c r="E45" s="146" t="s">
        <v>131</v>
      </c>
      <c r="F45" s="145" t="s">
        <v>132</v>
      </c>
      <c r="G45" s="145" t="s">
        <v>133</v>
      </c>
      <c r="H45" s="147" t="str">
        <f t="shared" si="367"/>
        <v>No of Racks</v>
      </c>
      <c r="I45" s="145">
        <v>1</v>
      </c>
      <c r="J45" s="145">
        <v>1</v>
      </c>
      <c r="K45" s="148">
        <v>0</v>
      </c>
      <c r="L45" s="145">
        <v>1</v>
      </c>
      <c r="M45" s="145"/>
      <c r="N45" s="149"/>
      <c r="O45" s="150" t="str">
        <f>D45</f>
        <v>Rated</v>
      </c>
      <c r="P45" s="145" t="s">
        <v>134</v>
      </c>
      <c r="Q45" s="146">
        <v>12</v>
      </c>
      <c r="R45" s="151">
        <v>7.31</v>
      </c>
      <c r="S45" s="232">
        <f>Q45-R45</f>
        <v>4.6900000000000004</v>
      </c>
      <c r="T45" s="146"/>
      <c r="U45" s="146" t="e">
        <f>IF(S45&lt;=0,0,(IF(O45="Rated",(S45+T45)*'Noida-01'!#REF!,(S45+T45))))</f>
        <v>#REF!</v>
      </c>
      <c r="V45" s="146" t="e">
        <f>IF(O45="Rated",Q45*'Noida-01'!#REF!,Q45)</f>
        <v>#REF!</v>
      </c>
      <c r="W45" s="231">
        <f>AD45/30/24</f>
        <v>6.3906944444444447</v>
      </c>
      <c r="X45" s="146"/>
      <c r="Y45" s="152"/>
      <c r="Z45" s="153" t="str">
        <f>E45</f>
        <v>Bundled</v>
      </c>
      <c r="AA45" s="146"/>
      <c r="AB45" s="146"/>
      <c r="AC45" s="154"/>
      <c r="AD45" s="146">
        <v>4601.3</v>
      </c>
      <c r="AE45" s="155"/>
      <c r="AF45" s="156"/>
      <c r="AG45" s="146"/>
      <c r="AH45" s="146"/>
      <c r="AI45" s="146"/>
      <c r="AJ45" s="146"/>
      <c r="AK45" s="146"/>
      <c r="AL45" s="149"/>
      <c r="AM45" s="157"/>
      <c r="AN45" s="157"/>
      <c r="AO45" s="158"/>
      <c r="AP45" s="157"/>
      <c r="AQ45" s="159"/>
      <c r="AR45" s="160"/>
      <c r="AS45" s="160"/>
      <c r="AT45" s="161"/>
      <c r="AU45" s="162"/>
      <c r="AV45" s="163"/>
      <c r="AW45" s="162"/>
      <c r="AX45" s="164"/>
      <c r="AY45" s="5"/>
      <c r="AZ45" s="25"/>
      <c r="BA45" s="25"/>
      <c r="BB45" s="25"/>
      <c r="BC45" s="25"/>
      <c r="BD45" s="25"/>
      <c r="BE45" s="25"/>
      <c r="BF45" s="26"/>
      <c r="BG45" s="26"/>
      <c r="BH45" s="26"/>
      <c r="BI45" s="27"/>
      <c r="BJ45" s="27"/>
      <c r="BK45" s="27" t="e">
        <f>IF(E45="Bundled",'Noida-01'!#REF!*V45,'Noida-01'!#REF!*V45*0.85)</f>
        <v>#REF!</v>
      </c>
      <c r="BL45" s="27"/>
      <c r="BM45" s="27"/>
      <c r="BN45" s="27"/>
      <c r="BO45" s="27"/>
      <c r="BP45" s="27"/>
      <c r="BQ45" s="27" t="e">
        <f>+V45</f>
        <v>#REF!</v>
      </c>
      <c r="BR45" s="27"/>
      <c r="BS45" s="27"/>
      <c r="BT45" s="27"/>
      <c r="BU45" s="27"/>
      <c r="BY45" s="27"/>
      <c r="BZ45" s="27"/>
      <c r="CA45" s="27"/>
    </row>
    <row r="46" spans="1:79" s="16" customFormat="1" ht="26.1">
      <c r="A46" s="142" t="s">
        <v>47</v>
      </c>
      <c r="B46" s="168" t="s">
        <v>220</v>
      </c>
      <c r="C46" s="168" t="s">
        <v>208</v>
      </c>
      <c r="D46" s="145" t="s">
        <v>169</v>
      </c>
      <c r="E46" s="146" t="s">
        <v>170</v>
      </c>
      <c r="F46" s="145" t="s">
        <v>132</v>
      </c>
      <c r="G46" s="145" t="s">
        <v>133</v>
      </c>
      <c r="H46" s="147" t="str">
        <f>IF(F46="Rack","No of Racks",(IF(F46="Space","Sq Ft","U Space")))</f>
        <v>No of Racks</v>
      </c>
      <c r="I46" s="145">
        <v>1</v>
      </c>
      <c r="J46" s="145">
        <v>1</v>
      </c>
      <c r="K46" s="148">
        <f>I46-J46</f>
        <v>0</v>
      </c>
      <c r="L46" s="145">
        <v>1</v>
      </c>
      <c r="M46" s="145"/>
      <c r="N46" s="336"/>
      <c r="O46" s="150" t="str">
        <f>D46</f>
        <v>Subscribed</v>
      </c>
      <c r="P46" s="145" t="s">
        <v>123</v>
      </c>
      <c r="Q46" s="146">
        <v>3</v>
      </c>
      <c r="R46" s="231">
        <f>W46</f>
        <v>1.0707638888888888</v>
      </c>
      <c r="S46" s="232">
        <f>Q46-R46</f>
        <v>1.9292361111111112</v>
      </c>
      <c r="T46" s="146"/>
      <c r="U46" s="146">
        <f>IF(S46&lt;=0,0,(IF(O46="Rated",(S46+T46)*'Noida-01'!#REF!,(S46+T46))))</f>
        <v>1.9292361111111112</v>
      </c>
      <c r="V46" s="146">
        <f>IF(O46="Rated",Q46*'Noida-01'!#REF!,Q46)</f>
        <v>3</v>
      </c>
      <c r="W46" s="231">
        <f>AD46/30/24</f>
        <v>1.0707638888888888</v>
      </c>
      <c r="X46" s="146">
        <f>IF((S46*-1)&gt;0, (S46*-1), 0)</f>
        <v>0</v>
      </c>
      <c r="Y46" s="152"/>
      <c r="Z46" s="153" t="str">
        <f>E46</f>
        <v>Metered</v>
      </c>
      <c r="AA46" s="146">
        <v>1</v>
      </c>
      <c r="AB46" s="146" t="s">
        <v>171</v>
      </c>
      <c r="AC46" s="154"/>
      <c r="AD46" s="146">
        <v>770.95</v>
      </c>
      <c r="AE46" s="155"/>
      <c r="AF46" s="156" t="str">
        <f>IF(AE46="No of Seats","No of Seats",(IF(AE46="Space","Sq Ft","")))</f>
        <v/>
      </c>
      <c r="AG46" s="146"/>
      <c r="AH46" s="146"/>
      <c r="AI46" s="146">
        <f>AG46-AH46</f>
        <v>0</v>
      </c>
      <c r="AJ46" s="146"/>
      <c r="AK46" s="146"/>
      <c r="AL46" s="149"/>
      <c r="AM46" s="157"/>
      <c r="AN46" s="157">
        <f>Y46*X46</f>
        <v>0</v>
      </c>
      <c r="AO46" s="158">
        <f>AD46*AC46*AA46</f>
        <v>0</v>
      </c>
      <c r="AP46" s="157">
        <f>AL46*AJ46</f>
        <v>0</v>
      </c>
      <c r="AQ46" s="159"/>
      <c r="AR46" s="160">
        <f>SUBTOTAL(9,AM46:AQ46)</f>
        <v>0</v>
      </c>
      <c r="AS46" s="160"/>
      <c r="AT46" s="161"/>
      <c r="AU46" s="162"/>
      <c r="AV46" s="163"/>
      <c r="AW46" s="162"/>
      <c r="AX46" s="164"/>
      <c r="AY46" s="5"/>
      <c r="AZ46" s="165">
        <f>IF(F46="Rack",AR46/I46,0)+IF(F46="U Space",AR46*40/I46,0)+IF(F46="Space",AR46*30/I46,0)</f>
        <v>0</v>
      </c>
      <c r="BA46" s="165">
        <f>+AR46/V46</f>
        <v>0</v>
      </c>
      <c r="BB46" s="165" t="e">
        <f>+($AM46+$AN46+$AO46-BI46)/$V46</f>
        <v>#REF!</v>
      </c>
      <c r="BC46" s="165"/>
      <c r="BD46" s="165"/>
      <c r="BE46" s="165"/>
      <c r="BF46" s="166">
        <f>+AM46+AN46+AO46</f>
        <v>0</v>
      </c>
      <c r="BG46" s="166">
        <f>+BF46-BH46</f>
        <v>0</v>
      </c>
      <c r="BH46" s="166">
        <f>IF(E46="Bundled",MIN(V46*'Noida-01'!#REF!*(1+#REF!),BF46),AO46)</f>
        <v>0</v>
      </c>
      <c r="BI46" s="167" t="e">
        <f>IF($AD46&gt;0,$AD46*'Noida-01'!#REF!*'Noida-01'!#REF!*(1+'Noida-01'!#REF!*(20/'Noida-01'!#REF!)/732),'Noida-01'!#REF!*W46)</f>
        <v>#REF!</v>
      </c>
      <c r="BJ46" s="167"/>
      <c r="BK46" s="167"/>
      <c r="BL46" s="167" t="e">
        <f>+BB46*V46</f>
        <v>#REF!</v>
      </c>
      <c r="BM46" s="167" t="e">
        <f>+#REF!*V46</f>
        <v>#REF!</v>
      </c>
      <c r="BN46" s="167" t="e">
        <f>+BG46-BM46</f>
        <v>#REF!</v>
      </c>
      <c r="BO46" s="167" t="e">
        <f>+BH46-BI46</f>
        <v>#REF!</v>
      </c>
      <c r="BP46" s="167" t="e">
        <f>+BN46+BO46</f>
        <v>#REF!</v>
      </c>
      <c r="BQ46" s="167">
        <f>+V46</f>
        <v>3</v>
      </c>
      <c r="BR46" s="167" t="e">
        <f>+BB46</f>
        <v>#REF!</v>
      </c>
      <c r="BS46" s="167" t="e">
        <f>IF(E46="Bundled",BK46-BI46,AO46-BI46)</f>
        <v>#REF!</v>
      </c>
      <c r="BT46" s="167" t="e">
        <f>IF(E46="Bundled",+(BD46-#REF!)*V46,(AM46+AN46)-V46*#REF!)</f>
        <v>#REF!</v>
      </c>
      <c r="BU46" s="167" t="e">
        <f>+BS46+BT46</f>
        <v>#REF!</v>
      </c>
      <c r="BV46" s="167" t="e">
        <f>+BS46/$BQ46</f>
        <v>#REF!</v>
      </c>
      <c r="BW46" s="167" t="e">
        <f>+BT46/$BQ46</f>
        <v>#REF!</v>
      </c>
      <c r="BX46" s="167" t="e">
        <f>+BU46/$BQ46</f>
        <v>#REF!</v>
      </c>
    </row>
    <row r="47" spans="1:79" s="16" customFormat="1" ht="26.1" customHeight="1">
      <c r="A47" s="142" t="s">
        <v>49</v>
      </c>
      <c r="B47" s="168" t="s">
        <v>221</v>
      </c>
      <c r="C47" s="199" t="s">
        <v>222</v>
      </c>
      <c r="D47" s="145" t="s">
        <v>130</v>
      </c>
      <c r="E47" s="146" t="s">
        <v>131</v>
      </c>
      <c r="F47" s="145" t="s">
        <v>144</v>
      </c>
      <c r="G47" s="145" t="s">
        <v>133</v>
      </c>
      <c r="H47" s="147" t="str">
        <f t="shared" ref="H47" si="397">IF(F47="Rack","No of Racks",(IF(F47="Space","Sq Ft","U Space")))</f>
        <v>U Space</v>
      </c>
      <c r="I47" s="145">
        <v>6</v>
      </c>
      <c r="J47" s="200">
        <v>6</v>
      </c>
      <c r="K47" s="323">
        <v>0</v>
      </c>
      <c r="L47" s="200">
        <v>6</v>
      </c>
      <c r="M47" s="200"/>
      <c r="N47" s="324"/>
      <c r="O47" s="150" t="s">
        <v>130</v>
      </c>
      <c r="P47" s="145" t="s">
        <v>134</v>
      </c>
      <c r="Q47" s="146">
        <v>1.5</v>
      </c>
      <c r="R47" s="151">
        <v>2.1</v>
      </c>
      <c r="S47" s="232">
        <f t="shared" ref="S47" si="398">Q47-R47</f>
        <v>-0.60000000000000009</v>
      </c>
      <c r="T47" s="146"/>
      <c r="U47" s="146">
        <f t="shared" ref="U47" si="399">IF(S47&lt;=0,0,(IF(O47="Rated",(S47+T47)*$X$1,(S47+T47))))</f>
        <v>0</v>
      </c>
      <c r="V47" s="146" t="e">
        <f t="shared" ref="V47" si="400">IF(O47="Rated",Q47*$X$1,Q47)</f>
        <v>#REF!</v>
      </c>
      <c r="W47"/>
      <c r="X47" s="146">
        <f t="shared" ref="X47" si="401">IF((S47*-1)&gt;0, (S47*-1), 0)</f>
        <v>0.60000000000000009</v>
      </c>
      <c r="Y47" s="152"/>
      <c r="Z47" s="153"/>
      <c r="AA47" s="146"/>
      <c r="AB47" s="146"/>
      <c r="AC47" s="154"/>
      <c r="AD47" s="146"/>
      <c r="AE47" s="155"/>
      <c r="AF47" s="156"/>
      <c r="AG47" s="146"/>
      <c r="AH47" s="146"/>
      <c r="AI47" s="146"/>
      <c r="AJ47" s="146"/>
      <c r="AK47" s="146"/>
      <c r="AL47" s="149"/>
      <c r="AM47" s="157"/>
      <c r="AN47" s="157"/>
      <c r="AO47" s="158"/>
      <c r="AP47" s="157"/>
      <c r="AQ47" s="159"/>
      <c r="AR47" s="160"/>
      <c r="AS47" s="160"/>
      <c r="AT47" s="161"/>
      <c r="AU47" s="162"/>
      <c r="AV47" s="163"/>
      <c r="AW47" s="162"/>
      <c r="AX47" s="164"/>
      <c r="AY47" s="5"/>
      <c r="AZ47" s="165"/>
      <c r="BA47" s="165"/>
      <c r="BB47" s="165"/>
      <c r="BC47" s="165"/>
      <c r="BD47" s="165"/>
      <c r="BE47" s="165"/>
      <c r="BF47" s="166"/>
      <c r="BG47" s="166"/>
      <c r="BH47" s="166"/>
      <c r="BI47" s="167"/>
      <c r="BJ47" s="167"/>
      <c r="BK47" s="167"/>
      <c r="BL47" s="167"/>
      <c r="BM47" s="167"/>
      <c r="BN47" s="167"/>
      <c r="BO47" s="167"/>
      <c r="BP47" s="167"/>
      <c r="BQ47" s="167"/>
      <c r="BR47" s="167"/>
      <c r="BS47" s="167"/>
      <c r="BT47" s="167"/>
      <c r="BU47" s="167"/>
      <c r="BV47" s="167"/>
      <c r="BW47" s="167"/>
      <c r="BX47" s="167"/>
    </row>
    <row r="48" spans="1:79" s="16" customFormat="1" ht="39">
      <c r="A48" s="202" t="s">
        <v>48</v>
      </c>
      <c r="B48" s="203" t="s">
        <v>223</v>
      </c>
      <c r="C48" s="203" t="s">
        <v>224</v>
      </c>
      <c r="D48" s="204" t="s">
        <v>130</v>
      </c>
      <c r="E48" s="205" t="s">
        <v>131</v>
      </c>
      <c r="F48" s="204" t="s">
        <v>144</v>
      </c>
      <c r="G48" s="204" t="s">
        <v>133</v>
      </c>
      <c r="H48" s="206" t="str">
        <f t="shared" ref="H48" si="402">IF(F48="Rack","No of Racks",(IF(F48="Space","Sq Ft","U Space")))</f>
        <v>U Space</v>
      </c>
      <c r="I48" s="204">
        <v>4</v>
      </c>
      <c r="J48" s="204">
        <v>4</v>
      </c>
      <c r="K48" s="207">
        <f t="shared" ref="K48" si="403">I48-J48</f>
        <v>0</v>
      </c>
      <c r="L48" s="204">
        <v>4</v>
      </c>
      <c r="M48" s="204"/>
      <c r="N48" s="208"/>
      <c r="O48" s="209" t="str">
        <f t="shared" ref="O48" si="404">D48</f>
        <v>Rated</v>
      </c>
      <c r="P48" s="210" t="s">
        <v>134</v>
      </c>
      <c r="Q48" s="205">
        <v>1</v>
      </c>
      <c r="R48" s="211">
        <v>0.3</v>
      </c>
      <c r="S48" s="212">
        <f t="shared" ref="S48" si="405">Q48-R48</f>
        <v>0.7</v>
      </c>
      <c r="T48" s="205"/>
      <c r="U48" s="205" t="e">
        <f t="shared" ref="U48" si="406">IF(S48&lt;=0,0,(IF(O48="Rated",(S48+T48)*$X$1,(S48+T48))))</f>
        <v>#REF!</v>
      </c>
      <c r="V48" s="205" t="e">
        <f t="shared" ref="V48" si="407">IF(O48="Rated",Q48*$X$1,Q48)</f>
        <v>#REF!</v>
      </c>
      <c r="W48"/>
      <c r="X48" s="205">
        <f t="shared" ref="X48" si="408">IF((S48*-1)&gt;0, (S48*-1), 0)</f>
        <v>0</v>
      </c>
      <c r="Y48" s="213"/>
      <c r="Z48" s="214" t="str">
        <f t="shared" ref="Z48" si="409">E48</f>
        <v>Bundled</v>
      </c>
      <c r="AA48" s="205"/>
      <c r="AB48" s="205"/>
      <c r="AC48" s="215"/>
      <c r="AD48" s="205"/>
      <c r="AE48" s="216"/>
      <c r="AF48" s="217"/>
      <c r="AG48" s="205"/>
      <c r="AH48" s="205"/>
      <c r="AI48" s="205"/>
      <c r="AJ48" s="205"/>
      <c r="AK48" s="205"/>
      <c r="AL48" s="208"/>
      <c r="AM48" s="218"/>
      <c r="AN48" s="218"/>
      <c r="AO48" s="219"/>
      <c r="AP48" s="218"/>
      <c r="AQ48" s="220"/>
      <c r="AR48" s="221"/>
      <c r="AS48" s="221"/>
      <c r="AT48" s="222"/>
      <c r="AU48" s="223"/>
      <c r="AV48" s="224"/>
      <c r="AW48" s="223"/>
      <c r="AX48" s="225"/>
      <c r="AY48" s="5"/>
      <c r="AZ48" s="226"/>
      <c r="BA48" s="226"/>
      <c r="BB48" s="226"/>
      <c r="BC48" s="226"/>
      <c r="BD48" s="226"/>
      <c r="BE48" s="226"/>
      <c r="BF48" s="227"/>
      <c r="BG48" s="227"/>
      <c r="BH48" s="227"/>
      <c r="BI48" s="228"/>
      <c r="BJ48" s="228"/>
      <c r="BK48" s="228" t="e">
        <f t="shared" ref="BK48" si="410">IF(E48="Bundled",$AG$1*V48,$AG$1*V48*0.85)</f>
        <v>#REF!</v>
      </c>
      <c r="BL48" s="228"/>
      <c r="BM48" s="228" t="e">
        <f>+#REF!*V48</f>
        <v>#REF!</v>
      </c>
      <c r="BN48" s="228"/>
      <c r="BO48" s="228"/>
      <c r="BP48" s="228"/>
      <c r="BQ48" s="228" t="e">
        <f t="shared" ref="BQ48" si="411">+V48</f>
        <v>#REF!</v>
      </c>
      <c r="BR48" s="228"/>
      <c r="BS48" s="228"/>
      <c r="BT48" s="228"/>
      <c r="BU48" s="228"/>
      <c r="BV48" s="228"/>
      <c r="BW48" s="228"/>
      <c r="BX48" s="228"/>
    </row>
    <row r="49" spans="1:78" s="16" customFormat="1" ht="39">
      <c r="A49" s="229" t="s">
        <v>41</v>
      </c>
      <c r="B49" s="168" t="s">
        <v>225</v>
      </c>
      <c r="C49" s="230" t="s">
        <v>226</v>
      </c>
      <c r="D49" s="145" t="s">
        <v>169</v>
      </c>
      <c r="E49" s="146" t="s">
        <v>170</v>
      </c>
      <c r="F49" s="145" t="s">
        <v>132</v>
      </c>
      <c r="G49" s="145" t="s">
        <v>133</v>
      </c>
      <c r="H49" s="147" t="s">
        <v>227</v>
      </c>
      <c r="I49" s="145">
        <v>3</v>
      </c>
      <c r="J49" s="145">
        <v>3</v>
      </c>
      <c r="K49" s="148">
        <v>0</v>
      </c>
      <c r="L49" s="145">
        <v>3</v>
      </c>
      <c r="M49" s="145"/>
      <c r="N49" s="141">
        <v>474999</v>
      </c>
      <c r="O49" s="150" t="str">
        <f>D49</f>
        <v>Subscribed</v>
      </c>
      <c r="P49" s="145" t="s">
        <v>123</v>
      </c>
      <c r="Q49" s="146">
        <v>27</v>
      </c>
      <c r="R49" s="231">
        <f>W49</f>
        <v>0</v>
      </c>
      <c r="S49" s="232">
        <f>Q49-R49</f>
        <v>27</v>
      </c>
      <c r="T49" s="146"/>
      <c r="U49" s="146">
        <f>IF(S49&lt;=0,0,(IF(O49="Rated",(S49+T49)*#REF!,(S49+T49))))</f>
        <v>27</v>
      </c>
      <c r="V49" s="146">
        <f>IF(O49="Rated",Q49*#REF!,Q49)</f>
        <v>27</v>
      </c>
      <c r="W49" s="231">
        <f>AD49/28/24</f>
        <v>0</v>
      </c>
      <c r="X49" s="146">
        <f>IF((S49*-1)&gt;0, (S49*-1), 0)</f>
        <v>0</v>
      </c>
      <c r="Y49" s="146"/>
      <c r="Z49" s="153" t="s">
        <v>228</v>
      </c>
      <c r="AA49" s="145"/>
      <c r="AB49" s="146"/>
      <c r="AC49" s="154"/>
      <c r="AD49" s="233">
        <v>0</v>
      </c>
      <c r="AE49" s="155"/>
      <c r="AF49" s="156"/>
      <c r="AG49" s="146"/>
      <c r="AH49" s="146"/>
      <c r="AI49" s="146"/>
      <c r="AJ49" s="145"/>
      <c r="AK49" s="145"/>
      <c r="AL49" s="149"/>
      <c r="AM49" s="157"/>
      <c r="AN49" s="157"/>
      <c r="AO49" s="158"/>
      <c r="AP49" s="157"/>
      <c r="AQ49" s="159"/>
      <c r="AR49" s="160"/>
      <c r="AS49" s="160"/>
      <c r="AT49" s="234"/>
      <c r="AU49" s="235"/>
      <c r="AV49" s="236"/>
      <c r="AW49" s="235"/>
      <c r="AX49" s="237"/>
      <c r="AY49" s="238"/>
      <c r="AZ49" s="165"/>
      <c r="BA49" s="165"/>
      <c r="BB49" s="165"/>
      <c r="BC49" s="165"/>
      <c r="BD49" s="165"/>
      <c r="BE49" s="165"/>
      <c r="BF49" s="166"/>
      <c r="BG49" s="166"/>
      <c r="BH49" s="166"/>
      <c r="BI49" s="167"/>
      <c r="BJ49" s="167"/>
      <c r="BK49" s="167"/>
      <c r="BL49" s="167"/>
      <c r="BM49" s="167"/>
      <c r="BN49" s="167"/>
      <c r="BO49" s="167"/>
      <c r="BP49" s="167"/>
      <c r="BQ49" s="167"/>
      <c r="BR49" s="167"/>
      <c r="BS49" s="167"/>
      <c r="BT49" s="167"/>
      <c r="BU49" s="167"/>
      <c r="BV49" s="167"/>
      <c r="BW49" s="167"/>
      <c r="BX49" s="238"/>
      <c r="BY49" s="16" t="s">
        <v>229</v>
      </c>
      <c r="BZ49" s="27"/>
    </row>
  </sheetData>
  <mergeCells count="7">
    <mergeCell ref="AT2:AW2"/>
    <mergeCell ref="D2:E2"/>
    <mergeCell ref="F2:N2"/>
    <mergeCell ref="O2:Y2"/>
    <mergeCell ref="Z2:AD2"/>
    <mergeCell ref="AE2:AL2"/>
    <mergeCell ref="AM2:AS2"/>
  </mergeCells>
  <conditionalFormatting sqref="Y4:Y48">
    <cfRule type="cellIs" dxfId="63" priority="10" operator="lessThanOrEqual">
      <formula>0</formula>
    </cfRule>
    <cfRule type="cellIs" dxfId="62" priority="11" operator="lessThanOrEqual">
      <formula>0</formula>
    </cfRule>
  </conditionalFormatting>
  <conditionalFormatting sqref="BB40:BD40 BB41:BE41">
    <cfRule type="cellIs" dxfId="61" priority="73" operator="between">
      <formula>#REF!</formula>
      <formula>#REF!</formula>
    </cfRule>
  </conditionalFormatting>
  <conditionalFormatting sqref="BB4:BE20">
    <cfRule type="cellIs" dxfId="60" priority="229" operator="lessThan">
      <formula>#REF!</formula>
    </cfRule>
    <cfRule type="cellIs" dxfId="59" priority="230" operator="between">
      <formula>#REF!</formula>
      <formula>#REF!</formula>
    </cfRule>
    <cfRule type="cellIs" dxfId="58" priority="231" operator="between">
      <formula>#REF!</formula>
      <formula>#REF!</formula>
    </cfRule>
    <cfRule type="cellIs" dxfId="57" priority="232" operator="greaterThan">
      <formula>#REF!</formula>
    </cfRule>
    <cfRule type="cellIs" dxfId="56" priority="233" operator="between">
      <formula>#REF!</formula>
      <formula>#REF!</formula>
    </cfRule>
  </conditionalFormatting>
  <conditionalFormatting sqref="BB21:BE21">
    <cfRule type="cellIs" dxfId="55" priority="219" operator="greaterThan">
      <formula>$J$7</formula>
    </cfRule>
    <cfRule type="cellIs" dxfId="54" priority="220" operator="between">
      <formula>$J$8</formula>
      <formula>$J$7</formula>
    </cfRule>
    <cfRule type="cellIs" dxfId="53" priority="221" operator="lessThan">
      <formula>$J$10</formula>
    </cfRule>
    <cfRule type="cellIs" dxfId="52" priority="222" operator="between">
      <formula>$J$10</formula>
      <formula>$J$9</formula>
    </cfRule>
    <cfRule type="cellIs" dxfId="51" priority="223" operator="between">
      <formula>$J$9</formula>
      <formula>$J$8</formula>
    </cfRule>
  </conditionalFormatting>
  <conditionalFormatting sqref="BB22:BE36">
    <cfRule type="cellIs" dxfId="50" priority="98" operator="lessThan">
      <formula>#REF!</formula>
    </cfRule>
    <cfRule type="cellIs" dxfId="49" priority="99" operator="between">
      <formula>#REF!</formula>
      <formula>#REF!</formula>
    </cfRule>
    <cfRule type="cellIs" dxfId="48" priority="100" operator="between">
      <formula>#REF!</formula>
      <formula>#REF!</formula>
    </cfRule>
    <cfRule type="cellIs" dxfId="47" priority="105" operator="greaterThan">
      <formula>#REF!</formula>
    </cfRule>
    <cfRule type="cellIs" dxfId="46" priority="106" operator="between">
      <formula>#REF!</formula>
      <formula>#REF!</formula>
    </cfRule>
  </conditionalFormatting>
  <conditionalFormatting sqref="BB38:BE39">
    <cfRule type="cellIs" dxfId="45" priority="80" operator="greaterThan">
      <formula>#REF!</formula>
    </cfRule>
    <cfRule type="cellIs" dxfId="44" priority="81" operator="between">
      <formula>#REF!</formula>
      <formula>#REF!</formula>
    </cfRule>
  </conditionalFormatting>
  <conditionalFormatting sqref="BB38:BE48">
    <cfRule type="cellIs" dxfId="43" priority="7" operator="lessThan">
      <formula>#REF!</formula>
    </cfRule>
    <cfRule type="cellIs" dxfId="42" priority="8" operator="between">
      <formula>#REF!</formula>
      <formula>#REF!</formula>
    </cfRule>
    <cfRule type="cellIs" dxfId="41" priority="9" operator="between">
      <formula>#REF!</formula>
      <formula>#REF!</formula>
    </cfRule>
  </conditionalFormatting>
  <conditionalFormatting sqref="BB41:BE41 BB40:BD40">
    <cfRule type="cellIs" dxfId="40" priority="72" operator="greaterThan">
      <formula>#REF!</formula>
    </cfRule>
  </conditionalFormatting>
  <conditionalFormatting sqref="BB42:BE48">
    <cfRule type="cellIs" dxfId="39" priority="13" operator="greaterThan">
      <formula>#REF!</formula>
    </cfRule>
    <cfRule type="cellIs" dxfId="38" priority="14" operator="between">
      <formula>#REF!</formula>
      <formula>#REF!</formula>
    </cfRule>
  </conditionalFormatting>
  <conditionalFormatting sqref="BC37:BE37">
    <cfRule type="cellIs" dxfId="37" priority="93" operator="lessThan">
      <formula>#REF!</formula>
    </cfRule>
    <cfRule type="cellIs" dxfId="36" priority="94" operator="between">
      <formula>#REF!</formula>
      <formula>#REF!</formula>
    </cfRule>
    <cfRule type="cellIs" dxfId="35" priority="95" operator="between">
      <formula>#REF!</formula>
      <formula>#REF!</formula>
    </cfRule>
    <cfRule type="cellIs" dxfId="34" priority="96" operator="greaterThan">
      <formula>#REF!</formula>
    </cfRule>
    <cfRule type="cellIs" dxfId="33" priority="97" operator="between">
      <formula>#REF!</formula>
      <formula>#REF!</formula>
    </cfRule>
  </conditionalFormatting>
  <conditionalFormatting sqref="BE40:BE41">
    <cfRule type="cellIs" dxfId="32" priority="68" operator="greaterThan">
      <formula>#REF!</formula>
    </cfRule>
    <cfRule type="cellIs" dxfId="31" priority="69" operator="between">
      <formula>#REF!</formula>
      <formula>#REF!</formula>
    </cfRule>
  </conditionalFormatting>
  <conditionalFormatting sqref="BV28:BW28">
    <cfRule type="colorScale" priority="2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2:BW32">
    <cfRule type="colorScale" priority="22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3:BW33">
    <cfRule type="colorScale" priority="2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:BX4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5:BX5"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6:BX6"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7:BX7"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8:BX8"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9:BX9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0:BX10"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1:BX11"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2:BX12"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3:BX13"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4:BX14"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5:BX15"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6:BX16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7:BX17"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8:BX18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19:BX19"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0:BX20"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1:BX21"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2:BX2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3:BX23"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4:BX24"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5:BX25"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6:BX26"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7:BX27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29:BX29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0:BX30 BX32:BX33"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1:BX31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4:BX34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5:BX35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6:BX36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7:BX37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8:BX38"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39:BX39"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0:BX40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1:BX41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2:BX42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3:BX43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4:BX44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6:BX46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7:BX47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V48:BX4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5:CA4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B49:BE49">
    <cfRule type="cellIs" dxfId="30" priority="1" operator="lessThan">
      <formula>#REF!</formula>
    </cfRule>
    <cfRule type="cellIs" dxfId="29" priority="2" operator="between">
      <formula>#REF!</formula>
      <formula>#REF!</formula>
    </cfRule>
    <cfRule type="cellIs" dxfId="28" priority="3" operator="between">
      <formula>#REF!</formula>
      <formula>#REF!</formula>
    </cfRule>
  </conditionalFormatting>
  <conditionalFormatting sqref="BB49:BE49">
    <cfRule type="cellIs" dxfId="27" priority="5" operator="greaterThan">
      <formula>#REF!</formula>
    </cfRule>
    <cfRule type="cellIs" dxfId="26" priority="6" operator="between">
      <formula>#REF!</formula>
      <formula>#REF!</formula>
    </cfRule>
  </conditionalFormatting>
  <conditionalFormatting sqref="BV49:BW49 BZ49">
    <cfRule type="colorScale" priority="22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E4:AE48 AE49" xr:uid="{00000000-0002-0000-0000-000007000000}">
      <formula1>"No of Seats, Space"</formula1>
    </dataValidation>
    <dataValidation type="list" allowBlank="1" showInputMessage="1" showErrorMessage="1" sqref="D4:D48 D49" xr:uid="{00000000-0002-0000-0000-000006000000}">
      <formula1>"Rated, Subscribed"</formula1>
    </dataValidation>
    <dataValidation type="list" allowBlank="1" showInputMessage="1" showErrorMessage="1" sqref="AS4:AS48 AS49" xr:uid="{00000000-0002-0000-0000-000005000000}">
      <formula1>"Qtrly Adv, Qtry Ars, Monthly Adv, Monthly Ars"</formula1>
    </dataValidation>
    <dataValidation type="list" allowBlank="1" showInputMessage="1" showErrorMessage="1" sqref="P4:P48 P49" xr:uid="{00000000-0002-0000-0000-000004000000}">
      <formula1>"KW, KVA"</formula1>
    </dataValidation>
    <dataValidation type="list" allowBlank="1" showInputMessage="1" showErrorMessage="1" sqref="E4:E48 E49" xr:uid="{00000000-0002-0000-0000-000003000000}">
      <formula1>"Bundled, Metered"</formula1>
    </dataValidation>
    <dataValidation type="list" allowBlank="1" showInputMessage="1" showErrorMessage="1" promptTitle="Rack, U Space, Cage" sqref="G4:G48 G49" xr:uid="{00000000-0002-0000-0000-000002000000}">
      <formula1>"Caged, Uncaged"</formula1>
    </dataValidation>
    <dataValidation type="list" allowBlank="1" showInputMessage="1" showErrorMessage="1" sqref="AB4:AB48 AB49" xr:uid="{00000000-0002-0000-0000-000001000000}">
      <formula1>"Fixed, Variable"</formula1>
    </dataValidation>
    <dataValidation type="list" allowBlank="1" showInputMessage="1" showErrorMessage="1" promptTitle="Rack, U Space, Cage" sqref="F4:F48 F49" xr:uid="{00000000-0002-0000-0000-000000000000}">
      <formula1>"Space, Rack, U space"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233"/>
  <sheetViews>
    <sheetView topLeftCell="B1" zoomScale="90" zoomScaleNormal="90" workbookViewId="0">
      <selection activeCell="A2" sqref="A1:XFD2"/>
    </sheetView>
  </sheetViews>
  <sheetFormatPr defaultColWidth="9" defaultRowHeight="12.95"/>
  <cols>
    <col min="1" max="1" width="9" style="5" hidden="1" customWidth="1"/>
    <col min="2" max="2" width="31" style="5" customWidth="1"/>
    <col min="3" max="3" width="46.42578125" style="5" customWidth="1"/>
    <col min="4" max="6" width="16.42578125" style="5" hidden="1" customWidth="1"/>
    <col min="7" max="7" width="18.42578125" style="5" hidden="1" customWidth="1"/>
    <col min="8" max="8" width="19.42578125" style="5" hidden="1" customWidth="1"/>
    <col min="9" max="9" width="12" style="5" hidden="1" customWidth="1"/>
    <col min="10" max="10" width="13.140625" style="5" hidden="1" customWidth="1"/>
    <col min="11" max="11" width="12.5703125" style="5" hidden="1" customWidth="1"/>
    <col min="12" max="12" width="12" style="5" customWidth="1"/>
    <col min="13" max="13" width="7.5703125" style="5" customWidth="1"/>
    <col min="14" max="14" width="10.42578125" style="6" customWidth="1"/>
    <col min="15" max="15" width="17.140625" style="4" customWidth="1"/>
    <col min="16" max="16" width="17.140625" style="4" hidden="1" customWidth="1"/>
    <col min="17" max="17" width="17.140625" style="4" customWidth="1"/>
    <col min="18" max="18" width="12" style="4" customWidth="1"/>
    <col min="19" max="19" width="5.42578125" style="4" customWidth="1"/>
    <col min="20" max="20" width="10" style="17" customWidth="1"/>
    <col min="21" max="21" width="8.42578125" style="5" customWidth="1"/>
    <col min="22" max="22" width="13" style="6" hidden="1" customWidth="1"/>
    <col min="23" max="23" width="10" style="5" hidden="1" customWidth="1"/>
    <col min="24" max="24" width="10.5703125" style="5" hidden="1" customWidth="1"/>
    <col min="25" max="25" width="12.5703125" style="5" hidden="1" customWidth="1"/>
    <col min="26" max="26" width="8" style="5" customWidth="1"/>
    <col min="27" max="27" width="10.140625" style="5" hidden="1" customWidth="1"/>
    <col min="28" max="28" width="14" style="5" hidden="1" customWidth="1"/>
    <col min="29" max="29" width="8.5703125" style="5" hidden="1" customWidth="1"/>
    <col min="30" max="30" width="10" style="5" hidden="1" customWidth="1"/>
    <col min="31" max="31" width="15.140625" style="5" hidden="1" customWidth="1"/>
    <col min="32" max="32" width="12" style="5" hidden="1" customWidth="1"/>
    <col min="33" max="34" width="11.5703125" style="10" customWidth="1"/>
    <col min="35" max="35" width="11" style="10" customWidth="1"/>
    <col min="36" max="36" width="12.42578125" style="5" customWidth="1"/>
    <col min="37" max="37" width="6.5703125" style="5" customWidth="1"/>
    <col min="38" max="38" width="12.140625" style="5" customWidth="1"/>
    <col min="39" max="39" width="6" style="5" customWidth="1"/>
    <col min="40" max="40" width="9.140625" style="5" customWidth="1"/>
    <col min="41" max="41" width="9" style="5" customWidth="1"/>
    <col min="42" max="42" width="11" style="5" bestFit="1" customWidth="1"/>
    <col min="43" max="43" width="10" style="5" customWidth="1"/>
    <col min="44" max="44" width="11" style="5" bestFit="1" customWidth="1"/>
    <col min="45" max="45" width="9" style="5" customWidth="1"/>
    <col min="46" max="46" width="10" style="5" customWidth="1"/>
    <col min="47" max="47" width="13.5703125" style="5" customWidth="1"/>
    <col min="48" max="48" width="10.140625" style="5" customWidth="1"/>
    <col min="49" max="49" width="21.5703125" style="8" customWidth="1"/>
    <col min="50" max="50" width="20" style="8" customWidth="1"/>
    <col min="51" max="51" width="8.42578125" style="8" customWidth="1"/>
    <col min="52" max="52" width="7.5703125" style="8" customWidth="1"/>
    <col min="53" max="53" width="34.5703125" style="5" customWidth="1"/>
    <col min="54" max="54" width="6.5703125" style="5" customWidth="1"/>
    <col min="55" max="55" width="10.42578125" style="5" customWidth="1"/>
    <col min="56" max="56" width="11" style="5" customWidth="1"/>
    <col min="57" max="60" width="9" style="5"/>
    <col min="61" max="61" width="11" style="5" customWidth="1"/>
    <col min="62" max="63" width="10" style="5" customWidth="1"/>
    <col min="64" max="74" width="9" style="5"/>
    <col min="75" max="75" width="10.85546875" style="5" bestFit="1" customWidth="1"/>
    <col min="76" max="16384" width="9" style="5"/>
  </cols>
  <sheetData>
    <row r="1" spans="1:81" ht="53.25">
      <c r="A1" s="61" t="s">
        <v>65</v>
      </c>
      <c r="B1" s="49" t="s">
        <v>66</v>
      </c>
      <c r="C1" s="49" t="s">
        <v>67</v>
      </c>
      <c r="D1" s="49" t="s">
        <v>230</v>
      </c>
      <c r="E1" s="50" t="s">
        <v>231</v>
      </c>
      <c r="F1" s="50" t="s">
        <v>232</v>
      </c>
      <c r="G1" s="50" t="s">
        <v>68</v>
      </c>
      <c r="H1" s="50" t="s">
        <v>69</v>
      </c>
      <c r="I1" s="50" t="s">
        <v>70</v>
      </c>
      <c r="J1" s="50" t="s">
        <v>71</v>
      </c>
      <c r="K1" s="51" t="s">
        <v>72</v>
      </c>
      <c r="L1" s="50" t="s">
        <v>73</v>
      </c>
      <c r="M1" s="49" t="s">
        <v>74</v>
      </c>
      <c r="N1" s="52" t="s">
        <v>75</v>
      </c>
      <c r="O1" s="50" t="s">
        <v>76</v>
      </c>
      <c r="P1" s="50" t="s">
        <v>77</v>
      </c>
      <c r="Q1" s="50" t="s">
        <v>78</v>
      </c>
      <c r="R1" s="53" t="s">
        <v>79</v>
      </c>
      <c r="S1" s="51" t="s">
        <v>72</v>
      </c>
      <c r="T1" s="51" t="s">
        <v>80</v>
      </c>
      <c r="U1" s="51" t="s">
        <v>81</v>
      </c>
      <c r="V1" s="54" t="s">
        <v>82</v>
      </c>
      <c r="W1" s="50" t="s">
        <v>83</v>
      </c>
      <c r="X1" s="51" t="s">
        <v>84</v>
      </c>
      <c r="Y1" s="63" t="s">
        <v>85</v>
      </c>
      <c r="Z1" s="55" t="s">
        <v>86</v>
      </c>
      <c r="AA1" s="51" t="s">
        <v>87</v>
      </c>
      <c r="AB1" s="51" t="s">
        <v>88</v>
      </c>
      <c r="AC1" s="51" t="s">
        <v>89</v>
      </c>
      <c r="AD1" s="56" t="s">
        <v>90</v>
      </c>
      <c r="AE1" s="57" t="s">
        <v>91</v>
      </c>
      <c r="AF1" s="57" t="s">
        <v>92</v>
      </c>
      <c r="AG1" s="58" t="s">
        <v>93</v>
      </c>
      <c r="AH1" s="58" t="s">
        <v>79</v>
      </c>
      <c r="AI1" s="58" t="s">
        <v>72</v>
      </c>
      <c r="AJ1" s="50" t="s">
        <v>73</v>
      </c>
      <c r="AK1" s="49" t="s">
        <v>74</v>
      </c>
      <c r="AL1" s="50" t="s">
        <v>94</v>
      </c>
      <c r="AM1" s="50" t="s">
        <v>76</v>
      </c>
      <c r="AN1" s="50" t="s">
        <v>83</v>
      </c>
      <c r="AO1" s="50" t="s">
        <v>95</v>
      </c>
      <c r="AP1" s="57" t="s">
        <v>96</v>
      </c>
      <c r="AQ1" s="57" t="s">
        <v>97</v>
      </c>
      <c r="AR1" s="57" t="s">
        <v>98</v>
      </c>
      <c r="AS1" s="57" t="s">
        <v>62</v>
      </c>
      <c r="AT1" s="57" t="s">
        <v>99</v>
      </c>
      <c r="AU1" s="57" t="s">
        <v>100</v>
      </c>
      <c r="AV1" s="57" t="s">
        <v>101</v>
      </c>
      <c r="AW1" s="59" t="s">
        <v>102</v>
      </c>
      <c r="AX1" s="59" t="s">
        <v>103</v>
      </c>
      <c r="AY1" s="59" t="s">
        <v>104</v>
      </c>
      <c r="AZ1" s="59" t="s">
        <v>105</v>
      </c>
      <c r="BA1" s="60" t="s">
        <v>106</v>
      </c>
      <c r="BC1" s="311" t="s">
        <v>107</v>
      </c>
      <c r="BD1" s="311" t="s">
        <v>108</v>
      </c>
      <c r="BE1" s="311" t="s">
        <v>109</v>
      </c>
      <c r="BF1" s="311" t="s">
        <v>110</v>
      </c>
      <c r="BG1" s="311" t="s">
        <v>111</v>
      </c>
      <c r="BH1" s="311"/>
      <c r="BI1" s="311" t="s">
        <v>112</v>
      </c>
      <c r="BJ1" s="311" t="s">
        <v>113</v>
      </c>
      <c r="BK1" s="311" t="s">
        <v>114</v>
      </c>
      <c r="BL1" s="311" t="s">
        <v>115</v>
      </c>
      <c r="BM1" s="311" t="s">
        <v>116</v>
      </c>
      <c r="BN1" s="311" t="s">
        <v>117</v>
      </c>
      <c r="BO1" s="311" t="s">
        <v>118</v>
      </c>
      <c r="BP1" s="311" t="s">
        <v>119</v>
      </c>
      <c r="BQ1" s="311" t="s">
        <v>120</v>
      </c>
      <c r="BR1" s="311" t="s">
        <v>121</v>
      </c>
      <c r="BS1" s="311" t="s">
        <v>122</v>
      </c>
      <c r="BT1" s="312" t="s">
        <v>123</v>
      </c>
      <c r="BU1" s="312"/>
      <c r="BV1" s="311" t="s">
        <v>121</v>
      </c>
      <c r="BW1" s="311" t="s">
        <v>120</v>
      </c>
      <c r="BX1" s="311" t="s">
        <v>124</v>
      </c>
      <c r="BY1" s="311" t="s">
        <v>125</v>
      </c>
      <c r="BZ1" s="311" t="s">
        <v>126</v>
      </c>
      <c r="CA1" s="311" t="s">
        <v>127</v>
      </c>
    </row>
    <row r="2" spans="1:81" s="16" customFormat="1">
      <c r="A2" s="313" t="s">
        <v>47</v>
      </c>
      <c r="B2" s="168" t="s">
        <v>233</v>
      </c>
      <c r="C2" s="144" t="s">
        <v>234</v>
      </c>
      <c r="D2" s="144" t="s">
        <v>235</v>
      </c>
      <c r="E2" s="144"/>
      <c r="F2" s="144"/>
      <c r="G2" s="145" t="s">
        <v>130</v>
      </c>
      <c r="H2" s="146" t="s">
        <v>131</v>
      </c>
      <c r="I2" s="145" t="s">
        <v>132</v>
      </c>
      <c r="J2" s="145" t="s">
        <v>133</v>
      </c>
      <c r="K2" s="147" t="str">
        <f t="shared" ref="K2:K8" si="0">IF(I2="Rack","No of Racks",(IF(I2="Space","Sq Ft","U Space")))</f>
        <v>No of Racks</v>
      </c>
      <c r="L2" s="145">
        <v>1</v>
      </c>
      <c r="M2" s="145">
        <v>1</v>
      </c>
      <c r="N2" s="148">
        <f t="shared" ref="N2:N8" si="1">L2-M2</f>
        <v>0</v>
      </c>
      <c r="O2" s="145">
        <v>1</v>
      </c>
      <c r="P2" s="145"/>
      <c r="Q2" s="339">
        <f>519750/12</f>
        <v>43312.5</v>
      </c>
      <c r="R2" s="150" t="str">
        <f t="shared" ref="R2:R10" si="2">G2</f>
        <v>Rated</v>
      </c>
      <c r="S2" s="145" t="s">
        <v>134</v>
      </c>
      <c r="T2" s="146">
        <v>8.93</v>
      </c>
      <c r="U2" s="151">
        <v>9.77</v>
      </c>
      <c r="V2" s="232">
        <f t="shared" ref="V2:V14" si="3">T2-U2</f>
        <v>-0.83999999999999986</v>
      </c>
      <c r="W2" s="146"/>
      <c r="X2" s="146">
        <f>IF(V2&lt;=0,0,(IF(R2="Rated",(V2+W2)*#REF!,(V2+W2))))</f>
        <v>0</v>
      </c>
      <c r="Y2" s="146" t="e">
        <f>IF(R2="Rated",T2*#REF!,T2)</f>
        <v>#REF!</v>
      </c>
      <c r="Z2" s="231">
        <f>AG2/28/24</f>
        <v>5.1572023809523806</v>
      </c>
      <c r="AA2" s="146">
        <f t="shared" ref="AA2:AA14" si="4">IF((V2*-1)&gt;0, (V2*-1), 0)</f>
        <v>0.83999999999999986</v>
      </c>
      <c r="AB2" s="152">
        <f>100000/12</f>
        <v>8333.3333333333339</v>
      </c>
      <c r="AC2" s="153" t="str">
        <f t="shared" ref="AC2:AC14" si="5">H2</f>
        <v>Bundled</v>
      </c>
      <c r="AD2" s="145"/>
      <c r="AE2" s="146"/>
      <c r="AF2" s="154"/>
      <c r="AG2" s="146">
        <v>3465.64</v>
      </c>
      <c r="AH2" s="155"/>
      <c r="AI2" s="156" t="str">
        <f t="shared" ref="AI2:AI14" si="6">IF(AH2="No of Seats","No of Seats",(IF(AH2="Space","Sq Ft","")))</f>
        <v/>
      </c>
      <c r="AJ2" s="146"/>
      <c r="AK2" s="146"/>
      <c r="AL2" s="146">
        <f t="shared" ref="AL2:AL14" si="7">AJ2-AK2</f>
        <v>0</v>
      </c>
      <c r="AM2" s="145"/>
      <c r="AN2" s="145"/>
      <c r="AO2" s="149"/>
      <c r="AP2" s="157">
        <f t="shared" ref="AP2:AP14" si="8">Q2*O2</f>
        <v>43312.5</v>
      </c>
      <c r="AQ2" s="157">
        <f t="shared" ref="AQ2:AQ14" si="9">AB2*AA2</f>
        <v>6999.9999999999991</v>
      </c>
      <c r="AR2" s="158">
        <f t="shared" ref="AR2:AR14" si="10">AG2*AF2*AD2</f>
        <v>0</v>
      </c>
      <c r="AS2" s="157">
        <f t="shared" ref="AS2:AS13" si="11">AO2*AM2</f>
        <v>0</v>
      </c>
      <c r="AT2" s="159">
        <f>(593000+30000)/12</f>
        <v>51916.666666666664</v>
      </c>
      <c r="AU2" s="160">
        <f t="shared" ref="AU2:AU14" si="12">SUBTOTAL(9,AP2:AT2)</f>
        <v>102229.16666666666</v>
      </c>
      <c r="AV2" s="160"/>
      <c r="AW2" s="234" t="s">
        <v>164</v>
      </c>
      <c r="AX2" s="235"/>
      <c r="AY2" s="236"/>
      <c r="AZ2" s="235"/>
      <c r="BA2" s="337"/>
      <c r="BC2" s="165">
        <f t="shared" ref="BC2:BC14" si="13">IF(I2="Rack",AU2/L2,0)+IF(I2="U Space",AU2*40/L2,0)+IF(I2="Space",AU2*30/L2,0)</f>
        <v>102229.16666666666</v>
      </c>
      <c r="BD2" s="165" t="e">
        <f t="shared" ref="BD2:BD14" si="14">+AU2/Y2</f>
        <v>#REF!</v>
      </c>
      <c r="BE2" s="165" t="e">
        <f t="shared" ref="BE2:BE14" si="15">+($AP2+$AQ2+$AR2-BL2)/$Y2</f>
        <v>#REF!</v>
      </c>
      <c r="BF2" s="165" t="e">
        <f t="shared" ref="BF2:BF14" si="16">+($AP2+$AQ2+$AR2-BM2)/$Y2</f>
        <v>#REF!</v>
      </c>
      <c r="BG2" s="165" t="e">
        <f t="shared" ref="BG2:BG14" si="17">+($AP2+$AQ2+IF(H2="Bundled",0,Y2*0.85*AD2*AF2*30.5*24)-BN2)/$Y2</f>
        <v>#REF!</v>
      </c>
      <c r="BH2" s="165"/>
      <c r="BI2" s="166">
        <f t="shared" ref="BI2:BI14" si="18">+AP2+AQ2+AR2</f>
        <v>50312.5</v>
      </c>
      <c r="BJ2" s="166" t="e">
        <f t="shared" ref="BJ2:BJ14" si="19">+BI2-BK2</f>
        <v>#REF!</v>
      </c>
      <c r="BK2" s="166" t="e">
        <f>IF(H2="Bundled",MIN(Y2*#REF!*(1+#REF!),BI2),AR2)</f>
        <v>#REF!</v>
      </c>
      <c r="BL2" s="167" t="e">
        <f>IF($AG2&gt;0,$AG2*#REF!*#REF!*(1+#REF!*(20/#REF!)/732),#REF!*Z2)</f>
        <v>#REF!</v>
      </c>
      <c r="BM2" s="167" t="e">
        <f>IF($AG2&gt;0,$AG2*#REF!*#REF!*(1+#REF!*(20/#REF!)/732),+#REF!*(Z2+X2))</f>
        <v>#REF!</v>
      </c>
      <c r="BN2" s="167" t="e">
        <f>IF(H2="Bundled",#REF!*Y2,#REF!*Y2*0.85)</f>
        <v>#REF!</v>
      </c>
      <c r="BO2" s="167" t="e">
        <f t="shared" ref="BO2:BO14" si="20">+BE2*Y2</f>
        <v>#REF!</v>
      </c>
      <c r="BP2" s="167" t="e">
        <f>+#REF!*Y2</f>
        <v>#REF!</v>
      </c>
      <c r="BQ2" s="167" t="e">
        <f t="shared" ref="BQ2:BQ14" si="21">+BJ2-BP2</f>
        <v>#REF!</v>
      </c>
      <c r="BR2" s="167" t="e">
        <f t="shared" ref="BR2:BR14" si="22">+BK2-BL2</f>
        <v>#REF!</v>
      </c>
      <c r="BS2" s="167" t="e">
        <f t="shared" ref="BS2:BS14" si="23">+BQ2+BR2</f>
        <v>#REF!</v>
      </c>
      <c r="BT2" s="167" t="e">
        <f t="shared" ref="BT2:BT21" si="24">+Y2</f>
        <v>#REF!</v>
      </c>
      <c r="BU2" s="167" t="e">
        <f t="shared" ref="BU2:BU14" si="25">+BE2</f>
        <v>#REF!</v>
      </c>
      <c r="BV2" s="167" t="e">
        <f t="shared" ref="BV2:BV14" si="26">IF(H2="Bundled",BN2-BL2,AR2-BL2)</f>
        <v>#REF!</v>
      </c>
      <c r="BW2" s="167" t="e">
        <f>IF(H2="Bundled",+(BG2-#REF!)*Y2,(AP2+AQ2)-Y2*#REF!)</f>
        <v>#REF!</v>
      </c>
      <c r="BX2" s="167" t="e">
        <f t="shared" ref="BX2:BX14" si="27">+BV2+BW2</f>
        <v>#REF!</v>
      </c>
      <c r="BY2" s="167" t="e">
        <f t="shared" ref="BY2:BY14" si="28">+BV2/$BT2</f>
        <v>#REF!</v>
      </c>
      <c r="BZ2" s="167" t="e">
        <f t="shared" ref="BZ2:BZ14" si="29">+BW2/$BT2</f>
        <v>#REF!</v>
      </c>
      <c r="CA2" s="167" t="e">
        <f t="shared" ref="CA2:CA14" si="30">+BX2/$BT2</f>
        <v>#REF!</v>
      </c>
    </row>
    <row r="3" spans="1:81" s="16" customFormat="1">
      <c r="A3" s="313" t="s">
        <v>47</v>
      </c>
      <c r="B3" s="168" t="s">
        <v>236</v>
      </c>
      <c r="C3" s="144" t="s">
        <v>234</v>
      </c>
      <c r="D3" s="144" t="s">
        <v>235</v>
      </c>
      <c r="E3" s="144"/>
      <c r="F3" s="144"/>
      <c r="G3" s="145" t="s">
        <v>130</v>
      </c>
      <c r="H3" s="146" t="s">
        <v>131</v>
      </c>
      <c r="I3" s="145" t="s">
        <v>132</v>
      </c>
      <c r="J3" s="145" t="s">
        <v>133</v>
      </c>
      <c r="K3" s="147" t="str">
        <f t="shared" si="0"/>
        <v>No of Racks</v>
      </c>
      <c r="L3" s="145">
        <v>1</v>
      </c>
      <c r="M3" s="145">
        <v>1</v>
      </c>
      <c r="N3" s="148">
        <f t="shared" si="1"/>
        <v>0</v>
      </c>
      <c r="O3" s="145">
        <v>1</v>
      </c>
      <c r="P3" s="145"/>
      <c r="Q3" s="339">
        <f>1020000/12</f>
        <v>85000</v>
      </c>
      <c r="R3" s="150" t="str">
        <f t="shared" si="2"/>
        <v>Rated</v>
      </c>
      <c r="S3" s="145" t="s">
        <v>134</v>
      </c>
      <c r="T3" s="146">
        <v>10</v>
      </c>
      <c r="U3" s="151">
        <v>7.46</v>
      </c>
      <c r="V3" s="232">
        <f t="shared" si="3"/>
        <v>2.54</v>
      </c>
      <c r="W3" s="146"/>
      <c r="X3" s="146" t="e">
        <f>IF(V3&lt;=0,0,(IF(R3="Rated",(V3+W3)*#REF!,(V3+W3))))</f>
        <v>#REF!</v>
      </c>
      <c r="Y3" s="146" t="e">
        <f>IF(R3="Rated",T3*#REF!,T3)</f>
        <v>#REF!</v>
      </c>
      <c r="Z3" s="231">
        <f t="shared" ref="Z3:Z4" si="31">AG3/28/24</f>
        <v>2.9673363095238092</v>
      </c>
      <c r="AA3" s="146">
        <f t="shared" si="4"/>
        <v>0</v>
      </c>
      <c r="AB3" s="152">
        <f>90000/12</f>
        <v>7500</v>
      </c>
      <c r="AC3" s="153" t="str">
        <f t="shared" si="5"/>
        <v>Bundled</v>
      </c>
      <c r="AD3" s="145"/>
      <c r="AE3" s="146"/>
      <c r="AF3" s="154"/>
      <c r="AG3" s="146">
        <v>1994.05</v>
      </c>
      <c r="AH3" s="155"/>
      <c r="AI3" s="156" t="str">
        <f t="shared" si="6"/>
        <v/>
      </c>
      <c r="AJ3" s="146"/>
      <c r="AK3" s="146"/>
      <c r="AL3" s="146">
        <f t="shared" si="7"/>
        <v>0</v>
      </c>
      <c r="AM3" s="145"/>
      <c r="AN3" s="145"/>
      <c r="AO3" s="149"/>
      <c r="AP3" s="157">
        <f t="shared" si="8"/>
        <v>85000</v>
      </c>
      <c r="AQ3" s="157">
        <f t="shared" si="9"/>
        <v>0</v>
      </c>
      <c r="AR3" s="158">
        <f t="shared" si="10"/>
        <v>0</v>
      </c>
      <c r="AS3" s="157">
        <f t="shared" si="11"/>
        <v>0</v>
      </c>
      <c r="AT3" s="159"/>
      <c r="AU3" s="160">
        <f t="shared" si="12"/>
        <v>85000</v>
      </c>
      <c r="AV3" s="160"/>
      <c r="AW3" s="234">
        <v>721006057</v>
      </c>
      <c r="AX3" s="235"/>
      <c r="AY3" s="236"/>
      <c r="AZ3" s="235"/>
      <c r="BA3" s="316"/>
      <c r="BC3" s="165">
        <f t="shared" si="13"/>
        <v>85000</v>
      </c>
      <c r="BD3" s="165" t="e">
        <f t="shared" si="14"/>
        <v>#REF!</v>
      </c>
      <c r="BE3" s="165" t="e">
        <f t="shared" si="15"/>
        <v>#REF!</v>
      </c>
      <c r="BF3" s="165" t="e">
        <f t="shared" si="16"/>
        <v>#REF!</v>
      </c>
      <c r="BG3" s="165" t="e">
        <f t="shared" si="17"/>
        <v>#REF!</v>
      </c>
      <c r="BH3" s="165"/>
      <c r="BI3" s="166">
        <f t="shared" si="18"/>
        <v>85000</v>
      </c>
      <c r="BJ3" s="166" t="e">
        <f t="shared" si="19"/>
        <v>#REF!</v>
      </c>
      <c r="BK3" s="166" t="e">
        <f>IF(H3="Bundled",MIN(Y3*#REF!*(1+#REF!),BI3),AR3)</f>
        <v>#REF!</v>
      </c>
      <c r="BL3" s="167" t="e">
        <f>IF($AG3&gt;0,$AG3*#REF!*#REF!*(1+#REF!*(20/#REF!)/732),#REF!*Z3)</f>
        <v>#REF!</v>
      </c>
      <c r="BM3" s="167" t="e">
        <f>IF($AG3&gt;0,$AG3*#REF!*#REF!*(1+#REF!*(20/#REF!)/732),+#REF!*(Z3+X3))</f>
        <v>#REF!</v>
      </c>
      <c r="BN3" s="167" t="e">
        <f>IF(H3="Bundled",#REF!*Y3,#REF!*Y3*0.85)</f>
        <v>#REF!</v>
      </c>
      <c r="BO3" s="167" t="e">
        <f t="shared" si="20"/>
        <v>#REF!</v>
      </c>
      <c r="BP3" s="167" t="e">
        <f>+#REF!*Y3</f>
        <v>#REF!</v>
      </c>
      <c r="BQ3" s="167" t="e">
        <f t="shared" si="21"/>
        <v>#REF!</v>
      </c>
      <c r="BR3" s="167" t="e">
        <f t="shared" si="22"/>
        <v>#REF!</v>
      </c>
      <c r="BS3" s="167" t="e">
        <f t="shared" si="23"/>
        <v>#REF!</v>
      </c>
      <c r="BT3" s="167" t="e">
        <f t="shared" si="24"/>
        <v>#REF!</v>
      </c>
      <c r="BU3" s="167" t="e">
        <f t="shared" si="25"/>
        <v>#REF!</v>
      </c>
      <c r="BV3" s="167" t="e">
        <f t="shared" si="26"/>
        <v>#REF!</v>
      </c>
      <c r="BW3" s="167" t="e">
        <f>IF(H3="Bundled",+(BG3-#REF!)*Y3,(AP3+AQ3)-Y3*#REF!)</f>
        <v>#REF!</v>
      </c>
      <c r="BX3" s="167" t="e">
        <f t="shared" si="27"/>
        <v>#REF!</v>
      </c>
      <c r="BY3" s="167" t="e">
        <f t="shared" si="28"/>
        <v>#REF!</v>
      </c>
      <c r="BZ3" s="167" t="e">
        <f t="shared" si="29"/>
        <v>#REF!</v>
      </c>
      <c r="CA3" s="167" t="e">
        <f t="shared" si="30"/>
        <v>#REF!</v>
      </c>
    </row>
    <row r="4" spans="1:81">
      <c r="A4" s="313" t="s">
        <v>47</v>
      </c>
      <c r="B4" s="168" t="s">
        <v>237</v>
      </c>
      <c r="C4" s="340" t="s">
        <v>238</v>
      </c>
      <c r="D4" s="340" t="s">
        <v>239</v>
      </c>
      <c r="E4" s="340"/>
      <c r="F4" s="340"/>
      <c r="G4" s="145" t="s">
        <v>130</v>
      </c>
      <c r="H4" s="146" t="s">
        <v>170</v>
      </c>
      <c r="I4" s="145" t="s">
        <v>132</v>
      </c>
      <c r="J4" s="145" t="s">
        <v>133</v>
      </c>
      <c r="K4" s="147" t="str">
        <f t="shared" si="0"/>
        <v>No of Racks</v>
      </c>
      <c r="L4" s="145">
        <v>1</v>
      </c>
      <c r="M4" s="145">
        <v>1</v>
      </c>
      <c r="N4" s="148">
        <f t="shared" si="1"/>
        <v>0</v>
      </c>
      <c r="O4" s="145">
        <v>1</v>
      </c>
      <c r="P4" s="145"/>
      <c r="Q4" s="149">
        <f>300000/12</f>
        <v>25000</v>
      </c>
      <c r="R4" s="150" t="str">
        <f t="shared" si="2"/>
        <v>Rated</v>
      </c>
      <c r="S4" s="145" t="s">
        <v>134</v>
      </c>
      <c r="T4" s="146">
        <v>3</v>
      </c>
      <c r="U4" s="151">
        <v>4.07</v>
      </c>
      <c r="V4" s="232">
        <f t="shared" si="3"/>
        <v>-1.0700000000000003</v>
      </c>
      <c r="W4" s="146"/>
      <c r="X4" s="146">
        <f>IF(V4&lt;=0,0,(IF(R4="Rated",(V4+W4)*#REF!,(V4+W4))))</f>
        <v>0</v>
      </c>
      <c r="Y4" s="146" t="e">
        <f>IF(R4="Rated",T4*#REF!,T4)</f>
        <v>#REF!</v>
      </c>
      <c r="Z4" s="231">
        <f t="shared" si="31"/>
        <v>1.3959523809523811</v>
      </c>
      <c r="AA4" s="146">
        <f t="shared" si="4"/>
        <v>1.0700000000000003</v>
      </c>
      <c r="AB4" s="152">
        <v>0</v>
      </c>
      <c r="AC4" s="153" t="str">
        <f t="shared" si="5"/>
        <v>Metered</v>
      </c>
      <c r="AD4" s="146">
        <v>1</v>
      </c>
      <c r="AE4" s="146" t="s">
        <v>171</v>
      </c>
      <c r="AF4" s="154">
        <v>19</v>
      </c>
      <c r="AG4" s="146">
        <v>938.08</v>
      </c>
      <c r="AH4" s="155"/>
      <c r="AI4" s="156" t="str">
        <f t="shared" si="6"/>
        <v/>
      </c>
      <c r="AJ4" s="146"/>
      <c r="AK4" s="146"/>
      <c r="AL4" s="146">
        <f t="shared" si="7"/>
        <v>0</v>
      </c>
      <c r="AM4" s="146"/>
      <c r="AN4" s="146"/>
      <c r="AO4" s="149"/>
      <c r="AP4" s="157">
        <f t="shared" si="8"/>
        <v>25000</v>
      </c>
      <c r="AQ4" s="157">
        <f t="shared" si="9"/>
        <v>0</v>
      </c>
      <c r="AR4" s="158">
        <f t="shared" si="10"/>
        <v>17823.52</v>
      </c>
      <c r="AS4" s="157">
        <f t="shared" si="11"/>
        <v>0</v>
      </c>
      <c r="AT4" s="159">
        <v>2083.3333333333335</v>
      </c>
      <c r="AU4" s="160">
        <f t="shared" si="12"/>
        <v>44906.85333333334</v>
      </c>
      <c r="AV4" s="160"/>
      <c r="AW4" s="234">
        <v>721004322</v>
      </c>
      <c r="AX4" s="235"/>
      <c r="AY4" s="236"/>
      <c r="AZ4" s="235"/>
      <c r="BA4" s="320"/>
      <c r="BC4" s="165">
        <f t="shared" si="13"/>
        <v>44906.85333333334</v>
      </c>
      <c r="BD4" s="165" t="e">
        <f t="shared" si="14"/>
        <v>#REF!</v>
      </c>
      <c r="BE4" s="165" t="e">
        <f t="shared" si="15"/>
        <v>#REF!</v>
      </c>
      <c r="BF4" s="165" t="e">
        <f t="shared" si="16"/>
        <v>#REF!</v>
      </c>
      <c r="BG4" s="165" t="e">
        <f t="shared" si="17"/>
        <v>#REF!</v>
      </c>
      <c r="BH4" s="165"/>
      <c r="BI4" s="166">
        <f t="shared" si="18"/>
        <v>42823.520000000004</v>
      </c>
      <c r="BJ4" s="166">
        <f t="shared" si="19"/>
        <v>25000.000000000004</v>
      </c>
      <c r="BK4" s="166">
        <f>IF(H4="Bundled",MIN(Y4*#REF!*(1+#REF!),BI4),AR4)</f>
        <v>17823.52</v>
      </c>
      <c r="BL4" s="167" t="e">
        <f>IF($AG4&gt;0,$AG4*#REF!*#REF!*(1+#REF!*(20/#REF!)/732),#REF!*Z4)</f>
        <v>#REF!</v>
      </c>
      <c r="BM4" s="167" t="e">
        <f>IF($AG4&gt;0,$AG4*#REF!*#REF!*(1+#REF!*(20/#REF!)/732),+#REF!*(Z4+X4))</f>
        <v>#REF!</v>
      </c>
      <c r="BN4" s="167" t="e">
        <f>IF(H4="Bundled",#REF!*Y4,#REF!*Y4*0.85)</f>
        <v>#REF!</v>
      </c>
      <c r="BO4" s="167" t="e">
        <f t="shared" si="20"/>
        <v>#REF!</v>
      </c>
      <c r="BP4" s="167" t="e">
        <f>+#REF!*Y4</f>
        <v>#REF!</v>
      </c>
      <c r="BQ4" s="167" t="e">
        <f t="shared" si="21"/>
        <v>#REF!</v>
      </c>
      <c r="BR4" s="167" t="e">
        <f t="shared" si="22"/>
        <v>#REF!</v>
      </c>
      <c r="BS4" s="167" t="e">
        <f t="shared" si="23"/>
        <v>#REF!</v>
      </c>
      <c r="BT4" s="167" t="e">
        <f t="shared" si="24"/>
        <v>#REF!</v>
      </c>
      <c r="BU4" s="167" t="e">
        <f t="shared" si="25"/>
        <v>#REF!</v>
      </c>
      <c r="BV4" s="167" t="e">
        <f t="shared" si="26"/>
        <v>#REF!</v>
      </c>
      <c r="BW4" s="167" t="e">
        <f>IF(H4="Bundled",+(BG4-#REF!)*Y4,(AP4+AQ4)-Y4*#REF!)</f>
        <v>#REF!</v>
      </c>
      <c r="BX4" s="167" t="e">
        <f t="shared" si="27"/>
        <v>#REF!</v>
      </c>
      <c r="BY4" s="167" t="e">
        <f t="shared" si="28"/>
        <v>#REF!</v>
      </c>
      <c r="BZ4" s="167" t="e">
        <f t="shared" si="29"/>
        <v>#REF!</v>
      </c>
      <c r="CA4" s="167" t="e">
        <f t="shared" si="30"/>
        <v>#REF!</v>
      </c>
    </row>
    <row r="5" spans="1:81">
      <c r="A5" s="313" t="s">
        <v>47</v>
      </c>
      <c r="B5" s="168" t="s">
        <v>240</v>
      </c>
      <c r="C5" s="168" t="s">
        <v>241</v>
      </c>
      <c r="D5" s="168" t="s">
        <v>239</v>
      </c>
      <c r="E5" s="168"/>
      <c r="F5" s="168"/>
      <c r="G5" s="145" t="s">
        <v>169</v>
      </c>
      <c r="H5" s="146" t="s">
        <v>170</v>
      </c>
      <c r="I5" s="145" t="s">
        <v>132</v>
      </c>
      <c r="J5" s="145" t="s">
        <v>133</v>
      </c>
      <c r="K5" s="147" t="str">
        <f t="shared" si="0"/>
        <v>No of Racks</v>
      </c>
      <c r="L5" s="145">
        <v>2</v>
      </c>
      <c r="M5" s="145">
        <v>2</v>
      </c>
      <c r="N5" s="148">
        <f t="shared" si="1"/>
        <v>0</v>
      </c>
      <c r="O5" s="145">
        <v>2</v>
      </c>
      <c r="P5" s="145"/>
      <c r="Q5" s="149">
        <f>(798000+760000)/2/12</f>
        <v>64916.666666666664</v>
      </c>
      <c r="R5" s="150" t="str">
        <f t="shared" si="2"/>
        <v>Subscribed</v>
      </c>
      <c r="S5" s="145" t="s">
        <v>123</v>
      </c>
      <c r="T5" s="146">
        <v>7.5</v>
      </c>
      <c r="U5" s="327">
        <f>Z5</f>
        <v>5.6367113095238102</v>
      </c>
      <c r="V5" s="232">
        <f t="shared" si="3"/>
        <v>1.8632886904761898</v>
      </c>
      <c r="W5" s="146"/>
      <c r="X5" s="146">
        <f>IF(V5&lt;=0,0,(IF(R5="Rated",(V5+W5)*#REF!,(V5+W5))))</f>
        <v>1.8632886904761898</v>
      </c>
      <c r="Y5" s="146">
        <f>IF(R5="Rated",T5*#REF!,T5)</f>
        <v>7.5</v>
      </c>
      <c r="Z5" s="231">
        <f>AG5/28/24</f>
        <v>5.6367113095238102</v>
      </c>
      <c r="AA5" s="146">
        <f t="shared" si="4"/>
        <v>0</v>
      </c>
      <c r="AB5" s="152">
        <f>110000/12</f>
        <v>9166.6666666666661</v>
      </c>
      <c r="AC5" s="153" t="str">
        <f t="shared" si="5"/>
        <v>Metered</v>
      </c>
      <c r="AD5" s="146">
        <v>1</v>
      </c>
      <c r="AE5" s="146" t="s">
        <v>171</v>
      </c>
      <c r="AF5" s="154">
        <v>19.5</v>
      </c>
      <c r="AG5" s="146">
        <v>3787.87</v>
      </c>
      <c r="AH5" s="155"/>
      <c r="AI5" s="156" t="str">
        <f t="shared" si="6"/>
        <v/>
      </c>
      <c r="AJ5" s="146"/>
      <c r="AK5" s="146"/>
      <c r="AL5" s="146">
        <f t="shared" si="7"/>
        <v>0</v>
      </c>
      <c r="AM5" s="146"/>
      <c r="AN5" s="146"/>
      <c r="AO5" s="149"/>
      <c r="AP5" s="157">
        <f t="shared" si="8"/>
        <v>129833.33333333333</v>
      </c>
      <c r="AQ5" s="157">
        <f t="shared" si="9"/>
        <v>0</v>
      </c>
      <c r="AR5" s="158">
        <f t="shared" si="10"/>
        <v>73863.464999999997</v>
      </c>
      <c r="AS5" s="157">
        <f t="shared" si="11"/>
        <v>0</v>
      </c>
      <c r="AT5" s="159">
        <f>(15450)/12</f>
        <v>1287.5</v>
      </c>
      <c r="AU5" s="160">
        <f t="shared" si="12"/>
        <v>204984.29833333334</v>
      </c>
      <c r="AV5" s="160"/>
      <c r="AW5" s="234" t="s">
        <v>164</v>
      </c>
      <c r="AX5" s="235"/>
      <c r="AY5" s="236"/>
      <c r="AZ5" s="235"/>
      <c r="BA5" s="337"/>
      <c r="BC5" s="165">
        <f t="shared" si="13"/>
        <v>102492.14916666667</v>
      </c>
      <c r="BD5" s="165">
        <f t="shared" si="14"/>
        <v>27331.239777777777</v>
      </c>
      <c r="BE5" s="165" t="e">
        <f t="shared" si="15"/>
        <v>#REF!</v>
      </c>
      <c r="BF5" s="165" t="e">
        <f t="shared" si="16"/>
        <v>#REF!</v>
      </c>
      <c r="BG5" s="165" t="e">
        <f t="shared" si="17"/>
        <v>#REF!</v>
      </c>
      <c r="BH5" s="165"/>
      <c r="BI5" s="166">
        <f t="shared" si="18"/>
        <v>203696.79833333334</v>
      </c>
      <c r="BJ5" s="166">
        <f t="shared" si="19"/>
        <v>129833.33333333334</v>
      </c>
      <c r="BK5" s="166">
        <f>IF(H5="Bundled",MIN(Y5*#REF!*(1+#REF!),BI5),AR5)</f>
        <v>73863.464999999997</v>
      </c>
      <c r="BL5" s="167" t="e">
        <f>IF($AG5&gt;0,$AG5*#REF!*#REF!*(1+#REF!*(20/#REF!)/732),#REF!*Z5)</f>
        <v>#REF!</v>
      </c>
      <c r="BM5" s="167" t="e">
        <f>IF($AG5&gt;0,$AG5*#REF!*#REF!*(1+#REF!*(20/#REF!)/732),+#REF!*(Z5+X5))</f>
        <v>#REF!</v>
      </c>
      <c r="BN5" s="167" t="e">
        <f>IF(H5="Bundled",#REF!*Y5,#REF!*Y5*0.85)</f>
        <v>#REF!</v>
      </c>
      <c r="BO5" s="167" t="e">
        <f t="shared" si="20"/>
        <v>#REF!</v>
      </c>
      <c r="BP5" s="167" t="e">
        <f>+#REF!*Y5</f>
        <v>#REF!</v>
      </c>
      <c r="BQ5" s="167" t="e">
        <f t="shared" si="21"/>
        <v>#REF!</v>
      </c>
      <c r="BR5" s="167" t="e">
        <f t="shared" si="22"/>
        <v>#REF!</v>
      </c>
      <c r="BS5" s="167" t="e">
        <f t="shared" si="23"/>
        <v>#REF!</v>
      </c>
      <c r="BT5" s="167">
        <f t="shared" si="24"/>
        <v>7.5</v>
      </c>
      <c r="BU5" s="167" t="e">
        <f t="shared" si="25"/>
        <v>#REF!</v>
      </c>
      <c r="BV5" s="167" t="e">
        <f t="shared" si="26"/>
        <v>#REF!</v>
      </c>
      <c r="BW5" s="167" t="e">
        <f>IF(H5="Bundled",+(BG5-#REF!)*Y5,(AP5+AQ5)-Y5*#REF!)</f>
        <v>#REF!</v>
      </c>
      <c r="BX5" s="167" t="e">
        <f t="shared" si="27"/>
        <v>#REF!</v>
      </c>
      <c r="BY5" s="167" t="e">
        <f t="shared" si="28"/>
        <v>#REF!</v>
      </c>
      <c r="BZ5" s="167" t="e">
        <f t="shared" si="29"/>
        <v>#REF!</v>
      </c>
      <c r="CA5" s="167" t="e">
        <f t="shared" si="30"/>
        <v>#REF!</v>
      </c>
      <c r="CB5" s="5" t="s">
        <v>242</v>
      </c>
    </row>
    <row r="6" spans="1:81">
      <c r="A6" s="313" t="s">
        <v>47</v>
      </c>
      <c r="B6" s="168" t="s">
        <v>243</v>
      </c>
      <c r="C6" s="168" t="s">
        <v>241</v>
      </c>
      <c r="D6" s="168" t="s">
        <v>239</v>
      </c>
      <c r="E6" s="168"/>
      <c r="F6" s="168"/>
      <c r="G6" s="145" t="s">
        <v>169</v>
      </c>
      <c r="H6" s="146" t="s">
        <v>170</v>
      </c>
      <c r="I6" s="145" t="s">
        <v>132</v>
      </c>
      <c r="J6" s="145" t="s">
        <v>133</v>
      </c>
      <c r="K6" s="147" t="str">
        <f t="shared" si="0"/>
        <v>No of Racks</v>
      </c>
      <c r="L6" s="145">
        <v>1</v>
      </c>
      <c r="M6" s="145">
        <v>0</v>
      </c>
      <c r="N6" s="148">
        <f t="shared" si="1"/>
        <v>1</v>
      </c>
      <c r="O6" s="145">
        <v>0</v>
      </c>
      <c r="P6" s="145"/>
      <c r="Q6" s="149"/>
      <c r="R6" s="150" t="str">
        <f t="shared" si="2"/>
        <v>Subscribed</v>
      </c>
      <c r="S6" s="145" t="s">
        <v>123</v>
      </c>
      <c r="T6" s="146">
        <v>3</v>
      </c>
      <c r="U6" s="327"/>
      <c r="V6" s="232">
        <f t="shared" ref="V6" si="32">T6-U6</f>
        <v>3</v>
      </c>
      <c r="W6" s="146"/>
      <c r="X6" s="146">
        <f>IF(V6&lt;=0,0,(IF(R6="Rated",(V6+W6)*#REF!,(V6+W6))))</f>
        <v>3</v>
      </c>
      <c r="Y6" s="146">
        <f>IF(R6="Rated",T6*#REF!,T6)</f>
        <v>3</v>
      </c>
      <c r="Z6" s="231"/>
      <c r="AA6" s="146"/>
      <c r="AB6" s="152"/>
      <c r="AC6" s="153" t="str">
        <f t="shared" si="5"/>
        <v>Metered</v>
      </c>
      <c r="AD6" s="146"/>
      <c r="AE6" s="146"/>
      <c r="AF6" s="154"/>
      <c r="AG6" s="146"/>
      <c r="AH6" s="155"/>
      <c r="AI6" s="156"/>
      <c r="AJ6" s="146"/>
      <c r="AK6" s="146"/>
      <c r="AL6" s="146"/>
      <c r="AM6" s="146"/>
      <c r="AN6" s="146"/>
      <c r="AO6" s="149"/>
      <c r="AP6" s="157"/>
      <c r="AQ6" s="157"/>
      <c r="AR6" s="158"/>
      <c r="AS6" s="157"/>
      <c r="AT6" s="159"/>
      <c r="AU6" s="160"/>
      <c r="AV6" s="160"/>
      <c r="AW6" s="234"/>
      <c r="AX6" s="235"/>
      <c r="AY6" s="236"/>
      <c r="AZ6" s="235"/>
      <c r="BA6" s="337"/>
      <c r="BC6" s="165"/>
      <c r="BD6" s="165"/>
      <c r="BE6" s="165"/>
      <c r="BF6" s="165"/>
      <c r="BG6" s="165"/>
      <c r="BH6" s="165"/>
      <c r="BI6" s="166"/>
      <c r="BJ6" s="166"/>
      <c r="BK6" s="166"/>
      <c r="BL6" s="167"/>
      <c r="BM6" s="167"/>
      <c r="BN6" s="167" t="e">
        <f>IF(H6="Bundled",#REF!*Y6,#REF!*Y6*0.85)</f>
        <v>#REF!</v>
      </c>
      <c r="BO6" s="167"/>
      <c r="BP6" s="167"/>
      <c r="BQ6" s="167"/>
      <c r="BR6" s="167"/>
      <c r="BS6" s="167"/>
      <c r="BT6" s="167">
        <f t="shared" si="24"/>
        <v>3</v>
      </c>
      <c r="BU6" s="167"/>
      <c r="BV6" s="167"/>
      <c r="BW6" s="167"/>
      <c r="BX6" s="167"/>
      <c r="BY6" s="167"/>
      <c r="BZ6" s="167"/>
      <c r="CA6" s="167"/>
    </row>
    <row r="7" spans="1:81">
      <c r="A7" s="313" t="s">
        <v>47</v>
      </c>
      <c r="B7" s="168" t="s">
        <v>244</v>
      </c>
      <c r="C7" s="145" t="s">
        <v>245</v>
      </c>
      <c r="D7" s="145" t="s">
        <v>235</v>
      </c>
      <c r="E7" s="145"/>
      <c r="F7" s="145"/>
      <c r="G7" s="145" t="s">
        <v>169</v>
      </c>
      <c r="H7" s="146" t="s">
        <v>170</v>
      </c>
      <c r="I7" s="145" t="s">
        <v>132</v>
      </c>
      <c r="J7" s="145" t="s">
        <v>133</v>
      </c>
      <c r="K7" s="147" t="str">
        <f t="shared" si="0"/>
        <v>No of Racks</v>
      </c>
      <c r="L7" s="145">
        <v>1</v>
      </c>
      <c r="M7" s="145">
        <v>1</v>
      </c>
      <c r="N7" s="148">
        <f t="shared" si="1"/>
        <v>0</v>
      </c>
      <c r="O7" s="145">
        <v>1</v>
      </c>
      <c r="P7" s="145"/>
      <c r="Q7" s="149">
        <f>270000/12</f>
        <v>22500</v>
      </c>
      <c r="R7" s="150" t="str">
        <f t="shared" si="2"/>
        <v>Subscribed</v>
      </c>
      <c r="S7" s="145" t="s">
        <v>123</v>
      </c>
      <c r="T7" s="146">
        <v>3</v>
      </c>
      <c r="U7" s="327">
        <f>Z7</f>
        <v>2.9718303571428568</v>
      </c>
      <c r="V7" s="232">
        <f t="shared" si="3"/>
        <v>2.8169642857143185E-2</v>
      </c>
      <c r="W7" s="146"/>
      <c r="X7" s="146">
        <f>IF(V7&lt;=0,0,(IF(R7="Rated",(V7+W7)*#REF!,(V7+W7))))</f>
        <v>2.8169642857143185E-2</v>
      </c>
      <c r="Y7" s="146">
        <f>IF(R7="Rated",T7*#REF!,T7)</f>
        <v>3</v>
      </c>
      <c r="Z7" s="231">
        <f>AG7/28/24</f>
        <v>2.9718303571428568</v>
      </c>
      <c r="AA7" s="146">
        <f t="shared" si="4"/>
        <v>0</v>
      </c>
      <c r="AB7" s="152">
        <f>100000/12</f>
        <v>8333.3333333333339</v>
      </c>
      <c r="AC7" s="153" t="str">
        <f t="shared" si="5"/>
        <v>Metered</v>
      </c>
      <c r="AD7" s="146">
        <v>1</v>
      </c>
      <c r="AE7" s="146" t="s">
        <v>171</v>
      </c>
      <c r="AF7" s="154">
        <v>17</v>
      </c>
      <c r="AG7" s="146">
        <v>1997.07</v>
      </c>
      <c r="AH7" s="155"/>
      <c r="AI7" s="156" t="str">
        <f t="shared" si="6"/>
        <v/>
      </c>
      <c r="AJ7" s="146"/>
      <c r="AK7" s="146"/>
      <c r="AL7" s="146">
        <f t="shared" si="7"/>
        <v>0</v>
      </c>
      <c r="AM7" s="146"/>
      <c r="AN7" s="146"/>
      <c r="AO7" s="149"/>
      <c r="AP7" s="157">
        <f t="shared" si="8"/>
        <v>22500</v>
      </c>
      <c r="AQ7" s="157">
        <f t="shared" si="9"/>
        <v>0</v>
      </c>
      <c r="AR7" s="158">
        <f t="shared" si="10"/>
        <v>33950.19</v>
      </c>
      <c r="AS7" s="157">
        <f t="shared" si="11"/>
        <v>0</v>
      </c>
      <c r="AT7" s="159">
        <f>107880/12</f>
        <v>8990</v>
      </c>
      <c r="AU7" s="160">
        <f t="shared" si="12"/>
        <v>65440.19</v>
      </c>
      <c r="AV7" s="160"/>
      <c r="AW7" s="234" t="s">
        <v>164</v>
      </c>
      <c r="AX7" s="235"/>
      <c r="AY7" s="236"/>
      <c r="AZ7" s="235"/>
      <c r="BA7" s="337"/>
      <c r="BC7" s="165">
        <f t="shared" si="13"/>
        <v>65440.19</v>
      </c>
      <c r="BD7" s="165">
        <f t="shared" si="14"/>
        <v>21813.396666666667</v>
      </c>
      <c r="BE7" s="165" t="e">
        <f t="shared" si="15"/>
        <v>#REF!</v>
      </c>
      <c r="BF7" s="165" t="e">
        <f t="shared" si="16"/>
        <v>#REF!</v>
      </c>
      <c r="BG7" s="165" t="e">
        <f t="shared" si="17"/>
        <v>#REF!</v>
      </c>
      <c r="BH7" s="165"/>
      <c r="BI7" s="166">
        <f t="shared" si="18"/>
        <v>56450.19</v>
      </c>
      <c r="BJ7" s="166">
        <f t="shared" si="19"/>
        <v>22500</v>
      </c>
      <c r="BK7" s="166">
        <f>IF(H7="Bundled",MIN(Y7*#REF!*(1+#REF!),BI7),AR7)</f>
        <v>33950.19</v>
      </c>
      <c r="BL7" s="167" t="e">
        <f>IF($AG7&gt;0,$AG7*#REF!*#REF!*(1+#REF!*(20/#REF!)/732),#REF!*Z7)</f>
        <v>#REF!</v>
      </c>
      <c r="BM7" s="167" t="e">
        <f>IF($AG7&gt;0,$AG7*#REF!*#REF!*(1+#REF!*(20/#REF!)/732),+#REF!*(Z7+X7))</f>
        <v>#REF!</v>
      </c>
      <c r="BN7" s="167" t="e">
        <f>IF(H7="Bundled",#REF!*Y7,#REF!*Y7*0.85)</f>
        <v>#REF!</v>
      </c>
      <c r="BO7" s="167" t="e">
        <f t="shared" si="20"/>
        <v>#REF!</v>
      </c>
      <c r="BP7" s="167" t="e">
        <f>+#REF!*Y7</f>
        <v>#REF!</v>
      </c>
      <c r="BQ7" s="167" t="e">
        <f t="shared" si="21"/>
        <v>#REF!</v>
      </c>
      <c r="BR7" s="167" t="e">
        <f t="shared" si="22"/>
        <v>#REF!</v>
      </c>
      <c r="BS7" s="167" t="e">
        <f t="shared" si="23"/>
        <v>#REF!</v>
      </c>
      <c r="BT7" s="167">
        <f t="shared" si="24"/>
        <v>3</v>
      </c>
      <c r="BU7" s="167" t="e">
        <f t="shared" si="25"/>
        <v>#REF!</v>
      </c>
      <c r="BV7" s="167" t="e">
        <f t="shared" si="26"/>
        <v>#REF!</v>
      </c>
      <c r="BW7" s="167" t="e">
        <f>IF(H7="Bundled",+(BG7-#REF!)*Y7,(AP7+AQ7)-Y7*#REF!)</f>
        <v>#REF!</v>
      </c>
      <c r="BX7" s="167" t="e">
        <f t="shared" si="27"/>
        <v>#REF!</v>
      </c>
      <c r="BY7" s="167" t="e">
        <f t="shared" si="28"/>
        <v>#REF!</v>
      </c>
      <c r="BZ7" s="167" t="e">
        <f t="shared" si="29"/>
        <v>#REF!</v>
      </c>
      <c r="CA7" s="167" t="e">
        <f t="shared" si="30"/>
        <v>#REF!</v>
      </c>
    </row>
    <row r="8" spans="1:81">
      <c r="A8" s="313" t="s">
        <v>47</v>
      </c>
      <c r="B8" s="168" t="s">
        <v>246</v>
      </c>
      <c r="C8" s="317" t="s">
        <v>247</v>
      </c>
      <c r="D8" s="317" t="s">
        <v>239</v>
      </c>
      <c r="E8" s="317"/>
      <c r="F8" s="317"/>
      <c r="G8" s="145" t="s">
        <v>169</v>
      </c>
      <c r="H8" s="146" t="s">
        <v>170</v>
      </c>
      <c r="I8" s="145" t="s">
        <v>132</v>
      </c>
      <c r="J8" s="145" t="s">
        <v>133</v>
      </c>
      <c r="K8" s="147" t="str">
        <f t="shared" si="0"/>
        <v>No of Racks</v>
      </c>
      <c r="L8" s="145">
        <v>1</v>
      </c>
      <c r="M8" s="145">
        <v>1</v>
      </c>
      <c r="N8" s="148">
        <f t="shared" si="1"/>
        <v>0</v>
      </c>
      <c r="O8" s="145">
        <v>1</v>
      </c>
      <c r="P8" s="145"/>
      <c r="Q8" s="149">
        <f>(264600)/12</f>
        <v>22050</v>
      </c>
      <c r="R8" s="150" t="str">
        <f t="shared" si="2"/>
        <v>Subscribed</v>
      </c>
      <c r="S8" s="145" t="s">
        <v>123</v>
      </c>
      <c r="T8" s="146">
        <v>3</v>
      </c>
      <c r="U8" s="327">
        <f>Z8</f>
        <v>2.8116220238095235</v>
      </c>
      <c r="V8" s="232">
        <f t="shared" si="3"/>
        <v>0.18837797619047647</v>
      </c>
      <c r="W8" s="146"/>
      <c r="X8" s="146">
        <f>IF(V8&lt;=0,0,(IF(R8="Rated",(V8+W8)*#REF!,(V8+W8))))</f>
        <v>0.18837797619047647</v>
      </c>
      <c r="Y8" s="146">
        <f>IF(R8="Rated",T8*#REF!,T8)</f>
        <v>3</v>
      </c>
      <c r="Z8" s="231">
        <f>AG8/28/24</f>
        <v>2.8116220238095235</v>
      </c>
      <c r="AA8" s="146">
        <f t="shared" si="4"/>
        <v>0</v>
      </c>
      <c r="AB8" s="152">
        <f>80000/12</f>
        <v>6666.666666666667</v>
      </c>
      <c r="AC8" s="153" t="str">
        <f t="shared" si="5"/>
        <v>Metered</v>
      </c>
      <c r="AD8" s="146">
        <v>1</v>
      </c>
      <c r="AE8" s="146" t="s">
        <v>171</v>
      </c>
      <c r="AF8" s="154">
        <v>17</v>
      </c>
      <c r="AG8" s="146">
        <v>1889.41</v>
      </c>
      <c r="AH8" s="155"/>
      <c r="AI8" s="156" t="str">
        <f t="shared" si="6"/>
        <v/>
      </c>
      <c r="AJ8" s="146"/>
      <c r="AK8" s="146"/>
      <c r="AL8" s="146">
        <f t="shared" si="7"/>
        <v>0</v>
      </c>
      <c r="AM8" s="146"/>
      <c r="AN8" s="146"/>
      <c r="AO8" s="149"/>
      <c r="AP8" s="157">
        <f t="shared" si="8"/>
        <v>22050</v>
      </c>
      <c r="AQ8" s="157">
        <f t="shared" si="9"/>
        <v>0</v>
      </c>
      <c r="AR8" s="158">
        <f t="shared" si="10"/>
        <v>32119.97</v>
      </c>
      <c r="AS8" s="157">
        <f t="shared" si="11"/>
        <v>0</v>
      </c>
      <c r="AT8" s="159">
        <f>(220500+11025)/12</f>
        <v>19293.75</v>
      </c>
      <c r="AU8" s="160">
        <f t="shared" si="12"/>
        <v>73463.72</v>
      </c>
      <c r="AV8" s="160"/>
      <c r="AW8" s="234" t="s">
        <v>164</v>
      </c>
      <c r="AX8" s="235"/>
      <c r="AY8" s="236"/>
      <c r="AZ8" s="235"/>
      <c r="BA8" s="337"/>
      <c r="BC8" s="165">
        <f t="shared" si="13"/>
        <v>73463.72</v>
      </c>
      <c r="BD8" s="165">
        <f t="shared" si="14"/>
        <v>24487.906666666666</v>
      </c>
      <c r="BE8" s="165" t="e">
        <f t="shared" si="15"/>
        <v>#REF!</v>
      </c>
      <c r="BF8" s="165" t="e">
        <f t="shared" si="16"/>
        <v>#REF!</v>
      </c>
      <c r="BG8" s="165" t="e">
        <f t="shared" si="17"/>
        <v>#REF!</v>
      </c>
      <c r="BH8" s="165"/>
      <c r="BI8" s="166">
        <f t="shared" si="18"/>
        <v>54169.97</v>
      </c>
      <c r="BJ8" s="166">
        <f t="shared" si="19"/>
        <v>22050</v>
      </c>
      <c r="BK8" s="166">
        <f>IF(H8="Bundled",MIN(Y8*#REF!*(1+#REF!),BI8),AR8)</f>
        <v>32119.97</v>
      </c>
      <c r="BL8" s="167" t="e">
        <f>IF($AG8&gt;0,$AG8*#REF!*#REF!*(1+#REF!*(20/#REF!)/732),#REF!*Z8)</f>
        <v>#REF!</v>
      </c>
      <c r="BM8" s="167" t="e">
        <f>IF($AG8&gt;0,$AG8*#REF!*#REF!*(1+#REF!*(20/#REF!)/732),+#REF!*(Z8+X8))</f>
        <v>#REF!</v>
      </c>
      <c r="BN8" s="167" t="e">
        <f>IF(H8="Bundled",#REF!*Y8,#REF!*Y8*0.85)</f>
        <v>#REF!</v>
      </c>
      <c r="BO8" s="167" t="e">
        <f t="shared" si="20"/>
        <v>#REF!</v>
      </c>
      <c r="BP8" s="167" t="e">
        <f>+#REF!*Y8</f>
        <v>#REF!</v>
      </c>
      <c r="BQ8" s="167" t="e">
        <f t="shared" si="21"/>
        <v>#REF!</v>
      </c>
      <c r="BR8" s="167" t="e">
        <f t="shared" si="22"/>
        <v>#REF!</v>
      </c>
      <c r="BS8" s="167" t="e">
        <f t="shared" si="23"/>
        <v>#REF!</v>
      </c>
      <c r="BT8" s="167">
        <f t="shared" si="24"/>
        <v>3</v>
      </c>
      <c r="BU8" s="167" t="e">
        <f t="shared" si="25"/>
        <v>#REF!</v>
      </c>
      <c r="BV8" s="167" t="e">
        <f t="shared" si="26"/>
        <v>#REF!</v>
      </c>
      <c r="BW8" s="167" t="e">
        <f>IF(H8="Bundled",+(BG8-#REF!)*Y8,(AP8+AQ8)-Y8*#REF!)</f>
        <v>#REF!</v>
      </c>
      <c r="BX8" s="167" t="e">
        <f t="shared" si="27"/>
        <v>#REF!</v>
      </c>
      <c r="BY8" s="167" t="e">
        <f t="shared" si="28"/>
        <v>#REF!</v>
      </c>
      <c r="BZ8" s="167" t="e">
        <f t="shared" si="29"/>
        <v>#REF!</v>
      </c>
      <c r="CA8" s="167" t="e">
        <f t="shared" si="30"/>
        <v>#REF!</v>
      </c>
      <c r="CB8" s="5" t="s">
        <v>248</v>
      </c>
    </row>
    <row r="9" spans="1:81" ht="26.1">
      <c r="A9" s="313" t="s">
        <v>47</v>
      </c>
      <c r="B9" s="168" t="s">
        <v>249</v>
      </c>
      <c r="C9" s="144" t="s">
        <v>250</v>
      </c>
      <c r="D9" s="144" t="s">
        <v>251</v>
      </c>
      <c r="E9" s="146"/>
      <c r="F9" s="146"/>
      <c r="G9" s="145" t="s">
        <v>130</v>
      </c>
      <c r="H9" s="146" t="s">
        <v>131</v>
      </c>
      <c r="I9" s="145" t="s">
        <v>59</v>
      </c>
      <c r="J9" s="145" t="s">
        <v>185</v>
      </c>
      <c r="K9" s="147" t="s">
        <v>252</v>
      </c>
      <c r="L9" s="145">
        <v>224</v>
      </c>
      <c r="M9" s="145">
        <v>224</v>
      </c>
      <c r="N9" s="148">
        <v>0</v>
      </c>
      <c r="O9" s="145">
        <v>3</v>
      </c>
      <c r="P9" s="148"/>
      <c r="Q9" s="314">
        <f>(595000)/12</f>
        <v>49583.333333333336</v>
      </c>
      <c r="R9" s="150" t="str">
        <f t="shared" si="2"/>
        <v>Rated</v>
      </c>
      <c r="S9" s="145" t="s">
        <v>134</v>
      </c>
      <c r="T9" s="341">
        <v>15.39</v>
      </c>
      <c r="U9" s="151">
        <v>15.73</v>
      </c>
      <c r="V9" s="232">
        <f t="shared" si="3"/>
        <v>-0.33999999999999986</v>
      </c>
      <c r="W9" s="146"/>
      <c r="X9" s="146">
        <f>IF(V9&lt;=0,0,(IF(R9="Rated",(V9+W9)*#REF!,(V9+W9))))</f>
        <v>0</v>
      </c>
      <c r="Y9" s="146" t="e">
        <f>IF(R9="Rated",T9*#REF!,T9)</f>
        <v>#REF!</v>
      </c>
      <c r="Z9" s="231">
        <v>3.48</v>
      </c>
      <c r="AA9" s="146">
        <f t="shared" si="4"/>
        <v>0.33999999999999986</v>
      </c>
      <c r="AB9" s="152">
        <f>109945/12</f>
        <v>9162.0833333333339</v>
      </c>
      <c r="AC9" s="153" t="str">
        <f t="shared" si="5"/>
        <v>Bundled</v>
      </c>
      <c r="AD9" s="146"/>
      <c r="AE9" s="146"/>
      <c r="AF9" s="154"/>
      <c r="AG9" s="146"/>
      <c r="AH9" s="155" t="s">
        <v>141</v>
      </c>
      <c r="AI9" s="156" t="str">
        <f t="shared" si="6"/>
        <v>No of Seats</v>
      </c>
      <c r="AJ9" s="146">
        <v>1</v>
      </c>
      <c r="AK9" s="146">
        <v>1</v>
      </c>
      <c r="AL9" s="146">
        <f t="shared" si="7"/>
        <v>0</v>
      </c>
      <c r="AM9" s="146">
        <v>1</v>
      </c>
      <c r="AN9" s="146"/>
      <c r="AO9" s="149">
        <f>102000/12</f>
        <v>8500</v>
      </c>
      <c r="AP9" s="157">
        <f t="shared" si="8"/>
        <v>148750</v>
      </c>
      <c r="AQ9" s="157">
        <f t="shared" si="9"/>
        <v>3115.1083333333322</v>
      </c>
      <c r="AR9" s="158">
        <f t="shared" si="10"/>
        <v>0</v>
      </c>
      <c r="AS9" s="157">
        <f t="shared" si="11"/>
        <v>8500</v>
      </c>
      <c r="AT9" s="159">
        <f>(300000+37000+42000)/12</f>
        <v>31583.333333333332</v>
      </c>
      <c r="AU9" s="160">
        <f t="shared" si="12"/>
        <v>191948.44166666668</v>
      </c>
      <c r="AV9" s="160"/>
      <c r="AW9" s="315" t="s">
        <v>164</v>
      </c>
      <c r="AX9" s="235"/>
      <c r="AY9" s="236"/>
      <c r="AZ9" s="235"/>
      <c r="BA9" s="316"/>
      <c r="BC9" s="165">
        <f t="shared" si="13"/>
        <v>25707.380580357141</v>
      </c>
      <c r="BD9" s="165" t="e">
        <f t="shared" si="14"/>
        <v>#REF!</v>
      </c>
      <c r="BE9" s="165" t="e">
        <f t="shared" si="15"/>
        <v>#REF!</v>
      </c>
      <c r="BF9" s="165" t="e">
        <f t="shared" si="16"/>
        <v>#REF!</v>
      </c>
      <c r="BG9" s="165" t="e">
        <f t="shared" si="17"/>
        <v>#REF!</v>
      </c>
      <c r="BH9" s="165"/>
      <c r="BI9" s="166">
        <f t="shared" si="18"/>
        <v>151865.10833333334</v>
      </c>
      <c r="BJ9" s="166" t="e">
        <f t="shared" si="19"/>
        <v>#REF!</v>
      </c>
      <c r="BK9" s="166" t="e">
        <f>IF(H9="Bundled",MIN(Y9*#REF!*(1+#REF!),BI9),AR9)</f>
        <v>#REF!</v>
      </c>
      <c r="BL9" s="167" t="e">
        <f>IF($AG9&gt;0,$AG9*#REF!*#REF!*(1+#REF!*(20/#REF!)/732),#REF!*Z9)</f>
        <v>#REF!</v>
      </c>
      <c r="BM9" s="167" t="e">
        <f>IF($AG9&gt;0,$AG9*#REF!*#REF!*(1+#REF!*(20/#REF!)/732),+#REF!*(Z9+X9))</f>
        <v>#REF!</v>
      </c>
      <c r="BN9" s="167" t="e">
        <f>IF(H9="Bundled",#REF!*Y9,#REF!*Y9*0.85)</f>
        <v>#REF!</v>
      </c>
      <c r="BO9" s="167" t="e">
        <f t="shared" si="20"/>
        <v>#REF!</v>
      </c>
      <c r="BP9" s="167" t="e">
        <f>+#REF!*Y9</f>
        <v>#REF!</v>
      </c>
      <c r="BQ9" s="167" t="e">
        <f t="shared" si="21"/>
        <v>#REF!</v>
      </c>
      <c r="BR9" s="167" t="e">
        <f t="shared" si="22"/>
        <v>#REF!</v>
      </c>
      <c r="BS9" s="167" t="e">
        <f t="shared" si="23"/>
        <v>#REF!</v>
      </c>
      <c r="BT9" s="167" t="e">
        <f t="shared" si="24"/>
        <v>#REF!</v>
      </c>
      <c r="BU9" s="167" t="e">
        <f t="shared" si="25"/>
        <v>#REF!</v>
      </c>
      <c r="BV9" s="167" t="e">
        <f t="shared" si="26"/>
        <v>#REF!</v>
      </c>
      <c r="BW9" s="167" t="e">
        <f>IF(H9="Bundled",+(BG9-#REF!)*Y9,(AP9+AQ9)-Y9*#REF!)</f>
        <v>#REF!</v>
      </c>
      <c r="BX9" s="167" t="e">
        <f t="shared" si="27"/>
        <v>#REF!</v>
      </c>
      <c r="BY9" s="167" t="e">
        <f t="shared" si="28"/>
        <v>#REF!</v>
      </c>
      <c r="BZ9" s="167" t="e">
        <f t="shared" si="29"/>
        <v>#REF!</v>
      </c>
      <c r="CA9" s="167" t="e">
        <f t="shared" si="30"/>
        <v>#REF!</v>
      </c>
      <c r="CB9" s="5" t="s">
        <v>253</v>
      </c>
    </row>
    <row r="10" spans="1:81">
      <c r="A10" s="313" t="s">
        <v>47</v>
      </c>
      <c r="B10" s="168" t="s">
        <v>254</v>
      </c>
      <c r="C10" s="144" t="s">
        <v>216</v>
      </c>
      <c r="D10" s="144" t="s">
        <v>239</v>
      </c>
      <c r="E10" s="144"/>
      <c r="F10" s="144"/>
      <c r="G10" s="145" t="s">
        <v>130</v>
      </c>
      <c r="H10" s="146" t="s">
        <v>131</v>
      </c>
      <c r="I10" s="145" t="s">
        <v>132</v>
      </c>
      <c r="J10" s="145" t="s">
        <v>133</v>
      </c>
      <c r="K10" s="147" t="str">
        <f>IF(I10="Rack","No of Racks",(IF(I10="Space","Sq Ft","U Space")))</f>
        <v>No of Racks</v>
      </c>
      <c r="L10" s="145">
        <v>2</v>
      </c>
      <c r="M10" s="145">
        <v>2</v>
      </c>
      <c r="N10" s="148">
        <f>L10-M10</f>
        <v>0</v>
      </c>
      <c r="O10" s="145">
        <v>2</v>
      </c>
      <c r="P10" s="154"/>
      <c r="Q10" s="314">
        <f>((860000+550000+200000)/3)/12</f>
        <v>44722.222222222219</v>
      </c>
      <c r="R10" s="150" t="str">
        <f t="shared" si="2"/>
        <v>Rated</v>
      </c>
      <c r="S10" s="145" t="s">
        <v>134</v>
      </c>
      <c r="T10" s="146">
        <v>9</v>
      </c>
      <c r="U10" s="151">
        <v>12.72</v>
      </c>
      <c r="V10" s="232">
        <f t="shared" si="3"/>
        <v>-3.7200000000000006</v>
      </c>
      <c r="W10" s="146"/>
      <c r="X10" s="146">
        <f>IF(V10&lt;=0,0,(IF(R10="Rated",(V10+W10)*#REF!,(V10+W10))))</f>
        <v>0</v>
      </c>
      <c r="Y10" s="146" t="e">
        <f>IF(R10="Rated",T10*#REF!,T10)</f>
        <v>#REF!</v>
      </c>
      <c r="Z10" s="231">
        <v>1.74</v>
      </c>
      <c r="AA10" s="146">
        <f t="shared" si="4"/>
        <v>3.7200000000000006</v>
      </c>
      <c r="AB10" s="152">
        <f>90000/12</f>
        <v>7500</v>
      </c>
      <c r="AC10" s="153" t="str">
        <f t="shared" si="5"/>
        <v>Bundled</v>
      </c>
      <c r="AD10" s="146"/>
      <c r="AE10" s="146"/>
      <c r="AF10" s="154"/>
      <c r="AG10" s="146"/>
      <c r="AH10" s="155"/>
      <c r="AI10" s="156" t="str">
        <f t="shared" si="6"/>
        <v/>
      </c>
      <c r="AJ10" s="146"/>
      <c r="AK10" s="146"/>
      <c r="AL10" s="146">
        <f t="shared" si="7"/>
        <v>0</v>
      </c>
      <c r="AM10" s="146"/>
      <c r="AN10" s="146"/>
      <c r="AO10" s="149"/>
      <c r="AP10" s="157">
        <f t="shared" si="8"/>
        <v>89444.444444444438</v>
      </c>
      <c r="AQ10" s="157">
        <f t="shared" si="9"/>
        <v>27900.000000000004</v>
      </c>
      <c r="AR10" s="158">
        <f t="shared" si="10"/>
        <v>0</v>
      </c>
      <c r="AS10" s="157">
        <f t="shared" si="11"/>
        <v>0</v>
      </c>
      <c r="AT10" s="159">
        <f>(20000+200000+50000+5000)/12</f>
        <v>22916.666666666668</v>
      </c>
      <c r="AU10" s="160">
        <f t="shared" si="12"/>
        <v>140261.11111111109</v>
      </c>
      <c r="AV10" s="160"/>
      <c r="AW10" s="234" t="s">
        <v>164</v>
      </c>
      <c r="AX10" s="235"/>
      <c r="AY10" s="236"/>
      <c r="AZ10" s="235"/>
      <c r="BA10" s="337"/>
      <c r="BC10" s="165">
        <f t="shared" si="13"/>
        <v>70130.555555555547</v>
      </c>
      <c r="BD10" s="165" t="e">
        <f t="shared" si="14"/>
        <v>#REF!</v>
      </c>
      <c r="BE10" s="165" t="e">
        <f t="shared" si="15"/>
        <v>#REF!</v>
      </c>
      <c r="BF10" s="165" t="e">
        <f t="shared" si="16"/>
        <v>#REF!</v>
      </c>
      <c r="BG10" s="165" t="e">
        <f t="shared" si="17"/>
        <v>#REF!</v>
      </c>
      <c r="BH10" s="165"/>
      <c r="BI10" s="166">
        <f t="shared" si="18"/>
        <v>117344.44444444444</v>
      </c>
      <c r="BJ10" s="166" t="e">
        <f t="shared" si="19"/>
        <v>#REF!</v>
      </c>
      <c r="BK10" s="166" t="e">
        <f>IF(H10="Bundled",MIN(Y10*#REF!*(1+#REF!),BI10),AR10)</f>
        <v>#REF!</v>
      </c>
      <c r="BL10" s="167" t="e">
        <f>IF($AG10&gt;0,$AG10*#REF!*#REF!*(1+#REF!*(20/#REF!)/732),#REF!*Z10)</f>
        <v>#REF!</v>
      </c>
      <c r="BM10" s="167" t="e">
        <f>IF($AG10&gt;0,$AG10*#REF!*#REF!*(1+#REF!*(20/#REF!)/732),+#REF!*(Z10+X10))</f>
        <v>#REF!</v>
      </c>
      <c r="BN10" s="167" t="e">
        <f>IF(H10="Bundled",#REF!*Y10,#REF!*Y10*0.85)</f>
        <v>#REF!</v>
      </c>
      <c r="BO10" s="167" t="e">
        <f t="shared" si="20"/>
        <v>#REF!</v>
      </c>
      <c r="BP10" s="167" t="e">
        <f>+#REF!*Y10</f>
        <v>#REF!</v>
      </c>
      <c r="BQ10" s="167" t="e">
        <f t="shared" si="21"/>
        <v>#REF!</v>
      </c>
      <c r="BR10" s="167" t="e">
        <f t="shared" si="22"/>
        <v>#REF!</v>
      </c>
      <c r="BS10" s="167" t="e">
        <f t="shared" si="23"/>
        <v>#REF!</v>
      </c>
      <c r="BT10" s="167" t="e">
        <f t="shared" si="24"/>
        <v>#REF!</v>
      </c>
      <c r="BU10" s="167" t="e">
        <f t="shared" si="25"/>
        <v>#REF!</v>
      </c>
      <c r="BV10" s="167" t="e">
        <f t="shared" si="26"/>
        <v>#REF!</v>
      </c>
      <c r="BW10" s="167" t="e">
        <f>IF(H10="Bundled",+(BG10-#REF!)*Y10,(AP10+AQ10)-Y10*#REF!)</f>
        <v>#REF!</v>
      </c>
      <c r="BX10" s="167" t="e">
        <f t="shared" si="27"/>
        <v>#REF!</v>
      </c>
      <c r="BY10" s="167" t="e">
        <f t="shared" si="28"/>
        <v>#REF!</v>
      </c>
      <c r="BZ10" s="167" t="e">
        <f t="shared" si="29"/>
        <v>#REF!</v>
      </c>
      <c r="CA10" s="167" t="e">
        <f t="shared" si="30"/>
        <v>#REF!</v>
      </c>
    </row>
    <row r="11" spans="1:81">
      <c r="A11" s="342" t="s">
        <v>47</v>
      </c>
      <c r="B11" s="343" t="s">
        <v>255</v>
      </c>
      <c r="C11" s="344" t="s">
        <v>256</v>
      </c>
      <c r="D11" s="344" t="s">
        <v>235</v>
      </c>
      <c r="E11" s="144"/>
      <c r="F11" s="144"/>
      <c r="G11" s="145" t="s">
        <v>169</v>
      </c>
      <c r="H11" s="146" t="s">
        <v>131</v>
      </c>
      <c r="I11" s="145" t="s">
        <v>132</v>
      </c>
      <c r="J11" s="145" t="s">
        <v>133</v>
      </c>
      <c r="K11" s="147" t="str">
        <f>IF(I11="Rack","No of Racks",(IF(I11="Space","Sq Ft","U Space")))</f>
        <v>No of Racks</v>
      </c>
      <c r="L11" s="145">
        <v>1</v>
      </c>
      <c r="M11" s="145">
        <v>1</v>
      </c>
      <c r="N11" s="148">
        <f>L11-M11</f>
        <v>0</v>
      </c>
      <c r="O11" s="145">
        <v>1</v>
      </c>
      <c r="P11" s="154"/>
      <c r="Q11" s="314">
        <f>((860000+550000+200000)/3)/12</f>
        <v>44722.222222222219</v>
      </c>
      <c r="R11" s="150"/>
      <c r="S11" s="145" t="s">
        <v>134</v>
      </c>
      <c r="T11" s="146">
        <v>4</v>
      </c>
      <c r="U11" s="327">
        <f t="shared" ref="U11:U16" si="33">Z11</f>
        <v>0.71726190476190477</v>
      </c>
      <c r="V11" s="232">
        <f t="shared" si="3"/>
        <v>3.2827380952380953</v>
      </c>
      <c r="W11" s="146"/>
      <c r="X11" s="146">
        <f>IF(V11&lt;=0,0,(IF(R11="Rated",(V11+W11)*#REF!,(V11+W11))))</f>
        <v>3.2827380952380953</v>
      </c>
      <c r="Y11" s="146">
        <f>IF(R11="Rated",T11*#REF!,T11)</f>
        <v>4</v>
      </c>
      <c r="Z11" s="231">
        <f>AG11/28/24</f>
        <v>0.71726190476190477</v>
      </c>
      <c r="AA11" s="146">
        <f t="shared" si="4"/>
        <v>0</v>
      </c>
      <c r="AB11" s="152">
        <f>90000/12</f>
        <v>7500</v>
      </c>
      <c r="AC11" s="153" t="str">
        <f t="shared" si="5"/>
        <v>Bundled</v>
      </c>
      <c r="AD11" s="146"/>
      <c r="AE11" s="146"/>
      <c r="AF11" s="154"/>
      <c r="AG11" s="146">
        <v>482</v>
      </c>
      <c r="AH11" s="155"/>
      <c r="AI11" s="156" t="str">
        <f t="shared" si="6"/>
        <v/>
      </c>
      <c r="AJ11" s="146"/>
      <c r="AK11" s="146"/>
      <c r="AL11" s="146">
        <f t="shared" si="7"/>
        <v>0</v>
      </c>
      <c r="AM11" s="146"/>
      <c r="AN11" s="146"/>
      <c r="AO11" s="149"/>
      <c r="AP11" s="157">
        <f t="shared" si="8"/>
        <v>44722.222222222219</v>
      </c>
      <c r="AQ11" s="157">
        <f t="shared" si="9"/>
        <v>0</v>
      </c>
      <c r="AR11" s="158">
        <f t="shared" si="10"/>
        <v>0</v>
      </c>
      <c r="AS11" s="157">
        <f t="shared" si="11"/>
        <v>0</v>
      </c>
      <c r="AT11" s="159">
        <f>(20000+200000+50000+5000)/12</f>
        <v>22916.666666666668</v>
      </c>
      <c r="AU11" s="160">
        <f t="shared" si="12"/>
        <v>67638.888888888891</v>
      </c>
      <c r="AV11" s="160"/>
      <c r="AW11" s="234" t="s">
        <v>164</v>
      </c>
      <c r="AX11" s="235"/>
      <c r="AY11" s="236"/>
      <c r="AZ11" s="235"/>
      <c r="BA11" s="337"/>
      <c r="BC11" s="165">
        <f t="shared" si="13"/>
        <v>67638.888888888891</v>
      </c>
      <c r="BD11" s="165">
        <f t="shared" si="14"/>
        <v>16909.722222222223</v>
      </c>
      <c r="BE11" s="165" t="e">
        <f t="shared" si="15"/>
        <v>#REF!</v>
      </c>
      <c r="BF11" s="165" t="e">
        <f t="shared" si="16"/>
        <v>#REF!</v>
      </c>
      <c r="BG11" s="165" t="e">
        <f t="shared" si="17"/>
        <v>#REF!</v>
      </c>
      <c r="BH11" s="165"/>
      <c r="BI11" s="166">
        <f t="shared" si="18"/>
        <v>44722.222222222219</v>
      </c>
      <c r="BJ11" s="166" t="e">
        <f t="shared" si="19"/>
        <v>#REF!</v>
      </c>
      <c r="BK11" s="166" t="e">
        <f>IF(H11="Bundled",MIN(Y11*#REF!*(1+#REF!),BI11),AR11)</f>
        <v>#REF!</v>
      </c>
      <c r="BL11" s="167" t="e">
        <f>IF($AG11&gt;0,$AG11*#REF!*#REF!*(1+#REF!*(20/#REF!)/732),#REF!*Z11)</f>
        <v>#REF!</v>
      </c>
      <c r="BM11" s="167" t="e">
        <f>IF($AG11&gt;0,$AG11*#REF!*#REF!*(1+#REF!*(20/#REF!)/732),+#REF!*(Z11+X11))</f>
        <v>#REF!</v>
      </c>
      <c r="BN11" s="167" t="e">
        <f>IF(H11="Bundled",#REF!*Y11,#REF!*Y11*0.85)</f>
        <v>#REF!</v>
      </c>
      <c r="BO11" s="167" t="e">
        <f t="shared" si="20"/>
        <v>#REF!</v>
      </c>
      <c r="BP11" s="167" t="e">
        <f>+#REF!*Y11</f>
        <v>#REF!</v>
      </c>
      <c r="BQ11" s="167" t="e">
        <f t="shared" si="21"/>
        <v>#REF!</v>
      </c>
      <c r="BR11" s="167" t="e">
        <f t="shared" si="22"/>
        <v>#REF!</v>
      </c>
      <c r="BS11" s="167" t="e">
        <f t="shared" si="23"/>
        <v>#REF!</v>
      </c>
      <c r="BT11" s="167">
        <f t="shared" si="24"/>
        <v>4</v>
      </c>
      <c r="BU11" s="167" t="e">
        <f t="shared" si="25"/>
        <v>#REF!</v>
      </c>
      <c r="BV11" s="167" t="e">
        <f t="shared" si="26"/>
        <v>#REF!</v>
      </c>
      <c r="BW11" s="167" t="e">
        <f>IF(H11="Bundled",+(BG11-#REF!)*Y11,(AP11+AQ11)-Y11*#REF!)</f>
        <v>#REF!</v>
      </c>
      <c r="BX11" s="167" t="e">
        <f t="shared" si="27"/>
        <v>#REF!</v>
      </c>
      <c r="BY11" s="167" t="e">
        <f t="shared" si="28"/>
        <v>#REF!</v>
      </c>
      <c r="BZ11" s="167" t="e">
        <f t="shared" si="29"/>
        <v>#REF!</v>
      </c>
      <c r="CA11" s="167" t="e">
        <f t="shared" si="30"/>
        <v>#REF!</v>
      </c>
    </row>
    <row r="12" spans="1:81" ht="26.1">
      <c r="A12" s="313" t="s">
        <v>47</v>
      </c>
      <c r="B12" s="168" t="s">
        <v>257</v>
      </c>
      <c r="C12" s="196" t="s">
        <v>258</v>
      </c>
      <c r="D12" s="196" t="s">
        <v>251</v>
      </c>
      <c r="E12" s="146">
        <v>1</v>
      </c>
      <c r="F12" s="146"/>
      <c r="G12" s="145" t="s">
        <v>169</v>
      </c>
      <c r="H12" s="146" t="s">
        <v>170</v>
      </c>
      <c r="I12" s="145" t="s">
        <v>132</v>
      </c>
      <c r="J12" s="145" t="s">
        <v>133</v>
      </c>
      <c r="K12" s="147" t="str">
        <f>IF(I12="Rack","No of Racks",(IF(I12="Space","Sq Ft","U Space")))</f>
        <v>No of Racks</v>
      </c>
      <c r="L12" s="145">
        <v>5</v>
      </c>
      <c r="M12" s="145">
        <v>5</v>
      </c>
      <c r="N12" s="148">
        <f>L12-M12</f>
        <v>0</v>
      </c>
      <c r="O12" s="145">
        <v>5</v>
      </c>
      <c r="P12" s="145"/>
      <c r="Q12" s="149">
        <f>297500/12</f>
        <v>24791.666666666668</v>
      </c>
      <c r="R12" s="150" t="str">
        <f t="shared" ref="R12:R21" si="34">G12</f>
        <v>Subscribed</v>
      </c>
      <c r="S12" s="145" t="s">
        <v>123</v>
      </c>
      <c r="T12" s="146">
        <v>17.5</v>
      </c>
      <c r="U12" s="327">
        <f t="shared" si="33"/>
        <v>16.045491071428572</v>
      </c>
      <c r="V12" s="232">
        <f t="shared" si="3"/>
        <v>1.4545089285714283</v>
      </c>
      <c r="W12" s="146"/>
      <c r="X12" s="146">
        <f>IF(V12&lt;=0,0,(IF(R12="Rated",(V12+W12)*#REF!,(V12+W12))))</f>
        <v>1.4545089285714283</v>
      </c>
      <c r="Y12" s="146">
        <f>IF(R12="Rated",T12*#REF!,T12)</f>
        <v>17.5</v>
      </c>
      <c r="Z12" s="231">
        <f t="shared" ref="Z12:Z16" si="35">AG12/28/24</f>
        <v>16.045491071428572</v>
      </c>
      <c r="AA12" s="146">
        <f t="shared" si="4"/>
        <v>0</v>
      </c>
      <c r="AB12" s="152">
        <f>85000/12</f>
        <v>7083.333333333333</v>
      </c>
      <c r="AC12" s="153" t="str">
        <f t="shared" si="5"/>
        <v>Metered</v>
      </c>
      <c r="AD12" s="146">
        <v>1</v>
      </c>
      <c r="AE12" s="146" t="s">
        <v>171</v>
      </c>
      <c r="AF12" s="154">
        <v>19.5</v>
      </c>
      <c r="AG12" s="146">
        <v>10782.57</v>
      </c>
      <c r="AH12" s="155" t="s">
        <v>141</v>
      </c>
      <c r="AI12" s="156" t="str">
        <f t="shared" si="6"/>
        <v>No of Seats</v>
      </c>
      <c r="AJ12" s="146">
        <v>1</v>
      </c>
      <c r="AK12" s="146">
        <v>1</v>
      </c>
      <c r="AL12" s="146">
        <f t="shared" si="7"/>
        <v>0</v>
      </c>
      <c r="AM12" s="146">
        <v>1</v>
      </c>
      <c r="AN12" s="146"/>
      <c r="AO12" s="149">
        <f>96307/12</f>
        <v>8025.583333333333</v>
      </c>
      <c r="AP12" s="157">
        <f t="shared" si="8"/>
        <v>123958.33333333334</v>
      </c>
      <c r="AQ12" s="157">
        <f t="shared" si="9"/>
        <v>0</v>
      </c>
      <c r="AR12" s="158">
        <f t="shared" si="10"/>
        <v>210260.11499999999</v>
      </c>
      <c r="AS12" s="157">
        <f t="shared" si="11"/>
        <v>8025.583333333333</v>
      </c>
      <c r="AT12" s="159">
        <f>(96307+74906)/12</f>
        <v>14267.75</v>
      </c>
      <c r="AU12" s="160">
        <f t="shared" si="12"/>
        <v>356511.78166666668</v>
      </c>
      <c r="AV12" s="160"/>
      <c r="AW12" s="234" t="s">
        <v>164</v>
      </c>
      <c r="AX12" s="235"/>
      <c r="AY12" s="236"/>
      <c r="AZ12" s="235"/>
      <c r="BA12" s="337"/>
      <c r="BC12" s="165">
        <f t="shared" si="13"/>
        <v>71302.35633333333</v>
      </c>
      <c r="BD12" s="165">
        <f t="shared" si="14"/>
        <v>20372.101809523811</v>
      </c>
      <c r="BE12" s="165" t="e">
        <f t="shared" si="15"/>
        <v>#REF!</v>
      </c>
      <c r="BF12" s="165" t="e">
        <f t="shared" si="16"/>
        <v>#REF!</v>
      </c>
      <c r="BG12" s="165" t="e">
        <f t="shared" si="17"/>
        <v>#REF!</v>
      </c>
      <c r="BH12" s="165"/>
      <c r="BI12" s="166">
        <f t="shared" si="18"/>
        <v>334218.44833333336</v>
      </c>
      <c r="BJ12" s="166">
        <f t="shared" si="19"/>
        <v>123958.33333333337</v>
      </c>
      <c r="BK12" s="166">
        <f>IF(H12="Bundled",MIN(Y12*#REF!*(1+#REF!),BI12),AR12)</f>
        <v>210260.11499999999</v>
      </c>
      <c r="BL12" s="167" t="e">
        <f>IF($AG12&gt;0,$AG12*#REF!*#REF!*(1+#REF!*(20/#REF!)/732),#REF!*Z12)</f>
        <v>#REF!</v>
      </c>
      <c r="BM12" s="167" t="e">
        <f>IF($AG12&gt;0,$AG12*#REF!*#REF!*(1+#REF!*(20/#REF!)/732),+#REF!*(Z12+X12))</f>
        <v>#REF!</v>
      </c>
      <c r="BN12" s="167" t="e">
        <f>IF(H12="Bundled",#REF!*Y12,#REF!*Y12*0.85)</f>
        <v>#REF!</v>
      </c>
      <c r="BO12" s="167" t="e">
        <f t="shared" si="20"/>
        <v>#REF!</v>
      </c>
      <c r="BP12" s="167" t="e">
        <f>+#REF!*Y12</f>
        <v>#REF!</v>
      </c>
      <c r="BQ12" s="167" t="e">
        <f t="shared" si="21"/>
        <v>#REF!</v>
      </c>
      <c r="BR12" s="167" t="e">
        <f t="shared" si="22"/>
        <v>#REF!</v>
      </c>
      <c r="BS12" s="167" t="e">
        <f t="shared" si="23"/>
        <v>#REF!</v>
      </c>
      <c r="BT12" s="167">
        <f t="shared" si="24"/>
        <v>17.5</v>
      </c>
      <c r="BU12" s="167" t="e">
        <f t="shared" si="25"/>
        <v>#REF!</v>
      </c>
      <c r="BV12" s="167" t="e">
        <f t="shared" si="26"/>
        <v>#REF!</v>
      </c>
      <c r="BW12" s="167" t="e">
        <f>IF(H12="Bundled",+(BG12-#REF!)*Y12,(AP12+AQ12)-Y12*#REF!)</f>
        <v>#REF!</v>
      </c>
      <c r="BX12" s="167" t="e">
        <f t="shared" si="27"/>
        <v>#REF!</v>
      </c>
      <c r="BY12" s="167" t="e">
        <f t="shared" si="28"/>
        <v>#REF!</v>
      </c>
      <c r="BZ12" s="167" t="e">
        <f t="shared" si="29"/>
        <v>#REF!</v>
      </c>
      <c r="CA12" s="167" t="e">
        <f t="shared" si="30"/>
        <v>#REF!</v>
      </c>
    </row>
    <row r="13" spans="1:81">
      <c r="A13" s="313" t="s">
        <v>47</v>
      </c>
      <c r="B13" s="168" t="s">
        <v>259</v>
      </c>
      <c r="C13" s="321" t="s">
        <v>260</v>
      </c>
      <c r="D13" s="321" t="s">
        <v>239</v>
      </c>
      <c r="E13" s="321"/>
      <c r="F13" s="321"/>
      <c r="G13" s="145" t="s">
        <v>169</v>
      </c>
      <c r="H13" s="146" t="s">
        <v>170</v>
      </c>
      <c r="I13" s="145" t="s">
        <v>59</v>
      </c>
      <c r="J13" s="145" t="s">
        <v>185</v>
      </c>
      <c r="K13" s="147" t="s">
        <v>252</v>
      </c>
      <c r="L13" s="145">
        <v>416</v>
      </c>
      <c r="M13" s="145">
        <v>416</v>
      </c>
      <c r="N13" s="148">
        <f>L13-M13</f>
        <v>0</v>
      </c>
      <c r="O13" s="145">
        <v>19</v>
      </c>
      <c r="P13" s="145"/>
      <c r="Q13" s="149">
        <f>((4778000+330000)/20)/12</f>
        <v>21283.333333333332</v>
      </c>
      <c r="R13" s="150" t="str">
        <f t="shared" si="34"/>
        <v>Subscribed</v>
      </c>
      <c r="S13" s="145" t="s">
        <v>123</v>
      </c>
      <c r="T13" s="146">
        <v>56</v>
      </c>
      <c r="U13" s="327">
        <f t="shared" si="33"/>
        <v>45.667470238095241</v>
      </c>
      <c r="V13" s="232">
        <f t="shared" si="3"/>
        <v>10.332529761904759</v>
      </c>
      <c r="W13" s="146"/>
      <c r="X13" s="146">
        <f>IF(V13&lt;=0,0,(IF(R13="Rated",(V13+W13)*#REF!,(V13+W13))))</f>
        <v>10.332529761904759</v>
      </c>
      <c r="Y13" s="146">
        <f>IF(R13="Rated",T13*#REF!,T13)</f>
        <v>56</v>
      </c>
      <c r="Z13" s="231">
        <f t="shared" si="35"/>
        <v>45.667470238095241</v>
      </c>
      <c r="AA13" s="146">
        <f t="shared" si="4"/>
        <v>0</v>
      </c>
      <c r="AB13" s="152">
        <f>70000/12</f>
        <v>5833.333333333333</v>
      </c>
      <c r="AC13" s="153" t="str">
        <f t="shared" si="5"/>
        <v>Metered</v>
      </c>
      <c r="AD13" s="146">
        <v>1</v>
      </c>
      <c r="AE13" s="146" t="s">
        <v>171</v>
      </c>
      <c r="AF13" s="154">
        <v>16.5</v>
      </c>
      <c r="AG13" s="146">
        <v>30688.54</v>
      </c>
      <c r="AH13" s="155"/>
      <c r="AI13" s="156" t="str">
        <f t="shared" si="6"/>
        <v/>
      </c>
      <c r="AJ13" s="146"/>
      <c r="AK13" s="146"/>
      <c r="AL13" s="146">
        <f t="shared" si="7"/>
        <v>0</v>
      </c>
      <c r="AM13" s="145"/>
      <c r="AN13" s="145"/>
      <c r="AO13" s="149"/>
      <c r="AP13" s="157">
        <f t="shared" si="8"/>
        <v>404383.33333333331</v>
      </c>
      <c r="AQ13" s="157">
        <f t="shared" si="9"/>
        <v>0</v>
      </c>
      <c r="AR13" s="158">
        <f t="shared" si="10"/>
        <v>506360.91000000003</v>
      </c>
      <c r="AS13" s="157">
        <f t="shared" si="11"/>
        <v>0</v>
      </c>
      <c r="AT13" s="159">
        <f>(175000+700000)/12</f>
        <v>72916.666666666672</v>
      </c>
      <c r="AU13" s="160">
        <f t="shared" si="12"/>
        <v>983660.91</v>
      </c>
      <c r="AV13" s="160"/>
      <c r="AW13" s="315" t="s">
        <v>164</v>
      </c>
      <c r="AX13" s="235"/>
      <c r="AY13" s="236"/>
      <c r="AZ13" s="235"/>
      <c r="BA13" s="316"/>
      <c r="BC13" s="165">
        <f t="shared" si="13"/>
        <v>70937.084855769237</v>
      </c>
      <c r="BD13" s="165">
        <f t="shared" si="14"/>
        <v>17565.373392857142</v>
      </c>
      <c r="BE13" s="165" t="e">
        <f t="shared" si="15"/>
        <v>#REF!</v>
      </c>
      <c r="BF13" s="165" t="e">
        <f t="shared" si="16"/>
        <v>#REF!</v>
      </c>
      <c r="BG13" s="165" t="e">
        <f t="shared" si="17"/>
        <v>#REF!</v>
      </c>
      <c r="BH13" s="165"/>
      <c r="BI13" s="166">
        <f t="shared" si="18"/>
        <v>910744.2433333334</v>
      </c>
      <c r="BJ13" s="166">
        <f t="shared" si="19"/>
        <v>404383.33333333337</v>
      </c>
      <c r="BK13" s="166">
        <f>IF(H13="Bundled",MIN(Y13*#REF!*(1+#REF!),BI13),AR13)</f>
        <v>506360.91000000003</v>
      </c>
      <c r="BL13" s="167" t="e">
        <f>IF($AG13&gt;0,$AG13*#REF!*#REF!*(1+#REF!*(20/#REF!)/732),#REF!*Z13)</f>
        <v>#REF!</v>
      </c>
      <c r="BM13" s="167" t="e">
        <f>IF($AG13&gt;0,$AG13*#REF!*#REF!*(1+#REF!*(20/#REF!)/732),+#REF!*(Z13+X13))</f>
        <v>#REF!</v>
      </c>
      <c r="BN13" s="167" t="e">
        <f>IF(H13="Bundled",#REF!*Y13,#REF!*Y13*0.85)</f>
        <v>#REF!</v>
      </c>
      <c r="BO13" s="167" t="e">
        <f t="shared" si="20"/>
        <v>#REF!</v>
      </c>
      <c r="BP13" s="167" t="e">
        <f>+#REF!*Y13</f>
        <v>#REF!</v>
      </c>
      <c r="BQ13" s="167" t="e">
        <f t="shared" si="21"/>
        <v>#REF!</v>
      </c>
      <c r="BR13" s="167" t="e">
        <f t="shared" si="22"/>
        <v>#REF!</v>
      </c>
      <c r="BS13" s="167" t="e">
        <f t="shared" si="23"/>
        <v>#REF!</v>
      </c>
      <c r="BT13" s="167">
        <f t="shared" si="24"/>
        <v>56</v>
      </c>
      <c r="BU13" s="167" t="e">
        <f t="shared" si="25"/>
        <v>#REF!</v>
      </c>
      <c r="BV13" s="167" t="e">
        <f t="shared" si="26"/>
        <v>#REF!</v>
      </c>
      <c r="BW13" s="167" t="e">
        <f>IF(H13="Bundled",+(BG13-#REF!)*Y13,(AP13+AQ13)-Y13*#REF!)</f>
        <v>#REF!</v>
      </c>
      <c r="BX13" s="167" t="e">
        <f t="shared" si="27"/>
        <v>#REF!</v>
      </c>
      <c r="BY13" s="167" t="e">
        <f t="shared" si="28"/>
        <v>#REF!</v>
      </c>
      <c r="BZ13" s="167" t="e">
        <f t="shared" si="29"/>
        <v>#REF!</v>
      </c>
      <c r="CA13" s="167" t="e">
        <f t="shared" si="30"/>
        <v>#REF!</v>
      </c>
      <c r="CB13" s="5" t="s">
        <v>261</v>
      </c>
    </row>
    <row r="14" spans="1:81" s="16" customFormat="1" ht="26.1">
      <c r="A14" s="345" t="s">
        <v>47</v>
      </c>
      <c r="B14" s="203" t="s">
        <v>259</v>
      </c>
      <c r="C14" s="346" t="s">
        <v>262</v>
      </c>
      <c r="D14" s="346" t="s">
        <v>263</v>
      </c>
      <c r="E14" s="205">
        <v>52</v>
      </c>
      <c r="F14" s="205"/>
      <c r="G14" s="204" t="s">
        <v>169</v>
      </c>
      <c r="H14" s="205" t="s">
        <v>170</v>
      </c>
      <c r="I14" s="204" t="s">
        <v>59</v>
      </c>
      <c r="J14" s="204" t="s">
        <v>185</v>
      </c>
      <c r="K14" s="206" t="str">
        <f t="shared" ref="K14:K55" si="36">IF(I14="Rack","No of Racks",(IF(I14="Space","Sq Ft","U Space")))</f>
        <v>Sq Ft</v>
      </c>
      <c r="L14" s="204">
        <v>998</v>
      </c>
      <c r="M14" s="204">
        <v>998</v>
      </c>
      <c r="N14" s="207">
        <f>L14-M14</f>
        <v>0</v>
      </c>
      <c r="O14" s="204">
        <v>998</v>
      </c>
      <c r="P14" s="204"/>
      <c r="Q14" s="347">
        <f>(7527733.92/998)/12</f>
        <v>628.56829659318635</v>
      </c>
      <c r="R14" s="209" t="str">
        <f t="shared" si="34"/>
        <v>Subscribed</v>
      </c>
      <c r="S14" s="204" t="s">
        <v>123</v>
      </c>
      <c r="T14" s="205">
        <v>100</v>
      </c>
      <c r="U14" s="348">
        <f t="shared" si="33"/>
        <v>107.67181547619049</v>
      </c>
      <c r="V14" s="212">
        <f t="shared" si="3"/>
        <v>-7.6718154761904884</v>
      </c>
      <c r="W14" s="205"/>
      <c r="X14" s="205">
        <f>IF(V14&lt;=0,0,(IF(R14="Rated",(V14+W14)*#REF!,(V14+W14))))</f>
        <v>0</v>
      </c>
      <c r="Y14" s="205">
        <f>IF(R14="Rated",T14*#REF!,T14)</f>
        <v>100</v>
      </c>
      <c r="Z14" s="231">
        <f t="shared" si="35"/>
        <v>107.67181547619049</v>
      </c>
      <c r="AA14" s="205">
        <f t="shared" si="4"/>
        <v>7.6718154761904884</v>
      </c>
      <c r="AB14" s="213">
        <v>0</v>
      </c>
      <c r="AC14" s="214" t="str">
        <f t="shared" si="5"/>
        <v>Metered</v>
      </c>
      <c r="AD14" s="205">
        <v>1</v>
      </c>
      <c r="AE14" s="205" t="s">
        <v>171</v>
      </c>
      <c r="AF14" s="215">
        <v>12.48</v>
      </c>
      <c r="AG14" s="205">
        <v>72355.460000000006</v>
      </c>
      <c r="AH14" s="216"/>
      <c r="AI14" s="217" t="str">
        <f t="shared" si="6"/>
        <v/>
      </c>
      <c r="AJ14" s="205">
        <v>52</v>
      </c>
      <c r="AK14" s="205">
        <v>52</v>
      </c>
      <c r="AL14" s="205">
        <f t="shared" si="7"/>
        <v>0</v>
      </c>
      <c r="AM14" s="205">
        <v>52</v>
      </c>
      <c r="AN14" s="205"/>
      <c r="AO14" s="349">
        <f>((1895859.28+162489.68+189571.29+355473.61+118491)/12)/21</f>
        <v>10801.130396825396</v>
      </c>
      <c r="AP14" s="218">
        <f t="shared" si="8"/>
        <v>627311.15999999992</v>
      </c>
      <c r="AQ14" s="218">
        <f t="shared" si="9"/>
        <v>0</v>
      </c>
      <c r="AR14" s="219">
        <f t="shared" si="10"/>
        <v>902996.14080000017</v>
      </c>
      <c r="AS14" s="218">
        <f>AO14</f>
        <v>10801.130396825396</v>
      </c>
      <c r="AT14" s="220">
        <f>161135/12</f>
        <v>13427.916666666666</v>
      </c>
      <c r="AU14" s="221">
        <f t="shared" si="12"/>
        <v>1554536.3478634923</v>
      </c>
      <c r="AV14" s="221"/>
      <c r="AW14" s="326" t="s">
        <v>264</v>
      </c>
      <c r="AX14" s="333"/>
      <c r="AY14" s="334"/>
      <c r="AZ14" s="333"/>
      <c r="BA14" s="335"/>
      <c r="BC14" s="226">
        <f t="shared" si="13"/>
        <v>46729.549534974722</v>
      </c>
      <c r="BD14" s="226">
        <f t="shared" si="14"/>
        <v>15545.363478634923</v>
      </c>
      <c r="BE14" s="226" t="e">
        <f t="shared" si="15"/>
        <v>#REF!</v>
      </c>
      <c r="BF14" s="226" t="e">
        <f t="shared" si="16"/>
        <v>#REF!</v>
      </c>
      <c r="BG14" s="226" t="e">
        <f t="shared" si="17"/>
        <v>#REF!</v>
      </c>
      <c r="BH14" s="226"/>
      <c r="BI14" s="227">
        <f t="shared" si="18"/>
        <v>1530307.3008000001</v>
      </c>
      <c r="BJ14" s="227">
        <f t="shared" si="19"/>
        <v>627311.15999999992</v>
      </c>
      <c r="BK14" s="227">
        <f>IF(H14="Bundled",MIN(Y14*#REF!*(1+#REF!),BI14),AR14)</f>
        <v>902996.14080000017</v>
      </c>
      <c r="BL14" s="228" t="e">
        <f>IF($AG14&gt;0,$AG14*#REF!*#REF!*(1+#REF!*(20/#REF!)/732),#REF!*Z14)</f>
        <v>#REF!</v>
      </c>
      <c r="BM14" s="228" t="e">
        <f>IF($AG14&gt;0,$AG14*#REF!*#REF!*(1+#REF!*(20/#REF!)/732),+#REF!*(Z14+X14))</f>
        <v>#REF!</v>
      </c>
      <c r="BN14" s="228" t="e">
        <f>IF(H14="Bundled",#REF!*Y14,#REF!*Y14*0.85)</f>
        <v>#REF!</v>
      </c>
      <c r="BO14" s="228" t="e">
        <f t="shared" si="20"/>
        <v>#REF!</v>
      </c>
      <c r="BP14" s="228" t="e">
        <f>+#REF!*Y14</f>
        <v>#REF!</v>
      </c>
      <c r="BQ14" s="228" t="e">
        <f t="shared" si="21"/>
        <v>#REF!</v>
      </c>
      <c r="BR14" s="228" t="e">
        <f t="shared" si="22"/>
        <v>#REF!</v>
      </c>
      <c r="BS14" s="228" t="e">
        <f t="shared" si="23"/>
        <v>#REF!</v>
      </c>
      <c r="BT14" s="228">
        <f t="shared" si="24"/>
        <v>100</v>
      </c>
      <c r="BU14" s="228" t="e">
        <f t="shared" si="25"/>
        <v>#REF!</v>
      </c>
      <c r="BV14" s="228" t="e">
        <f t="shared" si="26"/>
        <v>#REF!</v>
      </c>
      <c r="BW14" s="228" t="e">
        <f>IF(H14="Bundled",+(BG14-#REF!)*Y14,(AP14+AQ14)-Y14*#REF!)</f>
        <v>#REF!</v>
      </c>
      <c r="BX14" s="228" t="e">
        <f t="shared" si="27"/>
        <v>#REF!</v>
      </c>
      <c r="BY14" s="228" t="e">
        <f t="shared" si="28"/>
        <v>#REF!</v>
      </c>
      <c r="BZ14" s="228" t="e">
        <f t="shared" si="29"/>
        <v>#REF!</v>
      </c>
      <c r="CA14" s="228" t="e">
        <f t="shared" si="30"/>
        <v>#REF!</v>
      </c>
    </row>
    <row r="15" spans="1:81" s="110" customFormat="1">
      <c r="A15" s="350" t="s">
        <v>47</v>
      </c>
      <c r="B15" s="343" t="s">
        <v>259</v>
      </c>
      <c r="C15" s="200" t="s">
        <v>262</v>
      </c>
      <c r="D15" s="200" t="s">
        <v>263</v>
      </c>
      <c r="E15" s="351"/>
      <c r="F15" s="351"/>
      <c r="G15" s="200" t="s">
        <v>169</v>
      </c>
      <c r="H15" s="351" t="s">
        <v>170</v>
      </c>
      <c r="I15" s="200" t="s">
        <v>59</v>
      </c>
      <c r="J15" s="200" t="s">
        <v>185</v>
      </c>
      <c r="K15" s="352" t="str">
        <f t="shared" si="36"/>
        <v>Sq Ft</v>
      </c>
      <c r="L15" s="353">
        <v>216</v>
      </c>
      <c r="M15" s="353">
        <v>216</v>
      </c>
      <c r="N15" s="323">
        <v>0</v>
      </c>
      <c r="O15" s="200">
        <v>216</v>
      </c>
      <c r="P15" s="354"/>
      <c r="Q15" s="354"/>
      <c r="R15" s="355" t="str">
        <f t="shared" si="34"/>
        <v>Subscribed</v>
      </c>
      <c r="S15" s="354" t="s">
        <v>123</v>
      </c>
      <c r="T15" s="356">
        <v>30</v>
      </c>
      <c r="U15" s="327">
        <f t="shared" si="33"/>
        <v>6.4434523809523805</v>
      </c>
      <c r="V15" s="357"/>
      <c r="W15" s="350"/>
      <c r="X15" s="350"/>
      <c r="Y15" s="353">
        <f>IF(R15="Rated",T15*#REF!,T15)</f>
        <v>30</v>
      </c>
      <c r="Z15" s="231">
        <f t="shared" si="35"/>
        <v>6.4434523809523805</v>
      </c>
      <c r="AA15" s="350"/>
      <c r="AB15" s="350"/>
      <c r="AC15" s="350"/>
      <c r="AD15" s="350"/>
      <c r="AE15" s="350"/>
      <c r="AF15" s="350"/>
      <c r="AG15" s="358">
        <v>4330</v>
      </c>
      <c r="AH15" s="358"/>
      <c r="AI15" s="358"/>
      <c r="AJ15" s="350"/>
      <c r="AK15" s="350"/>
      <c r="AL15" s="350"/>
      <c r="AM15" s="350"/>
      <c r="AN15" s="350"/>
      <c r="AO15" s="350"/>
      <c r="AP15" s="350"/>
      <c r="AQ15" s="350"/>
      <c r="AR15" s="350"/>
      <c r="AS15" s="350"/>
      <c r="AT15" s="350"/>
      <c r="AU15" s="350"/>
      <c r="AV15" s="350"/>
      <c r="AW15" s="359"/>
      <c r="AX15" s="359"/>
      <c r="AY15" s="359"/>
      <c r="AZ15" s="359"/>
      <c r="BA15" s="350"/>
      <c r="BB15" s="350"/>
      <c r="BC15" s="350"/>
      <c r="BD15" s="350"/>
      <c r="BE15" s="350"/>
      <c r="BF15" s="350"/>
      <c r="BG15" s="350"/>
      <c r="BH15" s="350"/>
      <c r="BI15" s="350"/>
      <c r="BJ15" s="350"/>
      <c r="BK15" s="350"/>
      <c r="BL15" s="350" t="e">
        <f>IF($AG15&gt;0,$AG15*#REF!*#REF!*(1+#REF!*(20/#REF!)/732),#REF!*Z15)</f>
        <v>#REF!</v>
      </c>
      <c r="BM15" s="350"/>
      <c r="BN15" s="350" t="e">
        <f>IF(H15="Bundled",#REF!*Y15,#REF!*Y15*0.85)</f>
        <v>#REF!</v>
      </c>
      <c r="BO15" s="350"/>
      <c r="BP15" s="350"/>
      <c r="BQ15" s="350"/>
      <c r="BR15" s="350"/>
      <c r="BS15" s="350"/>
      <c r="BT15" s="350">
        <f t="shared" si="24"/>
        <v>30</v>
      </c>
      <c r="BU15" s="350"/>
      <c r="BV15" s="350"/>
      <c r="BW15" s="350"/>
      <c r="BX15" s="350"/>
      <c r="BY15" s="350"/>
      <c r="BZ15" s="350"/>
      <c r="CA15" s="350"/>
      <c r="CB15" s="350"/>
      <c r="CC15" s="350"/>
    </row>
    <row r="16" spans="1:81" s="16" customFormat="1">
      <c r="A16" s="111" t="s">
        <v>47</v>
      </c>
      <c r="B16" s="173" t="s">
        <v>265</v>
      </c>
      <c r="C16" s="173" t="s">
        <v>266</v>
      </c>
      <c r="D16" s="173" t="s">
        <v>235</v>
      </c>
      <c r="E16" s="173"/>
      <c r="F16" s="173"/>
      <c r="G16" s="175" t="s">
        <v>169</v>
      </c>
      <c r="H16" s="69" t="s">
        <v>170</v>
      </c>
      <c r="I16" s="175" t="s">
        <v>132</v>
      </c>
      <c r="J16" s="175" t="s">
        <v>133</v>
      </c>
      <c r="K16" s="70" t="str">
        <f t="shared" si="36"/>
        <v>No of Racks</v>
      </c>
      <c r="L16" s="175">
        <v>1</v>
      </c>
      <c r="M16" s="175">
        <v>1</v>
      </c>
      <c r="N16" s="112">
        <f>L16-M16</f>
        <v>0</v>
      </c>
      <c r="O16" s="175">
        <v>1</v>
      </c>
      <c r="P16" s="175"/>
      <c r="Q16" s="113">
        <f>270000/12</f>
        <v>22500</v>
      </c>
      <c r="R16" s="114" t="str">
        <f t="shared" si="34"/>
        <v>Subscribed</v>
      </c>
      <c r="S16" s="175" t="s">
        <v>123</v>
      </c>
      <c r="T16" s="69">
        <v>2.5</v>
      </c>
      <c r="U16" s="115">
        <f t="shared" si="33"/>
        <v>1.5044642857142856</v>
      </c>
      <c r="V16" s="116">
        <f t="shared" ref="V16:V60" si="37">T16-U16</f>
        <v>0.99553571428571441</v>
      </c>
      <c r="W16" s="69"/>
      <c r="X16" s="69">
        <f>IF(V16&lt;=0,0,(IF(R16="Rated",(V16+W16)*#REF!,(V16+W16))))</f>
        <v>0.99553571428571441</v>
      </c>
      <c r="Y16" s="69">
        <f>IF(R16="Rated",T16*#REF!,T16)</f>
        <v>2.5</v>
      </c>
      <c r="Z16" s="231">
        <f t="shared" si="35"/>
        <v>1.5044642857142856</v>
      </c>
      <c r="AA16" s="69">
        <f t="shared" ref="AA16:AA49" si="38">IF((V16*-1)&gt;0, (V16*-1), 0)</f>
        <v>0</v>
      </c>
      <c r="AB16" s="117">
        <f>95000/12</f>
        <v>7916.666666666667</v>
      </c>
      <c r="AC16" s="118" t="str">
        <f t="shared" ref="AC16:AC47" si="39">H16</f>
        <v>Metered</v>
      </c>
      <c r="AD16" s="69">
        <v>1</v>
      </c>
      <c r="AE16" s="69" t="s">
        <v>171</v>
      </c>
      <c r="AF16" s="119">
        <v>17</v>
      </c>
      <c r="AG16" s="69">
        <v>1011</v>
      </c>
      <c r="AH16" s="120"/>
      <c r="AI16" s="121" t="str">
        <f>IF(AH16="No of Seats","No of Seats",(IF(AH16="Space","Sq Ft","")))</f>
        <v/>
      </c>
      <c r="AJ16" s="69"/>
      <c r="AK16" s="69"/>
      <c r="AL16" s="69">
        <f>AJ16-AK16</f>
        <v>0</v>
      </c>
      <c r="AM16" s="69"/>
      <c r="AN16" s="69"/>
      <c r="AO16" s="113"/>
      <c r="AP16" s="122">
        <f>Q16*O16</f>
        <v>22500</v>
      </c>
      <c r="AQ16" s="122">
        <f>AB16*AA16</f>
        <v>0</v>
      </c>
      <c r="AR16" s="123">
        <f>AG16*AF16*AD16</f>
        <v>17187</v>
      </c>
      <c r="AS16" s="122">
        <f>AO16*AM16</f>
        <v>0</v>
      </c>
      <c r="AT16" s="124">
        <f>95051/12</f>
        <v>7920.916666666667</v>
      </c>
      <c r="AU16" s="125">
        <f>SUBTOTAL(9,AP16:AT16)</f>
        <v>47607.916666666664</v>
      </c>
      <c r="AV16" s="125"/>
      <c r="AW16" s="126" t="s">
        <v>164</v>
      </c>
      <c r="AX16" s="127"/>
      <c r="AY16" s="128"/>
      <c r="AZ16" s="127"/>
      <c r="BA16" s="129"/>
      <c r="BB16" s="5"/>
      <c r="BC16" s="130">
        <f>IF(I16="Rack",AU16/L16,0)+IF(I16="U Space",AU16*40/L16,0)+IF(I16="Space",AU16*30/L16,0)</f>
        <v>47607.916666666664</v>
      </c>
      <c r="BD16" s="130">
        <f>+AU16/Y16</f>
        <v>19043.166666666664</v>
      </c>
      <c r="BE16" s="130" t="e">
        <f>+($AP16+$AQ16+$AR16-BL16)/$Y16</f>
        <v>#REF!</v>
      </c>
      <c r="BF16" s="130" t="e">
        <f>+($AP16+$AQ16+$AR16-BM16)/$Y16</f>
        <v>#REF!</v>
      </c>
      <c r="BG16" s="130" t="e">
        <f>+($AP16+$AQ16+IF(H16="Bundled",0,Y16*0.85*AD16*AF16*30.5*24)-BN16)/$Y16</f>
        <v>#REF!</v>
      </c>
      <c r="BH16" s="130"/>
      <c r="BI16" s="131">
        <f>+AP16+AQ16+AR16</f>
        <v>39687</v>
      </c>
      <c r="BJ16" s="131">
        <f>+BI16-BK16</f>
        <v>22500</v>
      </c>
      <c r="BK16" s="131">
        <f>IF(H16="Bundled",MIN(Y16*#REF!*(1+#REF!),BI16),AR16)</f>
        <v>17187</v>
      </c>
      <c r="BL16" s="132" t="e">
        <f>IF($AG16&gt;0,$AG16*#REF!*#REF!*(1+#REF!*(20/#REF!)/732),#REF!*Z16)</f>
        <v>#REF!</v>
      </c>
      <c r="BM16" s="132" t="e">
        <f>IF($AG16&gt;0,$AG16*#REF!*#REF!*(1+#REF!*(20/#REF!)/732),+#REF!*(Z16+X16))</f>
        <v>#REF!</v>
      </c>
      <c r="BN16" s="132" t="e">
        <f>IF(H16="Bundled",#REF!*Y16,#REF!*Y16*0.85)</f>
        <v>#REF!</v>
      </c>
      <c r="BO16" s="132" t="e">
        <f>+BE16*Y16</f>
        <v>#REF!</v>
      </c>
      <c r="BP16" s="132" t="e">
        <f>+#REF!*Y16</f>
        <v>#REF!</v>
      </c>
      <c r="BQ16" s="132" t="e">
        <f>+BJ16-BP16</f>
        <v>#REF!</v>
      </c>
      <c r="BR16" s="132" t="e">
        <f>+BK16-BL16</f>
        <v>#REF!</v>
      </c>
      <c r="BS16" s="132" t="e">
        <f>+BQ16+BR16</f>
        <v>#REF!</v>
      </c>
      <c r="BT16" s="132">
        <f t="shared" si="24"/>
        <v>2.5</v>
      </c>
      <c r="BU16" s="132" t="e">
        <f>+BE16</f>
        <v>#REF!</v>
      </c>
      <c r="BV16" s="132" t="e">
        <f>IF(H16="Bundled",BN16-BL16,AR16-BL16)</f>
        <v>#REF!</v>
      </c>
      <c r="BW16" s="132" t="e">
        <f>IF(H16="Bundled",+(BG16-#REF!)*Y16,(AP16+AQ16)-Y16*#REF!)</f>
        <v>#REF!</v>
      </c>
      <c r="BX16" s="132" t="e">
        <f>+BV16+BW16</f>
        <v>#REF!</v>
      </c>
      <c r="BY16" s="132" t="e">
        <f t="shared" ref="BY16:CA17" si="40">+BV16/$BT16</f>
        <v>#REF!</v>
      </c>
      <c r="BZ16" s="132" t="e">
        <f t="shared" si="40"/>
        <v>#REF!</v>
      </c>
      <c r="CA16" s="132" t="e">
        <f t="shared" si="40"/>
        <v>#REF!</v>
      </c>
      <c r="CB16" s="16" t="s">
        <v>267</v>
      </c>
    </row>
    <row r="17" spans="1:79" s="16" customFormat="1" ht="12.95" customHeight="1">
      <c r="A17" s="313" t="s">
        <v>47</v>
      </c>
      <c r="B17" s="360" t="s">
        <v>149</v>
      </c>
      <c r="C17" s="144" t="s">
        <v>268</v>
      </c>
      <c r="D17" s="144" t="s">
        <v>239</v>
      </c>
      <c r="E17" s="144"/>
      <c r="F17" s="144"/>
      <c r="G17" s="145" t="s">
        <v>130</v>
      </c>
      <c r="H17" s="146" t="s">
        <v>131</v>
      </c>
      <c r="I17" s="145" t="s">
        <v>144</v>
      </c>
      <c r="J17" s="145" t="s">
        <v>133</v>
      </c>
      <c r="K17" s="147" t="str">
        <f t="shared" si="36"/>
        <v>U Space</v>
      </c>
      <c r="L17" s="145">
        <v>4</v>
      </c>
      <c r="M17" s="145">
        <v>4</v>
      </c>
      <c r="N17" s="148">
        <f>L17-M17</f>
        <v>0</v>
      </c>
      <c r="O17" s="145">
        <v>4</v>
      </c>
      <c r="P17" s="145"/>
      <c r="Q17" s="149">
        <f>(160000/4)/12</f>
        <v>3333.3333333333335</v>
      </c>
      <c r="R17" s="150" t="str">
        <f t="shared" si="34"/>
        <v>Rated</v>
      </c>
      <c r="S17" s="321" t="s">
        <v>134</v>
      </c>
      <c r="T17" s="146">
        <v>1</v>
      </c>
      <c r="U17" s="151">
        <v>0.27</v>
      </c>
      <c r="V17" s="232">
        <f t="shared" si="37"/>
        <v>0.73</v>
      </c>
      <c r="W17" s="146"/>
      <c r="X17" s="146" t="e">
        <f>IF(V17&lt;=0,0,(IF(R17="Rated",(V17+W17)*#REF!,(V17+W17))))</f>
        <v>#REF!</v>
      </c>
      <c r="Y17" s="146" t="e">
        <f>IF(R17="Rated",T17*#REF!,T17)</f>
        <v>#REF!</v>
      </c>
      <c r="Z17" s="361">
        <v>0.8</v>
      </c>
      <c r="AA17" s="146">
        <f t="shared" si="38"/>
        <v>0</v>
      </c>
      <c r="AB17" s="152">
        <f>100000/12</f>
        <v>8333.3333333333339</v>
      </c>
      <c r="AC17" s="153" t="str">
        <f t="shared" si="39"/>
        <v>Bundled</v>
      </c>
      <c r="AD17" s="146"/>
      <c r="AE17" s="146"/>
      <c r="AF17" s="154"/>
      <c r="AG17" s="146"/>
      <c r="AH17" s="155"/>
      <c r="AI17" s="156" t="str">
        <f>IF(AH17="No of Seats","No of Seats",(IF(AH17="Space","Sq Ft","")))</f>
        <v/>
      </c>
      <c r="AJ17" s="146"/>
      <c r="AK17" s="146"/>
      <c r="AL17" s="146">
        <f>AJ17-AK17</f>
        <v>0</v>
      </c>
      <c r="AM17" s="146"/>
      <c r="AN17" s="146"/>
      <c r="AO17" s="149"/>
      <c r="AP17" s="157">
        <f>Q17*O17</f>
        <v>13333.333333333334</v>
      </c>
      <c r="AQ17" s="157">
        <f>AB17*AA17</f>
        <v>0</v>
      </c>
      <c r="AR17" s="158">
        <f>AG17*AF17*AD17</f>
        <v>0</v>
      </c>
      <c r="AS17" s="157">
        <f>AO17*AM17</f>
        <v>0</v>
      </c>
      <c r="AT17" s="159">
        <f>(15000+50000+60000)/12</f>
        <v>10416.666666666666</v>
      </c>
      <c r="AU17" s="160">
        <f>SUBTOTAL(9,AP17:AT17)</f>
        <v>23750</v>
      </c>
      <c r="AV17" s="160"/>
      <c r="AW17" s="315" t="s">
        <v>164</v>
      </c>
      <c r="AX17" s="235"/>
      <c r="AY17" s="236"/>
      <c r="AZ17" s="235"/>
      <c r="BA17" s="316"/>
      <c r="BC17" s="165">
        <f>IF(I17="Rack",AU17/L17,0)+IF(I17="U Space",AU17*40/L17,0)+IF(I17="Space",AU17*30/L17,0)</f>
        <v>237500</v>
      </c>
      <c r="BD17" s="165" t="e">
        <f>+AU17/Y17</f>
        <v>#REF!</v>
      </c>
      <c r="BE17" s="165" t="e">
        <f>+($AP17+$AQ17+$AR17-BL17)/$Y17</f>
        <v>#REF!</v>
      </c>
      <c r="BF17" s="165" t="e">
        <f>+($AP17+$AQ17+$AR17-BM17)/$Y17</f>
        <v>#REF!</v>
      </c>
      <c r="BG17" s="165" t="e">
        <f>+($AP17+$AQ17+IF(H17="Bundled",0,Y17*0.85*AD17*AF17*30.5*24)-BN17)/$Y17</f>
        <v>#REF!</v>
      </c>
      <c r="BH17" s="165"/>
      <c r="BI17" s="166">
        <f>+AP17+AQ17+AR17</f>
        <v>13333.333333333334</v>
      </c>
      <c r="BJ17" s="166" t="e">
        <f>+BI17-BK17</f>
        <v>#REF!</v>
      </c>
      <c r="BK17" s="166" t="e">
        <f>IF(H17="Bundled",MIN(Y17*#REF!*(1+#REF!),BI17),AR17)</f>
        <v>#REF!</v>
      </c>
      <c r="BL17" s="167" t="e">
        <f>IF($AG17&gt;0,$AG17*#REF!*#REF!*(1+#REF!*(20/#REF!)/732),#REF!*Z17)</f>
        <v>#REF!</v>
      </c>
      <c r="BM17" s="167" t="e">
        <f>IF($AG17&gt;0,$AG17*#REF!*#REF!*(1+#REF!*(20/#REF!)/732),+#REF!*(Z17+X17))</f>
        <v>#REF!</v>
      </c>
      <c r="BN17" s="167" t="e">
        <f>IF(H17="Bundled",#REF!*Y17,#REF!*Y17*0.85)</f>
        <v>#REF!</v>
      </c>
      <c r="BO17" s="167" t="e">
        <f>+BE17*Y17</f>
        <v>#REF!</v>
      </c>
      <c r="BP17" s="167" t="e">
        <f>+#REF!*Y17</f>
        <v>#REF!</v>
      </c>
      <c r="BQ17" s="167" t="e">
        <f>+BJ17-BP17</f>
        <v>#REF!</v>
      </c>
      <c r="BR17" s="167" t="e">
        <f>+BK17-BL17</f>
        <v>#REF!</v>
      </c>
      <c r="BS17" s="167" t="e">
        <f>+BQ17+BR17</f>
        <v>#REF!</v>
      </c>
      <c r="BT17" s="167" t="e">
        <f t="shared" si="24"/>
        <v>#REF!</v>
      </c>
      <c r="BU17" s="167" t="e">
        <f>+BE17</f>
        <v>#REF!</v>
      </c>
      <c r="BV17" s="167" t="e">
        <f>IF(H17="Bundled",BN17-BL17,AR17-BL17)</f>
        <v>#REF!</v>
      </c>
      <c r="BW17" s="167" t="e">
        <f>IF(H17="Bundled",+(BG17-#REF!)*Y17,(AP17+AQ17)-Y17*#REF!)</f>
        <v>#REF!</v>
      </c>
      <c r="BX17" s="167" t="e">
        <f>+BV17+BW17</f>
        <v>#REF!</v>
      </c>
      <c r="BY17" s="167" t="e">
        <f t="shared" si="40"/>
        <v>#REF!</v>
      </c>
      <c r="BZ17" s="167" t="e">
        <f t="shared" si="40"/>
        <v>#REF!</v>
      </c>
      <c r="CA17" s="167" t="e">
        <f t="shared" si="40"/>
        <v>#REF!</v>
      </c>
    </row>
    <row r="18" spans="1:79">
      <c r="A18" s="313" t="s">
        <v>47</v>
      </c>
      <c r="B18" s="258"/>
      <c r="C18" s="321" t="s">
        <v>269</v>
      </c>
      <c r="D18" s="321" t="s">
        <v>235</v>
      </c>
      <c r="E18" s="321"/>
      <c r="F18" s="321"/>
      <c r="G18" s="145" t="s">
        <v>130</v>
      </c>
      <c r="H18" s="146" t="s">
        <v>131</v>
      </c>
      <c r="I18" s="145" t="s">
        <v>144</v>
      </c>
      <c r="J18" s="145" t="s">
        <v>133</v>
      </c>
      <c r="K18" s="147" t="str">
        <f t="shared" si="36"/>
        <v>U Space</v>
      </c>
      <c r="L18" s="145">
        <v>3</v>
      </c>
      <c r="M18" s="145">
        <v>3</v>
      </c>
      <c r="N18" s="148">
        <v>0</v>
      </c>
      <c r="O18" s="145">
        <v>3</v>
      </c>
      <c r="P18" s="145"/>
      <c r="Q18" s="149">
        <f>(30000/1)/12</f>
        <v>2500</v>
      </c>
      <c r="R18" s="150" t="str">
        <f t="shared" si="34"/>
        <v>Rated</v>
      </c>
      <c r="S18" s="321" t="s">
        <v>134</v>
      </c>
      <c r="T18" s="146">
        <v>0.75</v>
      </c>
      <c r="U18" s="151">
        <v>1.68</v>
      </c>
      <c r="V18" s="232">
        <f t="shared" si="37"/>
        <v>-0.92999999999999994</v>
      </c>
      <c r="W18" s="146"/>
      <c r="X18" s="146">
        <f>IF(V18&lt;=0,0,(IF(R18="Rated",(V18+W18)*#REF!,(V18+W18))))</f>
        <v>0</v>
      </c>
      <c r="Y18" s="146" t="e">
        <f>IF(R18="Rated",T18*#REF!,T18)</f>
        <v>#REF!</v>
      </c>
      <c r="Z18" s="361"/>
      <c r="AA18" s="146">
        <f t="shared" si="38"/>
        <v>0.92999999999999994</v>
      </c>
      <c r="AB18" s="152"/>
      <c r="AC18" s="153" t="str">
        <f t="shared" si="39"/>
        <v>Bundled</v>
      </c>
      <c r="AD18" s="146"/>
      <c r="AE18" s="146"/>
      <c r="AF18" s="154"/>
      <c r="AG18" s="146"/>
      <c r="AH18" s="155"/>
      <c r="AI18" s="156"/>
      <c r="AJ18" s="146"/>
      <c r="AK18" s="146"/>
      <c r="AL18" s="146"/>
      <c r="AM18" s="146"/>
      <c r="AN18" s="146"/>
      <c r="AO18" s="149"/>
      <c r="AP18" s="157"/>
      <c r="AQ18" s="157"/>
      <c r="AR18" s="158"/>
      <c r="AS18" s="157"/>
      <c r="AT18" s="159"/>
      <c r="AU18" s="160"/>
      <c r="AV18" s="160"/>
      <c r="AW18" s="315"/>
      <c r="AX18" s="235"/>
      <c r="AY18" s="236"/>
      <c r="AZ18" s="235"/>
      <c r="BA18" s="316"/>
      <c r="BC18" s="165"/>
      <c r="BD18" s="165"/>
      <c r="BE18" s="165"/>
      <c r="BF18" s="165"/>
      <c r="BG18" s="165"/>
      <c r="BH18" s="165"/>
      <c r="BI18" s="166"/>
      <c r="BJ18" s="166"/>
      <c r="BK18" s="166"/>
      <c r="BL18" s="167"/>
      <c r="BM18" s="167" t="e">
        <f>IF($AG18&gt;0,$AG18*#REF!*#REF!*(1+#REF!*(20/#REF!)/732),+#REF!*(Z18+X18))</f>
        <v>#REF!</v>
      </c>
      <c r="BN18" s="167" t="e">
        <f>IF(H18="Bundled",#REF!*Y18,#REF!*Y18*0.85)</f>
        <v>#REF!</v>
      </c>
      <c r="BO18" s="167"/>
      <c r="BP18" s="167"/>
      <c r="BQ18" s="167"/>
      <c r="BR18" s="167"/>
      <c r="BS18" s="167"/>
      <c r="BT18" s="167" t="e">
        <f t="shared" si="24"/>
        <v>#REF!</v>
      </c>
      <c r="BU18" s="167"/>
      <c r="BV18" s="167"/>
      <c r="BW18" s="167"/>
      <c r="BX18" s="167"/>
      <c r="BY18" s="167"/>
      <c r="BZ18" s="167"/>
      <c r="CA18" s="167"/>
    </row>
    <row r="19" spans="1:79">
      <c r="A19" s="313" t="s">
        <v>47</v>
      </c>
      <c r="B19" s="258"/>
      <c r="C19" s="321" t="s">
        <v>270</v>
      </c>
      <c r="D19" s="321" t="s">
        <v>235</v>
      </c>
      <c r="E19" s="321"/>
      <c r="F19" s="321"/>
      <c r="G19" s="145" t="s">
        <v>130</v>
      </c>
      <c r="H19" s="146" t="s">
        <v>131</v>
      </c>
      <c r="I19" s="145" t="s">
        <v>144</v>
      </c>
      <c r="J19" s="145" t="s">
        <v>133</v>
      </c>
      <c r="K19" s="147" t="str">
        <f t="shared" si="36"/>
        <v>U Space</v>
      </c>
      <c r="L19" s="145">
        <v>1</v>
      </c>
      <c r="M19" s="145">
        <v>1</v>
      </c>
      <c r="N19" s="148">
        <v>0</v>
      </c>
      <c r="O19" s="145">
        <v>1</v>
      </c>
      <c r="P19" s="145"/>
      <c r="Q19" s="149">
        <f>(103500/3)/12</f>
        <v>2875</v>
      </c>
      <c r="R19" s="150" t="str">
        <f t="shared" si="34"/>
        <v>Rated</v>
      </c>
      <c r="S19" s="321" t="s">
        <v>134</v>
      </c>
      <c r="T19" s="146">
        <v>0.25</v>
      </c>
      <c r="U19" s="151">
        <v>0.27</v>
      </c>
      <c r="V19" s="232">
        <f t="shared" si="37"/>
        <v>-2.0000000000000018E-2</v>
      </c>
      <c r="W19" s="146"/>
      <c r="X19" s="146">
        <f>IF(V19&lt;=0,0,(IF(R19="Rated",(V19+W19)*#REF!,(V19+W19))))</f>
        <v>0</v>
      </c>
      <c r="Y19" s="146" t="e">
        <f>IF(R19="Rated",T19*#REF!,T19)</f>
        <v>#REF!</v>
      </c>
      <c r="Z19" s="361"/>
      <c r="AA19" s="146">
        <f t="shared" si="38"/>
        <v>2.0000000000000018E-2</v>
      </c>
      <c r="AB19" s="152"/>
      <c r="AC19" s="153" t="str">
        <f t="shared" si="39"/>
        <v>Bundled</v>
      </c>
      <c r="AD19" s="146"/>
      <c r="AE19" s="146"/>
      <c r="AF19" s="154"/>
      <c r="AG19" s="146"/>
      <c r="AH19" s="155"/>
      <c r="AI19" s="156"/>
      <c r="AJ19" s="146"/>
      <c r="AK19" s="146"/>
      <c r="AL19" s="146"/>
      <c r="AM19" s="146"/>
      <c r="AN19" s="146"/>
      <c r="AO19" s="149"/>
      <c r="AP19" s="157"/>
      <c r="AQ19" s="157"/>
      <c r="AR19" s="158"/>
      <c r="AS19" s="157"/>
      <c r="AT19" s="159"/>
      <c r="AU19" s="160"/>
      <c r="AV19" s="160"/>
      <c r="AW19" s="315"/>
      <c r="AX19" s="235"/>
      <c r="AY19" s="236"/>
      <c r="AZ19" s="235"/>
      <c r="BA19" s="316"/>
      <c r="BC19" s="165"/>
      <c r="BD19" s="165"/>
      <c r="BE19" s="165"/>
      <c r="BF19" s="165"/>
      <c r="BG19" s="165"/>
      <c r="BH19" s="165"/>
      <c r="BI19" s="166"/>
      <c r="BJ19" s="166"/>
      <c r="BK19" s="166"/>
      <c r="BL19" s="167"/>
      <c r="BM19" s="167" t="e">
        <f>IF($AG19&gt;0,$AG19*#REF!*#REF!*(1+#REF!*(20/#REF!)/732),+#REF!*(Z19+X19))</f>
        <v>#REF!</v>
      </c>
      <c r="BN19" s="167" t="e">
        <f>IF(H19="Bundled",#REF!*Y19,#REF!*Y19*0.85)</f>
        <v>#REF!</v>
      </c>
      <c r="BO19" s="167"/>
      <c r="BP19" s="167" t="e">
        <f>+#REF!*Y19</f>
        <v>#REF!</v>
      </c>
      <c r="BQ19" s="167"/>
      <c r="BR19" s="167"/>
      <c r="BS19" s="167"/>
      <c r="BT19" s="167" t="e">
        <f t="shared" si="24"/>
        <v>#REF!</v>
      </c>
      <c r="BU19" s="167"/>
      <c r="BV19" s="167"/>
      <c r="BW19" s="167"/>
      <c r="BX19" s="167"/>
      <c r="BY19" s="167"/>
      <c r="BZ19" s="167"/>
      <c r="CA19" s="167"/>
    </row>
    <row r="20" spans="1:79">
      <c r="A20" s="313" t="s">
        <v>47</v>
      </c>
      <c r="B20" s="259"/>
      <c r="C20" s="144" t="s">
        <v>271</v>
      </c>
      <c r="D20" s="144" t="s">
        <v>235</v>
      </c>
      <c r="E20" s="144"/>
      <c r="F20" s="144"/>
      <c r="G20" s="145" t="s">
        <v>130</v>
      </c>
      <c r="H20" s="146" t="s">
        <v>131</v>
      </c>
      <c r="I20" s="145" t="s">
        <v>144</v>
      </c>
      <c r="J20" s="145" t="s">
        <v>133</v>
      </c>
      <c r="K20" s="147" t="str">
        <f t="shared" si="36"/>
        <v>U Space</v>
      </c>
      <c r="L20" s="145">
        <v>2</v>
      </c>
      <c r="M20" s="145">
        <v>2</v>
      </c>
      <c r="N20" s="148">
        <f>L20-M20</f>
        <v>0</v>
      </c>
      <c r="O20" s="145">
        <v>2</v>
      </c>
      <c r="P20" s="145"/>
      <c r="Q20" s="149">
        <f>33700/12</f>
        <v>2808.3333333333335</v>
      </c>
      <c r="R20" s="150" t="str">
        <f t="shared" si="34"/>
        <v>Rated</v>
      </c>
      <c r="S20" s="321" t="s">
        <v>134</v>
      </c>
      <c r="T20" s="146">
        <v>0.5</v>
      </c>
      <c r="U20" s="151">
        <v>0.27</v>
      </c>
      <c r="V20" s="232">
        <f t="shared" si="37"/>
        <v>0.22999999999999998</v>
      </c>
      <c r="W20" s="146"/>
      <c r="X20" s="146" t="e">
        <f>IF(V20&lt;=0,0,(IF(R20="Rated",(V20+W20)*#REF!,(V20+W20))))</f>
        <v>#REF!</v>
      </c>
      <c r="Y20" s="146" t="e">
        <f>IF(R20="Rated",T20*#REF!,T20)</f>
        <v>#REF!</v>
      </c>
      <c r="Z20" s="361"/>
      <c r="AA20" s="146">
        <f t="shared" si="38"/>
        <v>0</v>
      </c>
      <c r="AB20" s="152">
        <f>110000/12</f>
        <v>9166.6666666666661</v>
      </c>
      <c r="AC20" s="153" t="str">
        <f t="shared" si="39"/>
        <v>Bundled</v>
      </c>
      <c r="AD20" s="146"/>
      <c r="AE20" s="146"/>
      <c r="AF20" s="154"/>
      <c r="AG20" s="146"/>
      <c r="AH20" s="155"/>
      <c r="AI20" s="156" t="str">
        <f>IF(AH20="No of Seats","No of Seats",(IF(AH20="Space","Sq Ft","")))</f>
        <v/>
      </c>
      <c r="AJ20" s="146"/>
      <c r="AK20" s="146"/>
      <c r="AL20" s="146">
        <f>AJ20-AK20</f>
        <v>0</v>
      </c>
      <c r="AM20" s="146"/>
      <c r="AN20" s="146"/>
      <c r="AO20" s="149"/>
      <c r="AP20" s="157">
        <f>Q20*O20</f>
        <v>5616.666666666667</v>
      </c>
      <c r="AQ20" s="157">
        <f>AB20*AA20</f>
        <v>0</v>
      </c>
      <c r="AR20" s="158">
        <f>AG20*AF20*AD20</f>
        <v>0</v>
      </c>
      <c r="AS20" s="157">
        <f>AO20*AM20</f>
        <v>0</v>
      </c>
      <c r="AT20" s="159">
        <f>(60000)/12</f>
        <v>5000</v>
      </c>
      <c r="AU20" s="160">
        <f>SUBTOTAL(9,AP20:AT20)</f>
        <v>10616.666666666668</v>
      </c>
      <c r="AV20" s="160"/>
      <c r="AW20" s="315">
        <v>121000929</v>
      </c>
      <c r="AX20" s="235"/>
      <c r="AY20" s="236"/>
      <c r="AZ20" s="235"/>
      <c r="BA20" s="316"/>
      <c r="BC20" s="165">
        <f>IF(I20="Rack",AU20/L20,0)+IF(I20="U Space",AU20*40/L20,0)+IF(I20="Space",AU20*30/L20,0)</f>
        <v>212333.33333333337</v>
      </c>
      <c r="BD20" s="165" t="e">
        <f>+AU20/Y20</f>
        <v>#REF!</v>
      </c>
      <c r="BE20" s="165" t="e">
        <f>+($AP20+$AQ20+$AR20-BL20)/$Y20</f>
        <v>#REF!</v>
      </c>
      <c r="BF20" s="165" t="e">
        <f>+($AP20+$AQ20+$AR20-BM20)/$Y20</f>
        <v>#REF!</v>
      </c>
      <c r="BG20" s="165" t="e">
        <f>+($AP20+$AQ20+IF(H20="Bundled",0,Y20*0.85*AD20*AF20*30.5*24)-BN20)/$Y20</f>
        <v>#REF!</v>
      </c>
      <c r="BH20" s="165"/>
      <c r="BI20" s="166">
        <f>+AP20+AQ20+AR20</f>
        <v>5616.666666666667</v>
      </c>
      <c r="BJ20" s="166" t="e">
        <f>+BI20-BK20</f>
        <v>#REF!</v>
      </c>
      <c r="BK20" s="166" t="e">
        <f>IF(H20="Bundled",MIN(Y20*#REF!*(1+#REF!),BI20),AR20)</f>
        <v>#REF!</v>
      </c>
      <c r="BL20" s="167" t="e">
        <f>IF($AG20&gt;0,$AG20*#REF!*#REF!*(1+#REF!*(20/#REF!)/732),#REF!*Z20)</f>
        <v>#REF!</v>
      </c>
      <c r="BM20" s="167" t="e">
        <f>IF($AG20&gt;0,$AG20*#REF!*#REF!*(1+#REF!*(20/#REF!)/732),+#REF!*(Z20+X20))</f>
        <v>#REF!</v>
      </c>
      <c r="BN20" s="167" t="e">
        <f>IF(H20="Bundled",#REF!*Y20,#REF!*Y20*0.85)</f>
        <v>#REF!</v>
      </c>
      <c r="BO20" s="167" t="e">
        <f>+BE20*Y20</f>
        <v>#REF!</v>
      </c>
      <c r="BP20" s="167" t="e">
        <f>+#REF!*Y20</f>
        <v>#REF!</v>
      </c>
      <c r="BQ20" s="167" t="e">
        <f>+BJ20-BP20</f>
        <v>#REF!</v>
      </c>
      <c r="BR20" s="167" t="e">
        <f>+BK20-BL20</f>
        <v>#REF!</v>
      </c>
      <c r="BS20" s="167" t="e">
        <f>+BQ20+BR20</f>
        <v>#REF!</v>
      </c>
      <c r="BT20" s="167" t="e">
        <f t="shared" si="24"/>
        <v>#REF!</v>
      </c>
      <c r="BU20" s="167" t="e">
        <f>+BE20</f>
        <v>#REF!</v>
      </c>
      <c r="BV20" s="167" t="e">
        <f>IF(H20="Bundled",BN20-BL20,AR20-BL20)</f>
        <v>#REF!</v>
      </c>
      <c r="BW20" s="167" t="e">
        <f>IF(H20="Bundled",+(BG20-#REF!)*Y20,(AP20+AQ20)-Y20*#REF!)</f>
        <v>#REF!</v>
      </c>
      <c r="BX20" s="167" t="e">
        <f>+BV20+BW20</f>
        <v>#REF!</v>
      </c>
      <c r="BY20" s="167" t="e">
        <f t="shared" ref="BY20:CA21" si="41">+BV20/$BT20</f>
        <v>#REF!</v>
      </c>
      <c r="BZ20" s="167" t="e">
        <f t="shared" si="41"/>
        <v>#REF!</v>
      </c>
      <c r="CA20" s="167" t="e">
        <f t="shared" si="41"/>
        <v>#REF!</v>
      </c>
    </row>
    <row r="21" spans="1:79" s="16" customFormat="1">
      <c r="A21" s="313" t="s">
        <v>47</v>
      </c>
      <c r="B21" s="362" t="s">
        <v>272</v>
      </c>
      <c r="C21" s="196" t="s">
        <v>273</v>
      </c>
      <c r="D21" s="196" t="s">
        <v>239</v>
      </c>
      <c r="E21" s="196"/>
      <c r="F21" s="196"/>
      <c r="G21" s="145" t="s">
        <v>130</v>
      </c>
      <c r="H21" s="146" t="s">
        <v>131</v>
      </c>
      <c r="I21" s="145" t="s">
        <v>144</v>
      </c>
      <c r="J21" s="145" t="s">
        <v>133</v>
      </c>
      <c r="K21" s="147" t="str">
        <f t="shared" si="36"/>
        <v>U Space</v>
      </c>
      <c r="L21" s="145">
        <v>4</v>
      </c>
      <c r="M21" s="145">
        <v>4</v>
      </c>
      <c r="N21" s="148">
        <f>L21-M21</f>
        <v>0</v>
      </c>
      <c r="O21" s="145">
        <v>4</v>
      </c>
      <c r="P21" s="363"/>
      <c r="Q21" s="336">
        <f>(154000/4)/12</f>
        <v>3208.3333333333335</v>
      </c>
      <c r="R21" s="150" t="str">
        <f t="shared" si="34"/>
        <v>Rated</v>
      </c>
      <c r="S21" s="321" t="s">
        <v>134</v>
      </c>
      <c r="T21" s="146">
        <v>1</v>
      </c>
      <c r="U21" s="151">
        <v>0.69</v>
      </c>
      <c r="V21" s="232">
        <f t="shared" si="37"/>
        <v>0.31000000000000005</v>
      </c>
      <c r="W21" s="146"/>
      <c r="X21" s="146" t="e">
        <f>IF(V21&lt;=0,0,(IF(R21="Rated",(V21+W21)*#REF!,(V21+W21))))</f>
        <v>#REF!</v>
      </c>
      <c r="Y21" s="146" t="e">
        <f>IF(R21="Rated",T21*#REF!,T21)</f>
        <v>#REF!</v>
      </c>
      <c r="Z21" s="361">
        <v>0.89</v>
      </c>
      <c r="AA21" s="146">
        <f t="shared" si="38"/>
        <v>0</v>
      </c>
      <c r="AB21" s="152">
        <v>0</v>
      </c>
      <c r="AC21" s="153" t="str">
        <f t="shared" si="39"/>
        <v>Bundled</v>
      </c>
      <c r="AD21" s="146"/>
      <c r="AE21" s="146"/>
      <c r="AF21" s="154"/>
      <c r="AG21" s="146"/>
      <c r="AH21" s="155"/>
      <c r="AI21" s="156" t="str">
        <f>IF(AH21="No of Seats","No of Seats",(IF(AH21="Space","Sq Ft","")))</f>
        <v/>
      </c>
      <c r="AJ21" s="146"/>
      <c r="AK21" s="146"/>
      <c r="AL21" s="146">
        <f>AJ21-AK21</f>
        <v>0</v>
      </c>
      <c r="AM21" s="146"/>
      <c r="AN21" s="146"/>
      <c r="AO21" s="149"/>
      <c r="AP21" s="157">
        <f>Q21*O21</f>
        <v>12833.333333333334</v>
      </c>
      <c r="AQ21" s="157">
        <f>AB21*AA21</f>
        <v>0</v>
      </c>
      <c r="AR21" s="158">
        <f>AG21*AF21*AD21</f>
        <v>0</v>
      </c>
      <c r="AS21" s="157">
        <f>AO21*AM21</f>
        <v>0</v>
      </c>
      <c r="AT21" s="159">
        <f>100000/12</f>
        <v>8333.3333333333339</v>
      </c>
      <c r="AU21" s="160">
        <f>SUBTOTAL(9,AP21:AT21)</f>
        <v>21166.666666666668</v>
      </c>
      <c r="AV21" s="160"/>
      <c r="AW21" s="322"/>
      <c r="AX21" s="318"/>
      <c r="AY21" s="319"/>
      <c r="AZ21" s="318"/>
      <c r="BA21" s="320"/>
      <c r="BC21" s="165">
        <f>IF(I21="Rack",AU21/L21,0)+IF(I21="U Space",AU21*40/L21,0)+IF(I21="Space",AU21*30/L21,0)</f>
        <v>211666.66666666669</v>
      </c>
      <c r="BD21" s="165" t="e">
        <f>+AU21/Y21</f>
        <v>#REF!</v>
      </c>
      <c r="BE21" s="165" t="e">
        <f>+($AP21+$AQ21+$AR21-BL21)/$Y21</f>
        <v>#REF!</v>
      </c>
      <c r="BF21" s="165" t="e">
        <f>+($AP21+$AQ21+$AR21-BM21)/$Y21</f>
        <v>#REF!</v>
      </c>
      <c r="BG21" s="165" t="e">
        <f>+($AP21+$AQ21+IF(H21="Bundled",0,Y21*0.85*AD21*AF21*30.5*24)-BN21)/$Y21</f>
        <v>#REF!</v>
      </c>
      <c r="BH21" s="165"/>
      <c r="BI21" s="166">
        <f>+AP21+AQ21+AR21</f>
        <v>12833.333333333334</v>
      </c>
      <c r="BJ21" s="166" t="e">
        <f>+BI21-BK21</f>
        <v>#REF!</v>
      </c>
      <c r="BK21" s="166" t="e">
        <f>IF(H21="Bundled",MIN(Y21*#REF!*(1+#REF!),BI21),AR21)</f>
        <v>#REF!</v>
      </c>
      <c r="BL21" s="167" t="e">
        <f>IF($AG21&gt;0,$AG21*#REF!*#REF!*(1+#REF!*(20/#REF!)/732),#REF!*Z21)</f>
        <v>#REF!</v>
      </c>
      <c r="BM21" s="167" t="e">
        <f>IF($AG21&gt;0,$AG21*#REF!*#REF!*(1+#REF!*(20/#REF!)/732),+#REF!*(Z21+X21))</f>
        <v>#REF!</v>
      </c>
      <c r="BN21" s="167" t="e">
        <f>IF(H21="Bundled",#REF!*Y21,#REF!*Y21*0.85)</f>
        <v>#REF!</v>
      </c>
      <c r="BO21" s="167" t="e">
        <f>+BE21*Y21</f>
        <v>#REF!</v>
      </c>
      <c r="BP21" s="167" t="e">
        <f>+#REF!*Y21</f>
        <v>#REF!</v>
      </c>
      <c r="BQ21" s="167" t="e">
        <f>+BJ21-BP21</f>
        <v>#REF!</v>
      </c>
      <c r="BR21" s="167" t="e">
        <f>+BK21-BL21</f>
        <v>#REF!</v>
      </c>
      <c r="BS21" s="167" t="e">
        <f>+BQ21+BR21</f>
        <v>#REF!</v>
      </c>
      <c r="BT21" s="167" t="e">
        <f t="shared" si="24"/>
        <v>#REF!</v>
      </c>
      <c r="BU21" s="167" t="e">
        <f>+BE21</f>
        <v>#REF!</v>
      </c>
      <c r="BV21" s="167" t="e">
        <f>IF(H21="Bundled",BN21-BL21,AR21-BL21)</f>
        <v>#REF!</v>
      </c>
      <c r="BW21" s="167" t="e">
        <f>IF(H21="Bundled",+(BG21-#REF!)*Y21,(AP21+AQ21)-Y21*#REF!)</f>
        <v>#REF!</v>
      </c>
      <c r="BX21" s="167" t="e">
        <f>+BV21+BW21</f>
        <v>#REF!</v>
      </c>
      <c r="BY21" s="167" t="e">
        <f t="shared" si="41"/>
        <v>#REF!</v>
      </c>
      <c r="BZ21" s="167" t="e">
        <f t="shared" si="41"/>
        <v>#REF!</v>
      </c>
      <c r="CA21" s="167" t="e">
        <f t="shared" si="41"/>
        <v>#REF!</v>
      </c>
    </row>
    <row r="22" spans="1:79" s="16" customFormat="1" ht="26.1">
      <c r="A22" s="313" t="s">
        <v>47</v>
      </c>
      <c r="B22" s="362"/>
      <c r="C22" s="200" t="s">
        <v>274</v>
      </c>
      <c r="D22" s="200" t="s">
        <v>235</v>
      </c>
      <c r="E22" s="200"/>
      <c r="F22" s="200"/>
      <c r="G22" s="145" t="s">
        <v>130</v>
      </c>
      <c r="H22" s="146" t="s">
        <v>131</v>
      </c>
      <c r="I22" s="145" t="s">
        <v>144</v>
      </c>
      <c r="J22" s="145" t="s">
        <v>133</v>
      </c>
      <c r="K22" s="147" t="str">
        <f t="shared" si="36"/>
        <v>U Space</v>
      </c>
      <c r="L22" s="145">
        <v>4</v>
      </c>
      <c r="M22" s="145">
        <v>4</v>
      </c>
      <c r="N22" s="148">
        <v>0</v>
      </c>
      <c r="O22" s="145">
        <v>4</v>
      </c>
      <c r="P22" s="363"/>
      <c r="Q22" s="336"/>
      <c r="R22" s="150" t="s">
        <v>130</v>
      </c>
      <c r="S22" s="321" t="s">
        <v>134</v>
      </c>
      <c r="T22" s="146">
        <v>1</v>
      </c>
      <c r="U22" s="151">
        <v>0.33</v>
      </c>
      <c r="V22" s="232">
        <f t="shared" si="37"/>
        <v>0.66999999999999993</v>
      </c>
      <c r="W22" s="146"/>
      <c r="X22" s="146" t="e">
        <f>IF(V22&lt;=0,0,(IF(R22="Rated",(V22+W22)*#REF!,(V22+W22))))</f>
        <v>#REF!</v>
      </c>
      <c r="Y22" s="146" t="e">
        <f>IF(R22="Rated",T22*#REF!,T22)</f>
        <v>#REF!</v>
      </c>
      <c r="Z22" s="361"/>
      <c r="AA22" s="146">
        <f t="shared" si="38"/>
        <v>0</v>
      </c>
      <c r="AB22" s="152"/>
      <c r="AC22" s="153" t="str">
        <f t="shared" si="39"/>
        <v>Bundled</v>
      </c>
      <c r="AD22" s="146"/>
      <c r="AE22" s="146"/>
      <c r="AF22" s="154"/>
      <c r="AG22" s="146"/>
      <c r="AH22" s="155"/>
      <c r="AI22" s="156"/>
      <c r="AJ22" s="146"/>
      <c r="AK22" s="146"/>
      <c r="AL22" s="146"/>
      <c r="AM22" s="146"/>
      <c r="AN22" s="146"/>
      <c r="AO22" s="149"/>
      <c r="AP22" s="157"/>
      <c r="AQ22" s="157"/>
      <c r="AR22" s="158"/>
      <c r="AS22" s="157"/>
      <c r="AT22" s="159"/>
      <c r="AU22" s="160"/>
      <c r="AV22" s="160"/>
      <c r="AW22" s="322"/>
      <c r="AX22" s="318"/>
      <c r="AY22" s="319"/>
      <c r="AZ22" s="318"/>
      <c r="BA22" s="320"/>
      <c r="BC22" s="165"/>
      <c r="BD22" s="165"/>
      <c r="BE22" s="165"/>
      <c r="BF22" s="165"/>
      <c r="BG22" s="165"/>
      <c r="BH22" s="165"/>
      <c r="BI22" s="166"/>
      <c r="BJ22" s="166"/>
      <c r="BK22" s="166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  <c r="CA22" s="167"/>
    </row>
    <row r="23" spans="1:79" s="16" customFormat="1">
      <c r="A23" s="313" t="s">
        <v>47</v>
      </c>
      <c r="B23" s="362"/>
      <c r="C23" s="343" t="s">
        <v>275</v>
      </c>
      <c r="D23" s="168" t="s">
        <v>239</v>
      </c>
      <c r="E23" s="168"/>
      <c r="F23" s="168"/>
      <c r="G23" s="145" t="s">
        <v>130</v>
      </c>
      <c r="H23" s="146" t="s">
        <v>131</v>
      </c>
      <c r="I23" s="145" t="s">
        <v>144</v>
      </c>
      <c r="J23" s="145" t="s">
        <v>133</v>
      </c>
      <c r="K23" s="147" t="str">
        <f t="shared" si="36"/>
        <v>U Space</v>
      </c>
      <c r="L23" s="145">
        <v>10</v>
      </c>
      <c r="M23" s="145">
        <v>10</v>
      </c>
      <c r="N23" s="148">
        <v>0</v>
      </c>
      <c r="O23" s="145">
        <v>10</v>
      </c>
      <c r="P23" s="145"/>
      <c r="Q23" s="149"/>
      <c r="R23" s="150" t="str">
        <f>G23</f>
        <v>Rated</v>
      </c>
      <c r="S23" s="321" t="s">
        <v>134</v>
      </c>
      <c r="T23" s="146">
        <v>1.3</v>
      </c>
      <c r="U23" s="151">
        <v>1.26</v>
      </c>
      <c r="V23" s="232">
        <f t="shared" si="37"/>
        <v>4.0000000000000036E-2</v>
      </c>
      <c r="W23" s="146"/>
      <c r="X23" s="146" t="e">
        <f>IF(V23&lt;=0,0,(IF(R23="Rated",(V23+W23)*#REF!,(V23+W23))))</f>
        <v>#REF!</v>
      </c>
      <c r="Y23" s="146" t="e">
        <f>IF(R23="Rated",T23*#REF!,T23)</f>
        <v>#REF!</v>
      </c>
      <c r="Z23" s="361"/>
      <c r="AA23" s="146">
        <f t="shared" si="38"/>
        <v>0</v>
      </c>
      <c r="AB23" s="152"/>
      <c r="AC23" s="153" t="str">
        <f t="shared" si="39"/>
        <v>Bundled</v>
      </c>
      <c r="AD23" s="146"/>
      <c r="AE23" s="146"/>
      <c r="AF23" s="154"/>
      <c r="AG23" s="146"/>
      <c r="AH23" s="155"/>
      <c r="AI23" s="156" t="str">
        <f>IF(AH23="No of Seats","No of Seats",(IF(AH23="Space","Sq Ft","")))</f>
        <v/>
      </c>
      <c r="AJ23" s="146"/>
      <c r="AK23" s="146"/>
      <c r="AL23" s="146">
        <f>AJ23-AK23</f>
        <v>0</v>
      </c>
      <c r="AM23" s="146"/>
      <c r="AN23" s="146"/>
      <c r="AO23" s="149"/>
      <c r="AP23" s="157">
        <f>Q23*O23</f>
        <v>0</v>
      </c>
      <c r="AQ23" s="157">
        <f>AB23*AA23</f>
        <v>0</v>
      </c>
      <c r="AR23" s="158">
        <f>AG23*AF23*AD23</f>
        <v>0</v>
      </c>
      <c r="AS23" s="157">
        <f>AO23*AM23</f>
        <v>0</v>
      </c>
      <c r="AT23" s="159"/>
      <c r="AU23" s="160">
        <f>SUBTOTAL(9,AP23:AT23)</f>
        <v>0</v>
      </c>
      <c r="AV23" s="160"/>
      <c r="AW23" s="315"/>
      <c r="AX23" s="235"/>
      <c r="AY23" s="236"/>
      <c r="AZ23" s="235"/>
      <c r="BA23" s="316"/>
      <c r="BC23" s="165">
        <f>IF(I23="Rack",AU23/L23,0)+IF(I23="U Space",AU23*40/L23,0)+IF(I23="Space",AU23*30/L23,0)</f>
        <v>0</v>
      </c>
      <c r="BD23" s="165" t="e">
        <f>+AU23/Y23</f>
        <v>#REF!</v>
      </c>
      <c r="BE23" s="165" t="e">
        <f>+($AP23+$AQ23+$AR23-BL23)/$Y23</f>
        <v>#REF!</v>
      </c>
      <c r="BF23" s="165" t="e">
        <f>+($AP23+$AQ23+$AR23-BM23)/$Y23</f>
        <v>#REF!</v>
      </c>
      <c r="BG23" s="165" t="e">
        <f>+($AP23+$AQ23+IF(H23="Bundled",0,Y23*0.85*AD23*AF23*30.5*24)-BN23)/$Y23</f>
        <v>#REF!</v>
      </c>
      <c r="BH23" s="165"/>
      <c r="BI23" s="166">
        <f>+AP23+AQ23+AR23</f>
        <v>0</v>
      </c>
      <c r="BJ23" s="166" t="e">
        <f>+BI23-BK23</f>
        <v>#REF!</v>
      </c>
      <c r="BK23" s="166" t="e">
        <f>IF(H23="Bundled",MIN(Y23*#REF!*(1+#REF!),BI23),AR23)</f>
        <v>#REF!</v>
      </c>
      <c r="BL23" s="167" t="e">
        <f>IF($AG23&gt;0,$AG23*#REF!*#REF!*(1+#REF!*(20/#REF!)/732),#REF!*Z23)</f>
        <v>#REF!</v>
      </c>
      <c r="BM23" s="167" t="e">
        <f>IF($AG23&gt;0,$AG23*#REF!*#REF!*(1+#REF!*(20/#REF!)/732),+#REF!*(Z23+X23))</f>
        <v>#REF!</v>
      </c>
      <c r="BN23" s="167" t="e">
        <f>IF(H23="Bundled",#REF!*Y23,#REF!*Y23*0.85)</f>
        <v>#REF!</v>
      </c>
      <c r="BO23" s="167" t="e">
        <f>+BE23*Y23</f>
        <v>#REF!</v>
      </c>
      <c r="BP23" s="167" t="e">
        <f>+#REF!*Y23</f>
        <v>#REF!</v>
      </c>
      <c r="BQ23" s="167" t="e">
        <f>+BJ23-BP23</f>
        <v>#REF!</v>
      </c>
      <c r="BR23" s="167" t="e">
        <f>+BK23-BL23</f>
        <v>#REF!</v>
      </c>
      <c r="BS23" s="167" t="e">
        <f>+BQ23+BR23</f>
        <v>#REF!</v>
      </c>
      <c r="BT23" s="167" t="e">
        <f>+Y23</f>
        <v>#REF!</v>
      </c>
      <c r="BU23" s="167" t="e">
        <f>+BE23</f>
        <v>#REF!</v>
      </c>
      <c r="BV23" s="167" t="e">
        <f>IF(H23="Bundled",BN23-BL23,AR23-BL23)</f>
        <v>#REF!</v>
      </c>
      <c r="BW23" s="167" t="e">
        <f>IF(H23="Bundled",+(BG23-#REF!)*Y23,(AP23+AQ23)-Y23*#REF!)</f>
        <v>#REF!</v>
      </c>
      <c r="BX23" s="167" t="e">
        <f>+BV23+BW23</f>
        <v>#REF!</v>
      </c>
      <c r="BY23" s="167" t="e">
        <f>+BV23/$BT23</f>
        <v>#REF!</v>
      </c>
      <c r="BZ23" s="167" t="e">
        <f>+BW23/$BT23</f>
        <v>#REF!</v>
      </c>
      <c r="CA23" s="167" t="e">
        <f>+BX23/$BT23</f>
        <v>#REF!</v>
      </c>
    </row>
    <row r="24" spans="1:79" s="16" customFormat="1">
      <c r="A24" s="313" t="s">
        <v>47</v>
      </c>
      <c r="B24" s="362"/>
      <c r="C24" s="343" t="s">
        <v>276</v>
      </c>
      <c r="D24" s="168" t="s">
        <v>235</v>
      </c>
      <c r="E24" s="168"/>
      <c r="F24" s="168"/>
      <c r="G24" s="145" t="s">
        <v>130</v>
      </c>
      <c r="H24" s="146" t="s">
        <v>131</v>
      </c>
      <c r="I24" s="145" t="s">
        <v>144</v>
      </c>
      <c r="J24" s="145" t="s">
        <v>133</v>
      </c>
      <c r="K24" s="147" t="str">
        <f t="shared" si="36"/>
        <v>U Space</v>
      </c>
      <c r="L24" s="145">
        <v>1</v>
      </c>
      <c r="M24" s="145">
        <v>1</v>
      </c>
      <c r="N24" s="148">
        <v>0</v>
      </c>
      <c r="O24" s="145">
        <v>1</v>
      </c>
      <c r="P24" s="145"/>
      <c r="Q24" s="149"/>
      <c r="R24" s="150" t="s">
        <v>130</v>
      </c>
      <c r="S24" s="321" t="s">
        <v>134</v>
      </c>
      <c r="T24" s="146">
        <v>0.25</v>
      </c>
      <c r="U24" s="151">
        <v>0.27</v>
      </c>
      <c r="V24" s="232">
        <f t="shared" si="37"/>
        <v>-2.0000000000000018E-2</v>
      </c>
      <c r="W24" s="146"/>
      <c r="X24" s="146">
        <f>IF(V24&lt;=0,0,(IF(R24="Rated",(V24+W24)*#REF!,(V24+W24))))</f>
        <v>0</v>
      </c>
      <c r="Y24" s="146" t="e">
        <f>IF(R24="Rated",T24*#REF!,T24)</f>
        <v>#REF!</v>
      </c>
      <c r="Z24" s="361"/>
      <c r="AA24" s="146">
        <f t="shared" si="38"/>
        <v>2.0000000000000018E-2</v>
      </c>
      <c r="AB24" s="152"/>
      <c r="AC24" s="153" t="str">
        <f t="shared" si="39"/>
        <v>Bundled</v>
      </c>
      <c r="AD24" s="146"/>
      <c r="AE24" s="146"/>
      <c r="AF24" s="154"/>
      <c r="AG24" s="146"/>
      <c r="AH24" s="155"/>
      <c r="AI24" s="156"/>
      <c r="AJ24" s="146"/>
      <c r="AK24" s="146"/>
      <c r="AL24" s="146"/>
      <c r="AM24" s="146"/>
      <c r="AN24" s="146"/>
      <c r="AO24" s="149"/>
      <c r="AP24" s="157"/>
      <c r="AQ24" s="157"/>
      <c r="AR24" s="158"/>
      <c r="AS24" s="157"/>
      <c r="AT24" s="159"/>
      <c r="AU24" s="160"/>
      <c r="AV24" s="160"/>
      <c r="AW24" s="315"/>
      <c r="AX24" s="235"/>
      <c r="AY24" s="236"/>
      <c r="AZ24" s="235"/>
      <c r="BA24" s="316"/>
      <c r="BC24" s="165"/>
      <c r="BD24" s="165"/>
      <c r="BE24" s="165"/>
      <c r="BF24" s="165"/>
      <c r="BG24" s="165"/>
      <c r="BH24" s="165"/>
      <c r="BI24" s="166"/>
      <c r="BJ24" s="166"/>
      <c r="BK24" s="166"/>
      <c r="BL24" s="167"/>
      <c r="BM24" s="167"/>
      <c r="BN24" s="167"/>
      <c r="BO24" s="167"/>
      <c r="BP24" s="167"/>
      <c r="BQ24" s="167"/>
      <c r="BR24" s="167"/>
      <c r="BS24" s="167"/>
      <c r="BT24" s="167"/>
      <c r="BU24" s="167"/>
      <c r="BV24" s="167"/>
      <c r="BW24" s="167"/>
      <c r="BX24" s="167"/>
      <c r="BY24" s="167"/>
      <c r="BZ24" s="167"/>
      <c r="CA24" s="167"/>
    </row>
    <row r="25" spans="1:79" s="16" customFormat="1">
      <c r="A25" s="142" t="s">
        <v>47</v>
      </c>
      <c r="B25" s="362"/>
      <c r="C25" s="144" t="s">
        <v>277</v>
      </c>
      <c r="D25" s="144" t="s">
        <v>235</v>
      </c>
      <c r="E25" s="144"/>
      <c r="F25" s="144"/>
      <c r="G25" s="145" t="s">
        <v>130</v>
      </c>
      <c r="H25" s="146" t="s">
        <v>131</v>
      </c>
      <c r="I25" s="145" t="s">
        <v>144</v>
      </c>
      <c r="J25" s="145" t="s">
        <v>133</v>
      </c>
      <c r="K25" s="147" t="str">
        <f t="shared" si="36"/>
        <v>U Space</v>
      </c>
      <c r="L25" s="145">
        <v>1</v>
      </c>
      <c r="M25" s="145">
        <v>1</v>
      </c>
      <c r="N25" s="148">
        <f t="shared" ref="N25:N31" si="42">L25-M25</f>
        <v>0</v>
      </c>
      <c r="O25" s="145">
        <v>1</v>
      </c>
      <c r="P25" s="145"/>
      <c r="Q25" s="149">
        <f>30000/12</f>
        <v>2500</v>
      </c>
      <c r="R25" s="150" t="str">
        <f>G25</f>
        <v>Rated</v>
      </c>
      <c r="S25" s="321" t="s">
        <v>134</v>
      </c>
      <c r="T25" s="146">
        <v>0.25</v>
      </c>
      <c r="U25" s="151">
        <v>7.0000000000000007E-2</v>
      </c>
      <c r="V25" s="232">
        <f t="shared" si="37"/>
        <v>0.18</v>
      </c>
      <c r="W25" s="146"/>
      <c r="X25" s="146" t="e">
        <f>IF(V25&lt;=0,0,(IF(R25="Rated",(V25+W25)*#REF!,(V25+W25))))</f>
        <v>#REF!</v>
      </c>
      <c r="Y25" s="146" t="e">
        <f>IF(R25="Rated",T25*#REF!,T25)</f>
        <v>#REF!</v>
      </c>
      <c r="Z25" s="361"/>
      <c r="AA25" s="146">
        <f t="shared" si="38"/>
        <v>0</v>
      </c>
      <c r="AB25" s="152">
        <f>100000/12</f>
        <v>8333.3333333333339</v>
      </c>
      <c r="AC25" s="153" t="str">
        <f t="shared" si="39"/>
        <v>Bundled</v>
      </c>
      <c r="AD25" s="146"/>
      <c r="AE25" s="146"/>
      <c r="AF25" s="154"/>
      <c r="AG25" s="146"/>
      <c r="AH25" s="155"/>
      <c r="AI25" s="156" t="str">
        <f>IF(AH25="No of Seats","No of Seats",(IF(AH25="Space","Sq Ft","")))</f>
        <v/>
      </c>
      <c r="AJ25" s="146"/>
      <c r="AK25" s="146"/>
      <c r="AL25" s="146">
        <f>AJ25-AK25</f>
        <v>0</v>
      </c>
      <c r="AM25" s="146"/>
      <c r="AN25" s="146"/>
      <c r="AO25" s="149"/>
      <c r="AP25" s="157">
        <f>Q25*O25</f>
        <v>2500</v>
      </c>
      <c r="AQ25" s="157">
        <f>AB25*AA25</f>
        <v>0</v>
      </c>
      <c r="AR25" s="158">
        <f>AG25*AF25*AD25</f>
        <v>0</v>
      </c>
      <c r="AS25" s="157">
        <f>AO25*AM25</f>
        <v>0</v>
      </c>
      <c r="AT25" s="159">
        <f>10000/12</f>
        <v>833.33333333333337</v>
      </c>
      <c r="AU25" s="160">
        <f>SUBTOTAL(9,AP25:AT25)</f>
        <v>3333.3333333333335</v>
      </c>
      <c r="AV25" s="160"/>
      <c r="AW25" s="161">
        <v>721006234</v>
      </c>
      <c r="AX25" s="162"/>
      <c r="AY25" s="163"/>
      <c r="AZ25" s="162"/>
      <c r="BA25" s="164"/>
      <c r="BC25" s="165">
        <f>IF(I25="Rack",AU25/L25,0)+IF(I25="U Space",AU25*40/L25,0)+IF(I25="Space",AU25*30/L25,0)</f>
        <v>133333.33333333334</v>
      </c>
      <c r="BD25" s="165" t="e">
        <f>+AU25/Y25</f>
        <v>#REF!</v>
      </c>
      <c r="BE25" s="165" t="e">
        <f t="shared" ref="BE25:BF29" si="43">+($AP25+$AQ25+$AR25-BL25)/$Y25</f>
        <v>#REF!</v>
      </c>
      <c r="BF25" s="165" t="e">
        <f t="shared" si="43"/>
        <v>#REF!</v>
      </c>
      <c r="BG25" s="165" t="e">
        <f>+($AP25+$AQ25+IF(H25="Bundled",0,Y25*0.85*AD25*AF25*30.5*24)-BN25)/$Y25</f>
        <v>#REF!</v>
      </c>
      <c r="BH25" s="165"/>
      <c r="BI25" s="166">
        <f>+AP25+AQ25+AR25</f>
        <v>2500</v>
      </c>
      <c r="BJ25" s="166" t="e">
        <f>+BI25-BK25</f>
        <v>#REF!</v>
      </c>
      <c r="BK25" s="166" t="e">
        <f>IF(H25="Bundled",MIN(Y25*#REF!*(1+#REF!),BI25),AR25)</f>
        <v>#REF!</v>
      </c>
      <c r="BL25" s="167" t="e">
        <f>IF($AG25&gt;0,$AG25*#REF!*#REF!*(1+#REF!*(20/#REF!)/732),#REF!*Z25)</f>
        <v>#REF!</v>
      </c>
      <c r="BM25" s="167" t="e">
        <f>IF($AG25&gt;0,$AG25*#REF!*#REF!*(1+#REF!*(20/#REF!)/732),+#REF!*(Z25+X25))</f>
        <v>#REF!</v>
      </c>
      <c r="BN25" s="167" t="e">
        <f>IF(H25="Bundled",#REF!*Y25,#REF!*Y25*0.85)</f>
        <v>#REF!</v>
      </c>
      <c r="BO25" s="167" t="e">
        <f>+BE25*Y25</f>
        <v>#REF!</v>
      </c>
      <c r="BP25" s="167" t="e">
        <f>+#REF!*Y25</f>
        <v>#REF!</v>
      </c>
      <c r="BQ25" s="167" t="e">
        <f>+BJ25-BP25</f>
        <v>#REF!</v>
      </c>
      <c r="BR25" s="167" t="e">
        <f>+BK25-BL25</f>
        <v>#REF!</v>
      </c>
      <c r="BS25" s="167" t="e">
        <f>+BQ25+BR25</f>
        <v>#REF!</v>
      </c>
      <c r="BT25" s="167" t="e">
        <f>+Y25</f>
        <v>#REF!</v>
      </c>
      <c r="BU25" s="167" t="e">
        <f>+BE25</f>
        <v>#REF!</v>
      </c>
      <c r="BV25" s="167" t="e">
        <f>IF(H25="Bundled",BN25-BL25,AR25-BL25)</f>
        <v>#REF!</v>
      </c>
      <c r="BW25" s="167" t="e">
        <f>IF(H25="Bundled",+(BG25-#REF!)*Y25,(AP25+AQ25)-Y25*#REF!)</f>
        <v>#REF!</v>
      </c>
      <c r="BX25" s="167" t="e">
        <f>+BV25+BW25</f>
        <v>#REF!</v>
      </c>
      <c r="BY25" s="167" t="e">
        <f t="shared" ref="BY25:CA29" si="44">+BV25/$BT25</f>
        <v>#REF!</v>
      </c>
      <c r="BZ25" s="167" t="e">
        <f t="shared" si="44"/>
        <v>#REF!</v>
      </c>
      <c r="CA25" s="167" t="e">
        <f t="shared" si="44"/>
        <v>#REF!</v>
      </c>
    </row>
    <row r="26" spans="1:79" s="16" customFormat="1">
      <c r="A26" s="142" t="s">
        <v>47</v>
      </c>
      <c r="B26" s="362"/>
      <c r="C26" s="168" t="s">
        <v>278</v>
      </c>
      <c r="D26" s="168" t="s">
        <v>239</v>
      </c>
      <c r="E26" s="168"/>
      <c r="F26" s="168"/>
      <c r="G26" s="145" t="s">
        <v>130</v>
      </c>
      <c r="H26" s="146" t="s">
        <v>131</v>
      </c>
      <c r="I26" s="145" t="s">
        <v>144</v>
      </c>
      <c r="J26" s="145" t="s">
        <v>133</v>
      </c>
      <c r="K26" s="147" t="str">
        <f t="shared" si="36"/>
        <v>U Space</v>
      </c>
      <c r="L26" s="145">
        <v>3</v>
      </c>
      <c r="M26" s="145">
        <v>3</v>
      </c>
      <c r="N26" s="148">
        <f t="shared" si="42"/>
        <v>0</v>
      </c>
      <c r="O26" s="145">
        <v>3</v>
      </c>
      <c r="P26" s="145"/>
      <c r="Q26" s="149">
        <f>30000/12</f>
        <v>2500</v>
      </c>
      <c r="R26" s="150" t="str">
        <f>G26</f>
        <v>Rated</v>
      </c>
      <c r="S26" s="321" t="s">
        <v>134</v>
      </c>
      <c r="T26" s="146">
        <v>0.75</v>
      </c>
      <c r="U26" s="151">
        <v>0.28000000000000003</v>
      </c>
      <c r="V26" s="232">
        <f t="shared" si="37"/>
        <v>0.47</v>
      </c>
      <c r="W26" s="146"/>
      <c r="X26" s="146" t="e">
        <f>IF(V26&lt;=0,0,(IF(R26="Rated",(V26+W26)*#REF!,(V26+W26))))</f>
        <v>#REF!</v>
      </c>
      <c r="Y26" s="146" t="e">
        <f>IF(R26="Rated",T26*#REF!,T26)</f>
        <v>#REF!</v>
      </c>
      <c r="Z26" s="361"/>
      <c r="AA26" s="146">
        <f t="shared" si="38"/>
        <v>0</v>
      </c>
      <c r="AB26" s="152">
        <f>90000/12</f>
        <v>7500</v>
      </c>
      <c r="AC26" s="153" t="str">
        <f t="shared" si="39"/>
        <v>Bundled</v>
      </c>
      <c r="AD26" s="146"/>
      <c r="AE26" s="146"/>
      <c r="AF26" s="154"/>
      <c r="AG26" s="146"/>
      <c r="AH26" s="155"/>
      <c r="AI26" s="156" t="str">
        <f>IF(AH26="No of Seats","No of Seats",(IF(AH26="Space","Sq Ft","")))</f>
        <v/>
      </c>
      <c r="AJ26" s="146"/>
      <c r="AK26" s="146"/>
      <c r="AL26" s="146">
        <f>AJ26-AK26</f>
        <v>0</v>
      </c>
      <c r="AM26" s="146"/>
      <c r="AN26" s="146"/>
      <c r="AO26" s="149"/>
      <c r="AP26" s="157">
        <f>Q26*O26</f>
        <v>7500</v>
      </c>
      <c r="AQ26" s="157">
        <f>AB26*AA26</f>
        <v>0</v>
      </c>
      <c r="AR26" s="158">
        <f>AG26*AF26*AD26</f>
        <v>0</v>
      </c>
      <c r="AS26" s="157">
        <f>AO26*AM26</f>
        <v>0</v>
      </c>
      <c r="AT26" s="159">
        <f>0/12</f>
        <v>0</v>
      </c>
      <c r="AU26" s="160">
        <f>SUBTOTAL(9,AP26:AT26)</f>
        <v>7500</v>
      </c>
      <c r="AV26" s="160"/>
      <c r="AW26" s="322"/>
      <c r="AX26" s="318"/>
      <c r="AY26" s="319"/>
      <c r="AZ26" s="318"/>
      <c r="BA26" s="320"/>
      <c r="BC26" s="165">
        <f>IF(I26="Rack",AU26/L26,0)+IF(I26="U Space",AU26*40/L26,0)+IF(I26="Space",AU26*30/L26,0)</f>
        <v>100000</v>
      </c>
      <c r="BD26" s="165" t="e">
        <f>+AU26/Y26</f>
        <v>#REF!</v>
      </c>
      <c r="BE26" s="165" t="e">
        <f t="shared" si="43"/>
        <v>#REF!</v>
      </c>
      <c r="BF26" s="165" t="e">
        <f t="shared" si="43"/>
        <v>#REF!</v>
      </c>
      <c r="BG26" s="165" t="e">
        <f>+($AP26+$AQ26+IF(H26="Bundled",0,Y26*0.85*AD26*AF26*30.5*24)-BN26)/$Y26</f>
        <v>#REF!</v>
      </c>
      <c r="BH26" s="165"/>
      <c r="BI26" s="166">
        <f>+AP26+AQ26+AR26</f>
        <v>7500</v>
      </c>
      <c r="BJ26" s="166" t="e">
        <f>+BI26-BK26</f>
        <v>#REF!</v>
      </c>
      <c r="BK26" s="166" t="e">
        <f>IF(H26="Bundled",MIN(Y26*#REF!*(1+#REF!),BI26),AR26)</f>
        <v>#REF!</v>
      </c>
      <c r="BL26" s="167" t="e">
        <f>IF($AG26&gt;0,$AG26*#REF!*#REF!*(1+#REF!*(20/#REF!)/732),#REF!*Z26)</f>
        <v>#REF!</v>
      </c>
      <c r="BM26" s="167" t="e">
        <f>IF($AG26&gt;0,$AG26*#REF!*#REF!*(1+#REF!*(20/#REF!)/732),+#REF!*(Z26+X26))</f>
        <v>#REF!</v>
      </c>
      <c r="BN26" s="167" t="e">
        <f>IF(H26="Bundled",#REF!*Y26,#REF!*Y26*0.85)</f>
        <v>#REF!</v>
      </c>
      <c r="BO26" s="167" t="e">
        <f>+BE26*Y26</f>
        <v>#REF!</v>
      </c>
      <c r="BP26" s="167" t="e">
        <f>+#REF!*Y26</f>
        <v>#REF!</v>
      </c>
      <c r="BQ26" s="167" t="e">
        <f>+BJ26-BP26</f>
        <v>#REF!</v>
      </c>
      <c r="BR26" s="167" t="e">
        <f>+BK26-BL26</f>
        <v>#REF!</v>
      </c>
      <c r="BS26" s="167" t="e">
        <f>+BQ26+BR26</f>
        <v>#REF!</v>
      </c>
      <c r="BT26" s="167" t="e">
        <f>+Y26</f>
        <v>#REF!</v>
      </c>
      <c r="BU26" s="167" t="e">
        <f>+BE26</f>
        <v>#REF!</v>
      </c>
      <c r="BV26" s="167" t="e">
        <f>IF(H26="Bundled",BN26-BL26,AR26-BL26)</f>
        <v>#REF!</v>
      </c>
      <c r="BW26" s="167" t="e">
        <f>IF(H26="Bundled",+(BG26-#REF!)*Y26,(AP26+AQ26)-Y26*#REF!)</f>
        <v>#REF!</v>
      </c>
      <c r="BX26" s="167" t="e">
        <f>+BV26+BW26</f>
        <v>#REF!</v>
      </c>
      <c r="BY26" s="167" t="e">
        <f t="shared" si="44"/>
        <v>#REF!</v>
      </c>
      <c r="BZ26" s="167" t="e">
        <f t="shared" si="44"/>
        <v>#REF!</v>
      </c>
      <c r="CA26" s="167" t="e">
        <f t="shared" si="44"/>
        <v>#REF!</v>
      </c>
    </row>
    <row r="27" spans="1:79" s="16" customFormat="1">
      <c r="A27" s="142" t="s">
        <v>47</v>
      </c>
      <c r="B27" s="362"/>
      <c r="C27" s="199" t="s">
        <v>279</v>
      </c>
      <c r="D27" s="144" t="s">
        <v>239</v>
      </c>
      <c r="E27" s="144"/>
      <c r="F27" s="144"/>
      <c r="G27" s="145" t="s">
        <v>130</v>
      </c>
      <c r="H27" s="146" t="s">
        <v>131</v>
      </c>
      <c r="I27" s="145" t="s">
        <v>144</v>
      </c>
      <c r="J27" s="145" t="s">
        <v>133</v>
      </c>
      <c r="K27" s="147" t="str">
        <f t="shared" si="36"/>
        <v>U Space</v>
      </c>
      <c r="L27" s="145">
        <v>1</v>
      </c>
      <c r="M27" s="145">
        <v>1</v>
      </c>
      <c r="N27" s="148">
        <f t="shared" si="42"/>
        <v>0</v>
      </c>
      <c r="O27" s="145">
        <v>1</v>
      </c>
      <c r="P27" s="145"/>
      <c r="Q27" s="149">
        <f>34500/12</f>
        <v>2875</v>
      </c>
      <c r="R27" s="150" t="str">
        <f>G27</f>
        <v>Rated</v>
      </c>
      <c r="S27" s="321" t="s">
        <v>134</v>
      </c>
      <c r="T27" s="146">
        <v>0.25</v>
      </c>
      <c r="U27" s="151">
        <v>0.33</v>
      </c>
      <c r="V27" s="232">
        <f t="shared" si="37"/>
        <v>-8.0000000000000016E-2</v>
      </c>
      <c r="W27" s="146"/>
      <c r="X27" s="146">
        <f>IF(V27&lt;=0,0,(IF(R27="Rated",(V27+W27)*#REF!,(V27+W27))))</f>
        <v>0</v>
      </c>
      <c r="Y27" s="146" t="e">
        <f>IF(R27="Rated",T27*#REF!,T27)</f>
        <v>#REF!</v>
      </c>
      <c r="Z27" s="361"/>
      <c r="AA27" s="146">
        <f t="shared" si="38"/>
        <v>8.0000000000000016E-2</v>
      </c>
      <c r="AB27" s="152">
        <f>90000/12</f>
        <v>7500</v>
      </c>
      <c r="AC27" s="153" t="str">
        <f t="shared" si="39"/>
        <v>Bundled</v>
      </c>
      <c r="AD27" s="146"/>
      <c r="AE27" s="146"/>
      <c r="AF27" s="154"/>
      <c r="AG27" s="146"/>
      <c r="AH27" s="155"/>
      <c r="AI27" s="156" t="str">
        <f>IF(AH27="No of Seats","No of Seats",(IF(AH27="Space","Sq Ft","")))</f>
        <v/>
      </c>
      <c r="AJ27" s="146"/>
      <c r="AK27" s="146"/>
      <c r="AL27" s="146">
        <f>AJ27-AK27</f>
        <v>0</v>
      </c>
      <c r="AM27" s="146"/>
      <c r="AN27" s="146"/>
      <c r="AO27" s="149"/>
      <c r="AP27" s="157">
        <f>Q27*O27</f>
        <v>2875</v>
      </c>
      <c r="AQ27" s="157">
        <f>AB27*AA27</f>
        <v>600.00000000000011</v>
      </c>
      <c r="AR27" s="158">
        <f>AG27*AF27*AD27</f>
        <v>0</v>
      </c>
      <c r="AS27" s="157">
        <f>AO27*AM27</f>
        <v>0</v>
      </c>
      <c r="AT27" s="159">
        <f>0/12</f>
        <v>0</v>
      </c>
      <c r="AU27" s="160">
        <f>SUBTOTAL(9,AP27:AT27)</f>
        <v>3475</v>
      </c>
      <c r="AV27" s="160"/>
      <c r="AW27" s="322"/>
      <c r="AX27" s="318"/>
      <c r="AY27" s="319"/>
      <c r="AZ27" s="318"/>
      <c r="BA27" s="320"/>
      <c r="BC27" s="165">
        <f>IF(I27="Rack",AU27/L27,0)+IF(I27="U Space",AU27*40/L27,0)+IF(I27="Space",AU27*30/L27,0)</f>
        <v>139000</v>
      </c>
      <c r="BD27" s="165" t="e">
        <f>+AU27/Y27</f>
        <v>#REF!</v>
      </c>
      <c r="BE27" s="165" t="e">
        <f t="shared" si="43"/>
        <v>#REF!</v>
      </c>
      <c r="BF27" s="165" t="e">
        <f t="shared" si="43"/>
        <v>#REF!</v>
      </c>
      <c r="BG27" s="165" t="e">
        <f>+($AP27+$AQ27+IF(H27="Bundled",0,Y27*0.85*AD27*AF27*30.5*24)-BN27)/$Y27</f>
        <v>#REF!</v>
      </c>
      <c r="BH27" s="165"/>
      <c r="BI27" s="166">
        <f>+AP27+AQ27+AR27</f>
        <v>3475</v>
      </c>
      <c r="BJ27" s="166" t="e">
        <f>+BI27-BK27</f>
        <v>#REF!</v>
      </c>
      <c r="BK27" s="166" t="e">
        <f>IF(H27="Bundled",MIN(Y27*#REF!*(1+#REF!),BI27),AR27)</f>
        <v>#REF!</v>
      </c>
      <c r="BL27" s="167" t="e">
        <f>IF($AG27&gt;0,$AG27*#REF!*#REF!*(1+#REF!*(20/#REF!)/732),#REF!*Z27)</f>
        <v>#REF!</v>
      </c>
      <c r="BM27" s="167" t="e">
        <f>IF($AG27&gt;0,$AG27*#REF!*#REF!*(1+#REF!*(20/#REF!)/732),+#REF!*(Z27+X27))</f>
        <v>#REF!</v>
      </c>
      <c r="BN27" s="167" t="e">
        <f>IF(H27="Bundled",#REF!*Y27,#REF!*Y27*0.85)</f>
        <v>#REF!</v>
      </c>
      <c r="BO27" s="167" t="e">
        <f>+BE27*Y27</f>
        <v>#REF!</v>
      </c>
      <c r="BP27" s="167" t="e">
        <f>+#REF!*Y27</f>
        <v>#REF!</v>
      </c>
      <c r="BQ27" s="167" t="e">
        <f>+BJ27-BP27</f>
        <v>#REF!</v>
      </c>
      <c r="BR27" s="167" t="e">
        <f>+BK27-BL27</f>
        <v>#REF!</v>
      </c>
      <c r="BS27" s="167" t="e">
        <f>+BQ27+BR27</f>
        <v>#REF!</v>
      </c>
      <c r="BT27" s="167" t="e">
        <f>+Y27</f>
        <v>#REF!</v>
      </c>
      <c r="BU27" s="167" t="e">
        <f>+BE27</f>
        <v>#REF!</v>
      </c>
      <c r="BV27" s="167" t="e">
        <f>IF(H27="Bundled",BN27-BL27,AR27-BL27)</f>
        <v>#REF!</v>
      </c>
      <c r="BW27" s="167" t="e">
        <f>IF(H27="Bundled",+(BG27-#REF!)*Y27,(AP27+AQ27)-Y27*#REF!)</f>
        <v>#REF!</v>
      </c>
      <c r="BX27" s="167" t="e">
        <f>+BV27+BW27</f>
        <v>#REF!</v>
      </c>
      <c r="BY27" s="167" t="e">
        <f t="shared" si="44"/>
        <v>#REF!</v>
      </c>
      <c r="BZ27" s="167" t="e">
        <f t="shared" si="44"/>
        <v>#REF!</v>
      </c>
      <c r="CA27" s="167" t="e">
        <f t="shared" si="44"/>
        <v>#REF!</v>
      </c>
    </row>
    <row r="28" spans="1:79" s="16" customFormat="1">
      <c r="A28" s="142" t="s">
        <v>47</v>
      </c>
      <c r="B28" s="362" t="s">
        <v>280</v>
      </c>
      <c r="C28" s="144" t="s">
        <v>281</v>
      </c>
      <c r="D28" s="144" t="s">
        <v>235</v>
      </c>
      <c r="E28" s="144"/>
      <c r="F28" s="144"/>
      <c r="G28" s="145" t="s">
        <v>130</v>
      </c>
      <c r="H28" s="146" t="s">
        <v>131</v>
      </c>
      <c r="I28" s="145" t="s">
        <v>144</v>
      </c>
      <c r="J28" s="145" t="s">
        <v>133</v>
      </c>
      <c r="K28" s="147" t="str">
        <f t="shared" si="36"/>
        <v>U Space</v>
      </c>
      <c r="L28" s="145">
        <v>4</v>
      </c>
      <c r="M28" s="145">
        <v>4</v>
      </c>
      <c r="N28" s="148">
        <f t="shared" si="42"/>
        <v>0</v>
      </c>
      <c r="O28" s="145">
        <v>4</v>
      </c>
      <c r="P28" s="145"/>
      <c r="Q28" s="149">
        <f>(140000/4)/12</f>
        <v>2916.6666666666665</v>
      </c>
      <c r="R28" s="150" t="str">
        <f>G28</f>
        <v>Rated</v>
      </c>
      <c r="S28" s="321" t="s">
        <v>134</v>
      </c>
      <c r="T28" s="146">
        <v>1</v>
      </c>
      <c r="U28" s="151">
        <v>0.26</v>
      </c>
      <c r="V28" s="232">
        <f t="shared" si="37"/>
        <v>0.74</v>
      </c>
      <c r="W28" s="146"/>
      <c r="X28" s="146" t="e">
        <f>IF(V28&lt;=0,0,(IF(R28="Rated",(V28+W28)*#REF!,(V28+W28))))</f>
        <v>#REF!</v>
      </c>
      <c r="Y28" s="146" t="e">
        <f>IF(R28="Rated",T28*#REF!,T28)</f>
        <v>#REF!</v>
      </c>
      <c r="Z28" s="361">
        <v>0.68</v>
      </c>
      <c r="AA28" s="146">
        <f t="shared" si="38"/>
        <v>0</v>
      </c>
      <c r="AB28" s="152">
        <f>90000/12</f>
        <v>7500</v>
      </c>
      <c r="AC28" s="153" t="str">
        <f t="shared" si="39"/>
        <v>Bundled</v>
      </c>
      <c r="AD28" s="146"/>
      <c r="AE28" s="146"/>
      <c r="AF28" s="154"/>
      <c r="AG28" s="146"/>
      <c r="AH28" s="155"/>
      <c r="AI28" s="156" t="str">
        <f>IF(AH28="No of Seats","No of Seats",(IF(AH28="Space","Sq Ft","")))</f>
        <v/>
      </c>
      <c r="AJ28" s="146"/>
      <c r="AK28" s="146"/>
      <c r="AL28" s="146">
        <f>AJ28-AK28</f>
        <v>0</v>
      </c>
      <c r="AM28" s="146"/>
      <c r="AN28" s="146"/>
      <c r="AO28" s="149"/>
      <c r="AP28" s="157">
        <f>Q28*O28</f>
        <v>11666.666666666666</v>
      </c>
      <c r="AQ28" s="157">
        <f>AB28*AA28</f>
        <v>0</v>
      </c>
      <c r="AR28" s="158">
        <f>AG28*AF28*AD28</f>
        <v>0</v>
      </c>
      <c r="AS28" s="157">
        <f>AO28*AM28</f>
        <v>0</v>
      </c>
      <c r="AT28" s="159">
        <f>150000/12</f>
        <v>12500</v>
      </c>
      <c r="AU28" s="160">
        <f>SUBTOTAL(9,AP28:AT28)</f>
        <v>24166.666666666664</v>
      </c>
      <c r="AV28" s="160"/>
      <c r="AW28" s="322"/>
      <c r="AX28" s="318"/>
      <c r="AY28" s="319"/>
      <c r="AZ28" s="318"/>
      <c r="BA28" s="320"/>
      <c r="BB28" s="5"/>
      <c r="BC28" s="165">
        <f>IF(I28="Rack",AU28/L28,0)+IF(I28="U Space",AU28*40/L28,0)+IF(I28="Space",AU28*30/L28,0)</f>
        <v>241666.66666666663</v>
      </c>
      <c r="BD28" s="165" t="e">
        <f>+AU28/Y28</f>
        <v>#REF!</v>
      </c>
      <c r="BE28" s="165" t="e">
        <f t="shared" si="43"/>
        <v>#REF!</v>
      </c>
      <c r="BF28" s="165" t="e">
        <f t="shared" si="43"/>
        <v>#REF!</v>
      </c>
      <c r="BG28" s="165" t="e">
        <f>+($AP28+$AQ28+IF(H28="Bundled",0,Y28*0.85*AD28*AF28*30.5*24)-BN28)/$Y28</f>
        <v>#REF!</v>
      </c>
      <c r="BH28" s="165"/>
      <c r="BI28" s="166">
        <f>+AP28+AQ28+AR28</f>
        <v>11666.666666666666</v>
      </c>
      <c r="BJ28" s="166" t="e">
        <f>+BI28-BK28</f>
        <v>#REF!</v>
      </c>
      <c r="BK28" s="166" t="e">
        <f>IF(H28="Bundled",MIN(Y28*#REF!*(1+#REF!),BI28),AR28)</f>
        <v>#REF!</v>
      </c>
      <c r="BL28" s="167" t="e">
        <f>IF($AG28&gt;0,$AG28*#REF!*#REF!*(1+#REF!*(20/#REF!)/732),#REF!*Z28)</f>
        <v>#REF!</v>
      </c>
      <c r="BM28" s="167" t="e">
        <f>IF($AG28&gt;0,$AG28*#REF!*#REF!*(1+#REF!*(20/#REF!)/732),+#REF!*(Z28+X28))</f>
        <v>#REF!</v>
      </c>
      <c r="BN28" s="167" t="e">
        <f>IF(H28="Bundled",#REF!*Y28,#REF!*Y28*0.85)</f>
        <v>#REF!</v>
      </c>
      <c r="BO28" s="167" t="e">
        <f>+BE28*Y28</f>
        <v>#REF!</v>
      </c>
      <c r="BP28" s="167" t="e">
        <f>+#REF!*Y28</f>
        <v>#REF!</v>
      </c>
      <c r="BQ28" s="167" t="e">
        <f>+BJ28-BP28</f>
        <v>#REF!</v>
      </c>
      <c r="BR28" s="167" t="e">
        <f>+BK28-BL28</f>
        <v>#REF!</v>
      </c>
      <c r="BS28" s="167" t="e">
        <f>+BQ28+BR28</f>
        <v>#REF!</v>
      </c>
      <c r="BT28" s="167" t="e">
        <f>+Y28</f>
        <v>#REF!</v>
      </c>
      <c r="BU28" s="167" t="e">
        <f>+BE28</f>
        <v>#REF!</v>
      </c>
      <c r="BV28" s="167" t="e">
        <f>IF(H28="Bundled",BN28-BL28,AR28-BL28)</f>
        <v>#REF!</v>
      </c>
      <c r="BW28" s="167" t="e">
        <f>IF(H28="Bundled",+(BG28-#REF!)*Y28,(AP28+AQ28)-Y28*#REF!)</f>
        <v>#REF!</v>
      </c>
      <c r="BX28" s="167" t="e">
        <f>+BV28+BW28</f>
        <v>#REF!</v>
      </c>
      <c r="BY28" s="167" t="e">
        <f t="shared" si="44"/>
        <v>#REF!</v>
      </c>
      <c r="BZ28" s="167" t="e">
        <f t="shared" si="44"/>
        <v>#REF!</v>
      </c>
      <c r="CA28" s="167" t="e">
        <f t="shared" si="44"/>
        <v>#REF!</v>
      </c>
    </row>
    <row r="29" spans="1:79" s="16" customFormat="1">
      <c r="A29" s="142" t="s">
        <v>47</v>
      </c>
      <c r="B29" s="362"/>
      <c r="C29" s="145" t="s">
        <v>282</v>
      </c>
      <c r="D29" s="145" t="s">
        <v>239</v>
      </c>
      <c r="E29" s="145"/>
      <c r="F29" s="145"/>
      <c r="G29" s="145" t="s">
        <v>130</v>
      </c>
      <c r="H29" s="146" t="s">
        <v>131</v>
      </c>
      <c r="I29" s="145" t="s">
        <v>144</v>
      </c>
      <c r="J29" s="145" t="s">
        <v>133</v>
      </c>
      <c r="K29" s="147" t="str">
        <f t="shared" si="36"/>
        <v>U Space</v>
      </c>
      <c r="L29" s="145">
        <v>6</v>
      </c>
      <c r="M29" s="145">
        <v>6</v>
      </c>
      <c r="N29" s="148">
        <f t="shared" si="42"/>
        <v>0</v>
      </c>
      <c r="O29" s="145">
        <v>6</v>
      </c>
      <c r="P29" s="145"/>
      <c r="Q29" s="149">
        <f>(35000)/12</f>
        <v>2916.6666666666665</v>
      </c>
      <c r="R29" s="150" t="str">
        <f>G29</f>
        <v>Rated</v>
      </c>
      <c r="S29" s="321" t="s">
        <v>134</v>
      </c>
      <c r="T29" s="146">
        <v>1.5</v>
      </c>
      <c r="U29" s="151">
        <v>0.17</v>
      </c>
      <c r="V29" s="232">
        <f t="shared" si="37"/>
        <v>1.33</v>
      </c>
      <c r="W29" s="146"/>
      <c r="X29" s="146" t="e">
        <f>IF(V29&lt;=0,0,(IF(R29="Rated",(V29+W29)*#REF!,(V29+W29))))</f>
        <v>#REF!</v>
      </c>
      <c r="Y29" s="146" t="e">
        <f>IF(R29="Rated",T29*#REF!,T29)</f>
        <v>#REF!</v>
      </c>
      <c r="Z29" s="361"/>
      <c r="AA29" s="146">
        <f t="shared" si="38"/>
        <v>0</v>
      </c>
      <c r="AB29" s="152">
        <f>80000/12</f>
        <v>6666.666666666667</v>
      </c>
      <c r="AC29" s="153" t="str">
        <f t="shared" si="39"/>
        <v>Bundled</v>
      </c>
      <c r="AD29" s="146"/>
      <c r="AE29" s="146"/>
      <c r="AF29" s="154"/>
      <c r="AG29" s="146"/>
      <c r="AH29" s="155"/>
      <c r="AI29" s="156" t="str">
        <f>IF(AH29="No of Seats","No of Seats",(IF(AH29="Space","Sq Ft","")))</f>
        <v/>
      </c>
      <c r="AJ29" s="146"/>
      <c r="AK29" s="146"/>
      <c r="AL29" s="146">
        <f>AJ29-AK29</f>
        <v>0</v>
      </c>
      <c r="AM29" s="146"/>
      <c r="AN29" s="146"/>
      <c r="AO29" s="149"/>
      <c r="AP29" s="157">
        <f>Q29*O29</f>
        <v>17500</v>
      </c>
      <c r="AQ29" s="157">
        <f>AB29*AA29</f>
        <v>0</v>
      </c>
      <c r="AR29" s="158">
        <f>AG29*AF29*AD29</f>
        <v>0</v>
      </c>
      <c r="AS29" s="157">
        <f>AO29*AM29</f>
        <v>0</v>
      </c>
      <c r="AT29" s="159">
        <f>800000/12</f>
        <v>66666.666666666672</v>
      </c>
      <c r="AU29" s="160">
        <f>SUBTOTAL(9,AP29:AT29)</f>
        <v>84166.666666666672</v>
      </c>
      <c r="AV29" s="160"/>
      <c r="AW29" s="315" t="s">
        <v>283</v>
      </c>
      <c r="AX29" s="318"/>
      <c r="AY29" s="319"/>
      <c r="AZ29" s="318"/>
      <c r="BA29" s="320"/>
      <c r="BB29" s="5"/>
      <c r="BC29" s="165">
        <f>IF(I29="Rack",AU29/L29,0)+IF(I29="U Space",AU29*40/L29,0)+IF(I29="Space",AU29*30/L29,0)</f>
        <v>561111.11111111112</v>
      </c>
      <c r="BD29" s="165" t="e">
        <f>+AU29/Y29</f>
        <v>#REF!</v>
      </c>
      <c r="BE29" s="165" t="e">
        <f t="shared" si="43"/>
        <v>#REF!</v>
      </c>
      <c r="BF29" s="165" t="e">
        <f t="shared" si="43"/>
        <v>#REF!</v>
      </c>
      <c r="BG29" s="165" t="e">
        <f>+($AP29+$AQ29+IF(H29="Bundled",0,Y29*0.85*AD29*AF29*30.5*24)-BN29)/$Y29</f>
        <v>#REF!</v>
      </c>
      <c r="BH29" s="165"/>
      <c r="BI29" s="166">
        <f>+AP29+AQ29+AR29</f>
        <v>17500</v>
      </c>
      <c r="BJ29" s="166" t="e">
        <f>+BI29-BK29</f>
        <v>#REF!</v>
      </c>
      <c r="BK29" s="166" t="e">
        <f>IF(H29="Bundled",MIN(Y29*#REF!*(1+#REF!),BI29),AR29)</f>
        <v>#REF!</v>
      </c>
      <c r="BL29" s="167" t="e">
        <f>IF($AG29&gt;0,$AG29*#REF!*#REF!*(1+#REF!*(20/#REF!)/732),#REF!*Z29)</f>
        <v>#REF!</v>
      </c>
      <c r="BM29" s="167" t="e">
        <f>IF($AG29&gt;0,$AG29*#REF!*#REF!*(1+#REF!*(20/#REF!)/732),+#REF!*(Z29+X29))</f>
        <v>#REF!</v>
      </c>
      <c r="BN29" s="167" t="e">
        <f>IF(H29="Bundled",#REF!*Y29,#REF!*Y29*0.85)</f>
        <v>#REF!</v>
      </c>
      <c r="BO29" s="167" t="e">
        <f>+BE29*Y29</f>
        <v>#REF!</v>
      </c>
      <c r="BP29" s="167" t="e">
        <f>+#REF!*Y29</f>
        <v>#REF!</v>
      </c>
      <c r="BQ29" s="167" t="e">
        <f>+BJ29-BP29</f>
        <v>#REF!</v>
      </c>
      <c r="BR29" s="167" t="e">
        <f>+BK29-BL29</f>
        <v>#REF!</v>
      </c>
      <c r="BS29" s="167" t="e">
        <f>+BQ29+BR29</f>
        <v>#REF!</v>
      </c>
      <c r="BT29" s="167" t="e">
        <f>+Y29</f>
        <v>#REF!</v>
      </c>
      <c r="BU29" s="167" t="e">
        <f>+BE29</f>
        <v>#REF!</v>
      </c>
      <c r="BV29" s="167" t="e">
        <f>IF(H29="Bundled",BN29-BL29,AR29-BL29)</f>
        <v>#REF!</v>
      </c>
      <c r="BW29" s="167" t="e">
        <f>IF(H29="Bundled",+(BG29-#REF!)*Y29,(AP29+AQ29)-Y29*#REF!)</f>
        <v>#REF!</v>
      </c>
      <c r="BX29" s="167" t="e">
        <f>+BV29+BW29</f>
        <v>#REF!</v>
      </c>
      <c r="BY29" s="167" t="e">
        <f t="shared" si="44"/>
        <v>#REF!</v>
      </c>
      <c r="BZ29" s="167" t="e">
        <f t="shared" si="44"/>
        <v>#REF!</v>
      </c>
      <c r="CA29" s="167" t="e">
        <f t="shared" si="44"/>
        <v>#REF!</v>
      </c>
    </row>
    <row r="30" spans="1:79" s="16" customFormat="1">
      <c r="A30" s="142" t="s">
        <v>47</v>
      </c>
      <c r="B30" s="362"/>
      <c r="C30" s="200" t="s">
        <v>284</v>
      </c>
      <c r="D30" s="145" t="s">
        <v>235</v>
      </c>
      <c r="E30" s="145"/>
      <c r="F30" s="145"/>
      <c r="G30" s="145" t="s">
        <v>130</v>
      </c>
      <c r="H30" s="146" t="s">
        <v>131</v>
      </c>
      <c r="I30" s="145" t="s">
        <v>144</v>
      </c>
      <c r="J30" s="145" t="s">
        <v>133</v>
      </c>
      <c r="K30" s="147" t="str">
        <f t="shared" si="36"/>
        <v>U Space</v>
      </c>
      <c r="L30" s="145">
        <v>2</v>
      </c>
      <c r="M30" s="145">
        <v>2</v>
      </c>
      <c r="N30" s="148">
        <f t="shared" si="42"/>
        <v>0</v>
      </c>
      <c r="O30" s="145">
        <v>2</v>
      </c>
      <c r="P30" s="145"/>
      <c r="Q30" s="149"/>
      <c r="R30" s="150" t="s">
        <v>130</v>
      </c>
      <c r="S30" s="321" t="s">
        <v>134</v>
      </c>
      <c r="T30" s="146">
        <v>0.5</v>
      </c>
      <c r="U30" s="151">
        <v>1.1000000000000001</v>
      </c>
      <c r="V30" s="232">
        <f t="shared" si="37"/>
        <v>-0.60000000000000009</v>
      </c>
      <c r="W30" s="146"/>
      <c r="X30" s="146">
        <f>IF(V30&lt;=0,0,(IF(R30="Rated",(V30+W30)*#REF!,(V30+W30))))</f>
        <v>0</v>
      </c>
      <c r="Y30" s="146" t="e">
        <f>IF(R30="Rated",T30*#REF!,T30)</f>
        <v>#REF!</v>
      </c>
      <c r="Z30" s="361"/>
      <c r="AA30" s="146">
        <f t="shared" si="38"/>
        <v>0.60000000000000009</v>
      </c>
      <c r="AB30" s="152"/>
      <c r="AC30" s="153" t="str">
        <f t="shared" si="39"/>
        <v>Bundled</v>
      </c>
      <c r="AD30" s="146"/>
      <c r="AE30" s="146"/>
      <c r="AF30" s="154"/>
      <c r="AG30" s="146"/>
      <c r="AH30" s="155"/>
      <c r="AI30" s="156"/>
      <c r="AJ30" s="146"/>
      <c r="AK30" s="146"/>
      <c r="AL30" s="146"/>
      <c r="AM30" s="146"/>
      <c r="AN30" s="146"/>
      <c r="AO30" s="149"/>
      <c r="AP30" s="157"/>
      <c r="AQ30" s="157"/>
      <c r="AR30" s="158"/>
      <c r="AS30" s="157"/>
      <c r="AT30" s="159"/>
      <c r="AU30" s="160"/>
      <c r="AV30" s="160"/>
      <c r="AW30" s="315"/>
      <c r="AX30" s="318"/>
      <c r="AY30" s="319"/>
      <c r="AZ30" s="318"/>
      <c r="BA30" s="320"/>
      <c r="BB30" s="5"/>
      <c r="BC30" s="165"/>
      <c r="BD30" s="165"/>
      <c r="BE30" s="165"/>
      <c r="BF30" s="165"/>
      <c r="BG30" s="165"/>
      <c r="BH30" s="165"/>
      <c r="BI30" s="166"/>
      <c r="BJ30" s="166"/>
      <c r="BK30" s="166"/>
      <c r="BL30" s="167"/>
      <c r="BM30" s="167"/>
      <c r="BN30" s="167"/>
      <c r="BO30" s="167"/>
      <c r="BP30" s="167"/>
      <c r="BQ30" s="167"/>
      <c r="BR30" s="167"/>
      <c r="BS30" s="167"/>
      <c r="BT30" s="167"/>
      <c r="BU30" s="167"/>
      <c r="BV30" s="167"/>
      <c r="BW30" s="167"/>
      <c r="BX30" s="167"/>
      <c r="BY30" s="167"/>
      <c r="BZ30" s="167"/>
      <c r="CA30" s="167"/>
    </row>
    <row r="31" spans="1:79">
      <c r="A31" s="142" t="s">
        <v>47</v>
      </c>
      <c r="B31" s="362"/>
      <c r="C31" s="144" t="s">
        <v>285</v>
      </c>
      <c r="D31" s="144" t="s">
        <v>239</v>
      </c>
      <c r="E31" s="144"/>
      <c r="F31" s="144"/>
      <c r="G31" s="145" t="s">
        <v>130</v>
      </c>
      <c r="H31" s="146" t="s">
        <v>131</v>
      </c>
      <c r="I31" s="145" t="s">
        <v>144</v>
      </c>
      <c r="J31" s="145" t="s">
        <v>133</v>
      </c>
      <c r="K31" s="147" t="str">
        <f t="shared" si="36"/>
        <v>U Space</v>
      </c>
      <c r="L31" s="145">
        <v>6</v>
      </c>
      <c r="M31" s="145">
        <v>6</v>
      </c>
      <c r="N31" s="148">
        <f t="shared" si="42"/>
        <v>0</v>
      </c>
      <c r="O31" s="145">
        <v>6</v>
      </c>
      <c r="P31" s="145"/>
      <c r="Q31" s="149">
        <f>(25200)/12</f>
        <v>2100</v>
      </c>
      <c r="R31" s="150" t="str">
        <f>G31</f>
        <v>Rated</v>
      </c>
      <c r="S31" s="321" t="s">
        <v>134</v>
      </c>
      <c r="T31" s="146">
        <v>1.5</v>
      </c>
      <c r="U31" s="151">
        <v>1.84</v>
      </c>
      <c r="V31" s="232">
        <f t="shared" si="37"/>
        <v>-0.34000000000000008</v>
      </c>
      <c r="W31" s="146"/>
      <c r="X31" s="146">
        <f>IF(V31&lt;=0,0,(IF(R31="Rated",(V31+W31)*#REF!,(V31+W31))))</f>
        <v>0</v>
      </c>
      <c r="Y31" s="146" t="e">
        <f>IF(R31="Rated",T31*#REF!,T31)</f>
        <v>#REF!</v>
      </c>
      <c r="Z31" s="361"/>
      <c r="AA31" s="146">
        <f t="shared" si="38"/>
        <v>0.34000000000000008</v>
      </c>
      <c r="AB31" s="152">
        <f>100000/12</f>
        <v>8333.3333333333339</v>
      </c>
      <c r="AC31" s="153" t="str">
        <f t="shared" si="39"/>
        <v>Bundled</v>
      </c>
      <c r="AD31" s="146"/>
      <c r="AE31" s="146"/>
      <c r="AF31" s="154"/>
      <c r="AG31" s="146"/>
      <c r="AH31" s="155"/>
      <c r="AI31" s="156" t="str">
        <f>IF(AH31="No of Seats","No of Seats",(IF(AH31="Space","Sq Ft","")))</f>
        <v/>
      </c>
      <c r="AJ31" s="146"/>
      <c r="AK31" s="146"/>
      <c r="AL31" s="146">
        <f>AJ31-AK31</f>
        <v>0</v>
      </c>
      <c r="AM31" s="146"/>
      <c r="AN31" s="146"/>
      <c r="AO31" s="149"/>
      <c r="AP31" s="157">
        <f>Q31*O31</f>
        <v>12600</v>
      </c>
      <c r="AQ31" s="157">
        <f>AB31*AA31</f>
        <v>2833.3333333333344</v>
      </c>
      <c r="AR31" s="158">
        <f>AG31*AF31*AD31</f>
        <v>0</v>
      </c>
      <c r="AS31" s="157">
        <f>AO31*AM31</f>
        <v>0</v>
      </c>
      <c r="AT31" s="159">
        <f>(276480+10000)/12</f>
        <v>23873.333333333332</v>
      </c>
      <c r="AU31" s="160">
        <f>SUBTOTAL(9,AP31:AT31)</f>
        <v>39306.666666666664</v>
      </c>
      <c r="AV31" s="160"/>
      <c r="AW31" s="315" t="s">
        <v>164</v>
      </c>
      <c r="AX31" s="235"/>
      <c r="AY31" s="236"/>
      <c r="AZ31" s="235"/>
      <c r="BA31" s="316"/>
      <c r="BC31" s="165">
        <f>IF(I31="Rack",AU31/L31,0)+IF(I31="U Space",AU31*40/L31,0)+IF(I31="Space",AU31*30/L31,0)</f>
        <v>262044.44444444441</v>
      </c>
      <c r="BD31" s="165" t="e">
        <f>+AU31/Y31</f>
        <v>#REF!</v>
      </c>
      <c r="BE31" s="165" t="e">
        <f>+($AP31+$AQ31+$AR31-BL31)/$Y31</f>
        <v>#REF!</v>
      </c>
      <c r="BF31" s="165" t="e">
        <f>+($AP31+$AQ31+$AR31-BM31)/$Y31</f>
        <v>#REF!</v>
      </c>
      <c r="BG31" s="165" t="e">
        <f>+($AP31+$AQ31+IF(H31="Bundled",0,Y31*0.85*AD31*AF31*30.5*24)-BN31)/$Y31</f>
        <v>#REF!</v>
      </c>
      <c r="BH31" s="165"/>
      <c r="BI31" s="166">
        <f>+AP31+AQ31+AR31</f>
        <v>15433.333333333334</v>
      </c>
      <c r="BJ31" s="166" t="e">
        <f>+BI31-BK31</f>
        <v>#REF!</v>
      </c>
      <c r="BK31" s="166" t="e">
        <f>IF(H31="Bundled",MIN(Y31*#REF!*(1+#REF!),BI31),AR31)</f>
        <v>#REF!</v>
      </c>
      <c r="BL31" s="167" t="e">
        <f>IF($AG31&gt;0,$AG31*#REF!*#REF!*(1+#REF!*(20/#REF!)/732),#REF!*Z31)</f>
        <v>#REF!</v>
      </c>
      <c r="BM31" s="167" t="e">
        <f>IF($AG31&gt;0,$AG31*#REF!*#REF!*(1+#REF!*(20/#REF!)/732),+#REF!*(Z31+X31))</f>
        <v>#REF!</v>
      </c>
      <c r="BN31" s="167" t="e">
        <f>IF(H31="Bundled",#REF!*Y31,#REF!*Y31*0.85)</f>
        <v>#REF!</v>
      </c>
      <c r="BO31" s="167" t="e">
        <f>+BE31*Y31</f>
        <v>#REF!</v>
      </c>
      <c r="BP31" s="167" t="e">
        <f>+#REF!*Y31</f>
        <v>#REF!</v>
      </c>
      <c r="BQ31" s="167" t="e">
        <f>+BJ31-BP31</f>
        <v>#REF!</v>
      </c>
      <c r="BR31" s="167" t="e">
        <f>+BK31-BL31</f>
        <v>#REF!</v>
      </c>
      <c r="BS31" s="167" t="e">
        <f>+BQ31+BR31</f>
        <v>#REF!</v>
      </c>
      <c r="BT31" s="167" t="e">
        <f>+Y31</f>
        <v>#REF!</v>
      </c>
      <c r="BU31" s="167" t="e">
        <f>+BE31</f>
        <v>#REF!</v>
      </c>
      <c r="BV31" s="167" t="e">
        <f>IF(H31="Bundled",BN31-BL31,AR31-BL31)</f>
        <v>#REF!</v>
      </c>
      <c r="BW31" s="167" t="e">
        <f>IF(H31="Bundled",+(BG31-#REF!)*Y31,(AP31+AQ31)-Y31*#REF!)</f>
        <v>#REF!</v>
      </c>
      <c r="BX31" s="167" t="e">
        <f>+BV31+BW31</f>
        <v>#REF!</v>
      </c>
      <c r="BY31" s="167" t="e">
        <f>+BV31/$BT31</f>
        <v>#REF!</v>
      </c>
      <c r="BZ31" s="167" t="e">
        <f>+BW31/$BT31</f>
        <v>#REF!</v>
      </c>
      <c r="CA31" s="167" t="e">
        <f>+BX31/$BT31</f>
        <v>#REF!</v>
      </c>
    </row>
    <row r="32" spans="1:79">
      <c r="A32" s="142"/>
      <c r="B32" s="362"/>
      <c r="C32" s="144" t="s">
        <v>286</v>
      </c>
      <c r="D32" s="144" t="s">
        <v>235</v>
      </c>
      <c r="E32" s="144"/>
      <c r="F32" s="364">
        <v>45898</v>
      </c>
      <c r="G32" s="145" t="s">
        <v>130</v>
      </c>
      <c r="H32" s="146" t="s">
        <v>131</v>
      </c>
      <c r="I32" s="145" t="s">
        <v>144</v>
      </c>
      <c r="J32" s="145" t="s">
        <v>133</v>
      </c>
      <c r="K32" s="147" t="str">
        <f t="shared" si="36"/>
        <v>U Space</v>
      </c>
      <c r="L32" s="145">
        <v>2</v>
      </c>
      <c r="M32" s="145">
        <v>2</v>
      </c>
      <c r="N32" s="148">
        <v>0</v>
      </c>
      <c r="O32" s="145">
        <v>2</v>
      </c>
      <c r="P32" s="145"/>
      <c r="Q32" s="149"/>
      <c r="R32" s="150" t="s">
        <v>130</v>
      </c>
      <c r="S32" s="321" t="s">
        <v>134</v>
      </c>
      <c r="T32" s="146">
        <v>0.5</v>
      </c>
      <c r="U32" s="151">
        <v>0.11</v>
      </c>
      <c r="V32" s="232">
        <f t="shared" si="37"/>
        <v>0.39</v>
      </c>
      <c r="W32" s="146"/>
      <c r="X32" s="146" t="e">
        <f>IF(V32&lt;=0,0,(IF(R32="Rated",(V32+W32)*#REF!,(V32+W32))))</f>
        <v>#REF!</v>
      </c>
      <c r="Y32" s="146" t="e">
        <f>IF(R32="Rated",T32*#REF!,T32)</f>
        <v>#REF!</v>
      </c>
      <c r="Z32" s="361"/>
      <c r="AA32" s="146">
        <f t="shared" si="38"/>
        <v>0</v>
      </c>
      <c r="AB32" s="152"/>
      <c r="AC32" s="153" t="str">
        <f t="shared" si="39"/>
        <v>Bundled</v>
      </c>
      <c r="AD32" s="146"/>
      <c r="AE32" s="146"/>
      <c r="AF32" s="154"/>
      <c r="AG32" s="146"/>
      <c r="AH32" s="155"/>
      <c r="AI32" s="156"/>
      <c r="AJ32" s="146"/>
      <c r="AK32" s="146"/>
      <c r="AL32" s="146">
        <f>AJ32-AK32</f>
        <v>0</v>
      </c>
      <c r="AM32" s="146"/>
      <c r="AN32" s="146"/>
      <c r="AO32" s="149"/>
      <c r="AP32" s="157"/>
      <c r="AQ32" s="157"/>
      <c r="AR32" s="158"/>
      <c r="AS32" s="157"/>
      <c r="AT32" s="159"/>
      <c r="AU32" s="160"/>
      <c r="AV32" s="160"/>
      <c r="AW32" s="315"/>
      <c r="AX32" s="235"/>
      <c r="AY32" s="236"/>
      <c r="AZ32" s="235"/>
      <c r="BA32" s="316"/>
      <c r="BC32" s="165"/>
      <c r="BD32" s="165"/>
      <c r="BE32" s="165"/>
      <c r="BF32" s="165"/>
      <c r="BG32" s="165"/>
      <c r="BH32" s="165"/>
      <c r="BI32" s="166"/>
      <c r="BJ32" s="166"/>
      <c r="BK32" s="166"/>
      <c r="BL32" s="167"/>
      <c r="BM32" s="167"/>
      <c r="BN32" s="167"/>
      <c r="BO32" s="167"/>
      <c r="BP32" s="167"/>
      <c r="BQ32" s="167"/>
      <c r="BR32" s="167"/>
      <c r="BS32" s="167"/>
      <c r="BT32" s="167"/>
      <c r="BU32" s="167"/>
      <c r="BV32" s="167"/>
      <c r="BW32" s="167"/>
      <c r="BX32" s="167"/>
      <c r="BY32" s="167"/>
      <c r="BZ32" s="167"/>
      <c r="CA32" s="167"/>
    </row>
    <row r="33" spans="1:81" s="16" customFormat="1">
      <c r="A33" s="142" t="s">
        <v>47</v>
      </c>
      <c r="B33" s="362"/>
      <c r="C33" s="168" t="s">
        <v>287</v>
      </c>
      <c r="D33" s="168" t="s">
        <v>239</v>
      </c>
      <c r="E33" s="168"/>
      <c r="F33" s="168"/>
      <c r="G33" s="145" t="s">
        <v>130</v>
      </c>
      <c r="H33" s="146" t="s">
        <v>131</v>
      </c>
      <c r="I33" s="145" t="s">
        <v>144</v>
      </c>
      <c r="J33" s="145" t="s">
        <v>133</v>
      </c>
      <c r="K33" s="147" t="str">
        <f t="shared" si="36"/>
        <v>U Space</v>
      </c>
      <c r="L33" s="145">
        <v>1</v>
      </c>
      <c r="M33" s="145">
        <v>1</v>
      </c>
      <c r="N33" s="148">
        <f t="shared" ref="N33:N38" si="45">L33-M33</f>
        <v>0</v>
      </c>
      <c r="O33" s="145">
        <v>1</v>
      </c>
      <c r="P33" s="145"/>
      <c r="Q33" s="149">
        <f>(35000)/12</f>
        <v>2916.6666666666665</v>
      </c>
      <c r="R33" s="150" t="str">
        <f>G33</f>
        <v>Rated</v>
      </c>
      <c r="S33" s="321" t="s">
        <v>134</v>
      </c>
      <c r="T33" s="146">
        <v>0.25</v>
      </c>
      <c r="U33" s="151">
        <v>0.17</v>
      </c>
      <c r="V33" s="232">
        <f t="shared" si="37"/>
        <v>7.9999999999999988E-2</v>
      </c>
      <c r="W33" s="146"/>
      <c r="X33" s="146" t="e">
        <f>IF(V33&lt;=0,0,(IF(R33="Rated",(V33+W33)*#REF!,(V33+W33))))</f>
        <v>#REF!</v>
      </c>
      <c r="Y33" s="146" t="e">
        <f>IF(R33="Rated",T33*#REF!,T33)</f>
        <v>#REF!</v>
      </c>
      <c r="Z33" s="361"/>
      <c r="AA33" s="146">
        <f t="shared" si="38"/>
        <v>0</v>
      </c>
      <c r="AB33" s="152">
        <f>90000/12</f>
        <v>7500</v>
      </c>
      <c r="AC33" s="153" t="str">
        <f t="shared" si="39"/>
        <v>Bundled</v>
      </c>
      <c r="AD33" s="146"/>
      <c r="AE33" s="146"/>
      <c r="AF33" s="154"/>
      <c r="AG33" s="146"/>
      <c r="AH33" s="155"/>
      <c r="AI33" s="156" t="str">
        <f>IF(AH33="No of Seats","No of Seats",(IF(AH33="Space","Sq Ft","")))</f>
        <v/>
      </c>
      <c r="AJ33" s="146"/>
      <c r="AK33" s="146"/>
      <c r="AL33" s="146">
        <f>AJ33-AK33</f>
        <v>0</v>
      </c>
      <c r="AM33" s="146"/>
      <c r="AN33" s="146"/>
      <c r="AO33" s="149"/>
      <c r="AP33" s="157">
        <f>Q33*O33</f>
        <v>2916.6666666666665</v>
      </c>
      <c r="AQ33" s="157">
        <f>AB33*AA33</f>
        <v>0</v>
      </c>
      <c r="AR33" s="158">
        <f>AG33*AF33*AD33</f>
        <v>0</v>
      </c>
      <c r="AS33" s="157">
        <f>AO33*AM33</f>
        <v>0</v>
      </c>
      <c r="AT33" s="159">
        <f>(20000)/12</f>
        <v>1666.6666666666667</v>
      </c>
      <c r="AU33" s="160">
        <f>SUBTOTAL(9,AP33:AT33)</f>
        <v>4583.333333333333</v>
      </c>
      <c r="AV33" s="160"/>
      <c r="AW33" s="322"/>
      <c r="AX33" s="318"/>
      <c r="AY33" s="319"/>
      <c r="AZ33" s="318"/>
      <c r="BA33" s="320"/>
      <c r="BB33" s="5"/>
      <c r="BC33" s="165">
        <f>IF(I33="Rack",AU33/L33,0)+IF(I33="U Space",AU33*40/L33,0)+IF(I33="Space",AU33*30/L33,0)</f>
        <v>183333.33333333331</v>
      </c>
      <c r="BD33" s="165" t="e">
        <f>+AU33/Y33</f>
        <v>#REF!</v>
      </c>
      <c r="BE33" s="165" t="e">
        <f>+($AP33+$AQ33+$AR33-BL33)/$Y33</f>
        <v>#REF!</v>
      </c>
      <c r="BF33" s="165" t="e">
        <f>+($AP33+$AQ33+$AR33-BM33)/$Y33</f>
        <v>#REF!</v>
      </c>
      <c r="BG33" s="165" t="e">
        <f>+($AP33+$AQ33+IF(H33="Bundled",0,Y33*0.85*AD33*AF33*30.5*24)-BN33)/$Y33</f>
        <v>#REF!</v>
      </c>
      <c r="BH33" s="165"/>
      <c r="BI33" s="166">
        <f>+AP33+AQ33+AR33</f>
        <v>2916.6666666666665</v>
      </c>
      <c r="BJ33" s="166" t="e">
        <f>+BI33-BK33</f>
        <v>#REF!</v>
      </c>
      <c r="BK33" s="166" t="e">
        <f>IF(H33="Bundled",MIN(Y33*#REF!*(1+#REF!),BI33),AR33)</f>
        <v>#REF!</v>
      </c>
      <c r="BL33" s="167" t="e">
        <f>IF($AG33&gt;0,$AG33*#REF!*#REF!*(1+#REF!*(20/#REF!)/732),#REF!*Z33)</f>
        <v>#REF!</v>
      </c>
      <c r="BM33" s="167" t="e">
        <f>IF($AG33&gt;0,$AG33*#REF!*#REF!*(1+#REF!*(20/#REF!)/732),+#REF!*(Z33+X33))</f>
        <v>#REF!</v>
      </c>
      <c r="BN33" s="167" t="e">
        <f>IF(H33="Bundled",#REF!*Y33,#REF!*Y33*0.85)</f>
        <v>#REF!</v>
      </c>
      <c r="BO33" s="167" t="e">
        <f>+BE33*Y33</f>
        <v>#REF!</v>
      </c>
      <c r="BP33" s="167" t="e">
        <f>+#REF!*Y33</f>
        <v>#REF!</v>
      </c>
      <c r="BQ33" s="167" t="e">
        <f>+BJ33-BP33</f>
        <v>#REF!</v>
      </c>
      <c r="BR33" s="167" t="e">
        <f>+BK33-BL33</f>
        <v>#REF!</v>
      </c>
      <c r="BS33" s="167" t="e">
        <f>+BQ33+BR33</f>
        <v>#REF!</v>
      </c>
      <c r="BT33" s="167" t="e">
        <f>+Y33</f>
        <v>#REF!</v>
      </c>
      <c r="BU33" s="167" t="e">
        <f>+BE33</f>
        <v>#REF!</v>
      </c>
      <c r="BV33" s="167" t="e">
        <f>IF(H33="Bundled",BN33-BL33,AR33-BL33)</f>
        <v>#REF!</v>
      </c>
      <c r="BW33" s="167" t="e">
        <f>IF(H33="Bundled",+(BG33-#REF!)*Y33,(AP33+AQ33)-Y33*#REF!)</f>
        <v>#REF!</v>
      </c>
      <c r="BX33" s="167" t="e">
        <f>+BV33+BW33</f>
        <v>#REF!</v>
      </c>
      <c r="BY33" s="167" t="e">
        <f t="shared" ref="BY33:CA34" si="46">+BV33/$BT33</f>
        <v>#REF!</v>
      </c>
      <c r="BZ33" s="167" t="e">
        <f t="shared" si="46"/>
        <v>#REF!</v>
      </c>
      <c r="CA33" s="167" t="e">
        <f t="shared" si="46"/>
        <v>#REF!</v>
      </c>
      <c r="CB33" s="5"/>
      <c r="CC33" s="5"/>
    </row>
    <row r="34" spans="1:81" s="16" customFormat="1" ht="26.1" customHeight="1">
      <c r="A34" s="142" t="s">
        <v>47</v>
      </c>
      <c r="B34" s="360" t="s">
        <v>158</v>
      </c>
      <c r="C34" s="144" t="s">
        <v>288</v>
      </c>
      <c r="D34" s="144" t="s">
        <v>235</v>
      </c>
      <c r="E34" s="144"/>
      <c r="F34" s="144"/>
      <c r="G34" s="145" t="s">
        <v>130</v>
      </c>
      <c r="H34" s="146" t="s">
        <v>131</v>
      </c>
      <c r="I34" s="145" t="s">
        <v>144</v>
      </c>
      <c r="J34" s="145" t="s">
        <v>133</v>
      </c>
      <c r="K34" s="147" t="str">
        <f t="shared" si="36"/>
        <v>U Space</v>
      </c>
      <c r="L34" s="145">
        <v>21</v>
      </c>
      <c r="M34" s="145">
        <v>21</v>
      </c>
      <c r="N34" s="148">
        <f t="shared" si="45"/>
        <v>0</v>
      </c>
      <c r="O34" s="145">
        <v>21</v>
      </c>
      <c r="P34" s="145"/>
      <c r="Q34" s="149">
        <f>(315000)/21/12</f>
        <v>1250</v>
      </c>
      <c r="R34" s="150" t="str">
        <f>G34</f>
        <v>Rated</v>
      </c>
      <c r="S34" s="321" t="s">
        <v>134</v>
      </c>
      <c r="T34" s="146">
        <v>3</v>
      </c>
      <c r="U34" s="151">
        <v>6.52</v>
      </c>
      <c r="V34" s="232">
        <f t="shared" si="37"/>
        <v>-3.5199999999999996</v>
      </c>
      <c r="W34" s="146"/>
      <c r="X34" s="146">
        <f>IF(V34&lt;=0,0,(IF(R34="Rated",(V34+W34)*#REF!,(V34+W34))))</f>
        <v>0</v>
      </c>
      <c r="Y34" s="146" t="e">
        <f>IF(R34="Rated",T34*#REF!,T34)</f>
        <v>#REF!</v>
      </c>
      <c r="Z34" s="365">
        <v>2.0299999999999998</v>
      </c>
      <c r="AA34" s="146">
        <f t="shared" si="38"/>
        <v>3.5199999999999996</v>
      </c>
      <c r="AB34" s="152">
        <f>110000/12</f>
        <v>9166.6666666666661</v>
      </c>
      <c r="AC34" s="153" t="str">
        <f t="shared" si="39"/>
        <v>Bundled</v>
      </c>
      <c r="AD34" s="146"/>
      <c r="AE34" s="146"/>
      <c r="AF34" s="154"/>
      <c r="AG34" s="146"/>
      <c r="AH34" s="155"/>
      <c r="AI34" s="156" t="str">
        <f>IF(AH34="No of Seats","No of Seats",(IF(AH34="Space","Sq Ft","")))</f>
        <v/>
      </c>
      <c r="AJ34" s="146"/>
      <c r="AK34" s="146"/>
      <c r="AL34" s="146">
        <f>AJ34-AK34</f>
        <v>0</v>
      </c>
      <c r="AM34" s="146"/>
      <c r="AN34" s="146"/>
      <c r="AO34" s="149"/>
      <c r="AP34" s="157">
        <f>Q34*O34</f>
        <v>26250</v>
      </c>
      <c r="AQ34" s="157">
        <f>AB34*AA34</f>
        <v>32266.666666666661</v>
      </c>
      <c r="AR34" s="158">
        <f>AG34*AF34*AD34</f>
        <v>0</v>
      </c>
      <c r="AS34" s="157">
        <f>AO34*AM34</f>
        <v>0</v>
      </c>
      <c r="AT34" s="159">
        <v>0</v>
      </c>
      <c r="AU34" s="160">
        <f>SUBTOTAL(9,AP34:AT34)</f>
        <v>58516.666666666657</v>
      </c>
      <c r="AV34" s="160"/>
      <c r="AW34" s="322"/>
      <c r="AX34" s="318"/>
      <c r="AY34" s="319"/>
      <c r="AZ34" s="318"/>
      <c r="BA34" s="320"/>
      <c r="BB34" s="5"/>
      <c r="BC34" s="165">
        <f>IF(I34="Rack",AU34/L34,0)+IF(I34="U Space",AU34*40/L34,0)+IF(I34="Space",AU34*30/L34,0)</f>
        <v>111460.31746031743</v>
      </c>
      <c r="BD34" s="165" t="e">
        <f>+AU34/Y34</f>
        <v>#REF!</v>
      </c>
      <c r="BE34" s="165" t="e">
        <f>+($AP34+$AQ34+$AR34-BL34)/$Y34</f>
        <v>#REF!</v>
      </c>
      <c r="BF34" s="165" t="e">
        <f>+($AP34+$AQ34+$AR34-BM34)/$Y34</f>
        <v>#REF!</v>
      </c>
      <c r="BG34" s="165" t="e">
        <f>+($AP34+$AQ34+IF(H34="Bundled",0,Y34*0.85*AD34*AF34*30.5*24)-BN34)/$Y34</f>
        <v>#REF!</v>
      </c>
      <c r="BH34" s="165"/>
      <c r="BI34" s="166">
        <f>+AP34+AQ34+AR34</f>
        <v>58516.666666666657</v>
      </c>
      <c r="BJ34" s="166" t="e">
        <f>+BI34-BK34</f>
        <v>#REF!</v>
      </c>
      <c r="BK34" s="166" t="e">
        <f>IF(H34="Bundled",MIN(Y34*#REF!*(1+#REF!),BI34),AR34)</f>
        <v>#REF!</v>
      </c>
      <c r="BL34" s="167" t="e">
        <f>IF($AG34&gt;0,$AG34*#REF!*#REF!*(1+#REF!*(20/#REF!)/732),#REF!*Z34)</f>
        <v>#REF!</v>
      </c>
      <c r="BM34" s="167" t="e">
        <f>IF($AG34&gt;0,$AG34*#REF!*#REF!*(1+#REF!*(20/#REF!)/732),+#REF!*(Z34+X34))</f>
        <v>#REF!</v>
      </c>
      <c r="BN34" s="167" t="e">
        <f>IF(H34="Bundled",#REF!*Y34,#REF!*Y34*0.85)</f>
        <v>#REF!</v>
      </c>
      <c r="BO34" s="167" t="e">
        <f>+BE34*Y34</f>
        <v>#REF!</v>
      </c>
      <c r="BP34" s="167" t="e">
        <f>+#REF!*Y34</f>
        <v>#REF!</v>
      </c>
      <c r="BQ34" s="167" t="e">
        <f>+BJ34-BP34</f>
        <v>#REF!</v>
      </c>
      <c r="BR34" s="167" t="e">
        <f>+BK34-BL34</f>
        <v>#REF!</v>
      </c>
      <c r="BS34" s="167" t="e">
        <f>+BQ34+BR34</f>
        <v>#REF!</v>
      </c>
      <c r="BT34" s="167" t="e">
        <f>+Y34</f>
        <v>#REF!</v>
      </c>
      <c r="BU34" s="167" t="e">
        <f>+BE34</f>
        <v>#REF!</v>
      </c>
      <c r="BV34" s="167" t="e">
        <f>IF(H34="Bundled",BN34-BL34,AR34-BL34)</f>
        <v>#REF!</v>
      </c>
      <c r="BW34" s="167" t="e">
        <f>IF(H34="Bundled",+(BG34-#REF!)*Y34,(AP34+AQ34)-Y34*#REF!)</f>
        <v>#REF!</v>
      </c>
      <c r="BX34" s="167" t="e">
        <f>+BV34+BW34</f>
        <v>#REF!</v>
      </c>
      <c r="BY34" s="167" t="e">
        <f t="shared" si="46"/>
        <v>#REF!</v>
      </c>
      <c r="BZ34" s="167" t="e">
        <f t="shared" si="46"/>
        <v>#REF!</v>
      </c>
      <c r="CA34" s="167" t="e">
        <f t="shared" si="46"/>
        <v>#REF!</v>
      </c>
      <c r="CB34" s="5"/>
      <c r="CC34" s="5"/>
    </row>
    <row r="35" spans="1:81" s="16" customFormat="1" ht="26.1" customHeight="1">
      <c r="A35" s="142" t="s">
        <v>47</v>
      </c>
      <c r="B35" s="258"/>
      <c r="C35" s="344" t="s">
        <v>156</v>
      </c>
      <c r="D35" s="144" t="s">
        <v>235</v>
      </c>
      <c r="E35" s="144"/>
      <c r="F35" s="144"/>
      <c r="G35" s="145" t="s">
        <v>130</v>
      </c>
      <c r="H35" s="146" t="s">
        <v>131</v>
      </c>
      <c r="I35" s="145" t="s">
        <v>144</v>
      </c>
      <c r="J35" s="145" t="s">
        <v>133</v>
      </c>
      <c r="K35" s="147" t="str">
        <f t="shared" si="36"/>
        <v>U Space</v>
      </c>
      <c r="L35" s="145">
        <v>4</v>
      </c>
      <c r="M35" s="145">
        <v>4</v>
      </c>
      <c r="N35" s="148">
        <f t="shared" si="45"/>
        <v>0</v>
      </c>
      <c r="O35" s="145">
        <v>4</v>
      </c>
      <c r="P35" s="145"/>
      <c r="Q35" s="149"/>
      <c r="R35" s="150" t="s">
        <v>130</v>
      </c>
      <c r="S35" s="321" t="s">
        <v>134</v>
      </c>
      <c r="T35" s="146">
        <v>1</v>
      </c>
      <c r="U35" s="151">
        <v>1.1000000000000001</v>
      </c>
      <c r="V35" s="232">
        <f t="shared" si="37"/>
        <v>-0.10000000000000009</v>
      </c>
      <c r="W35" s="146"/>
      <c r="X35" s="146"/>
      <c r="Y35" s="146"/>
      <c r="Z35" s="257"/>
      <c r="AA35" s="146">
        <f t="shared" si="38"/>
        <v>0.10000000000000009</v>
      </c>
      <c r="AB35" s="152"/>
      <c r="AC35" s="153" t="str">
        <f t="shared" si="39"/>
        <v>Bundled</v>
      </c>
      <c r="AD35" s="146"/>
      <c r="AE35" s="146"/>
      <c r="AF35" s="154"/>
      <c r="AG35" s="146"/>
      <c r="AH35" s="155"/>
      <c r="AI35" s="156"/>
      <c r="AJ35" s="146"/>
      <c r="AK35" s="146"/>
      <c r="AL35" s="146"/>
      <c r="AM35" s="146"/>
      <c r="AN35" s="146"/>
      <c r="AO35" s="149"/>
      <c r="AP35" s="157"/>
      <c r="AQ35" s="157"/>
      <c r="AR35" s="158"/>
      <c r="AS35" s="157"/>
      <c r="AT35" s="159"/>
      <c r="AU35" s="160"/>
      <c r="AV35" s="160"/>
      <c r="AW35" s="322"/>
      <c r="AX35" s="318"/>
      <c r="AY35" s="319"/>
      <c r="AZ35" s="318"/>
      <c r="BA35" s="320"/>
      <c r="BB35" s="5"/>
      <c r="BC35" s="165"/>
      <c r="BD35" s="165"/>
      <c r="BE35" s="165"/>
      <c r="BF35" s="165"/>
      <c r="BG35" s="165"/>
      <c r="BH35" s="165"/>
      <c r="BI35" s="166"/>
      <c r="BJ35" s="166"/>
      <c r="BK35" s="166"/>
      <c r="BL35" s="167"/>
      <c r="BM35" s="167"/>
      <c r="BN35" s="167"/>
      <c r="BO35" s="167"/>
      <c r="BP35" s="167"/>
      <c r="BQ35" s="167"/>
      <c r="BR35" s="167"/>
      <c r="BS35" s="167"/>
      <c r="BT35" s="167"/>
      <c r="BU35" s="167"/>
      <c r="BV35" s="167"/>
      <c r="BW35" s="167"/>
      <c r="BX35" s="167"/>
      <c r="BY35" s="167"/>
      <c r="BZ35" s="167"/>
      <c r="CA35" s="167"/>
      <c r="CB35" s="5"/>
      <c r="CC35" s="5"/>
    </row>
    <row r="36" spans="1:81" s="16" customFormat="1" ht="26.1" customHeight="1">
      <c r="A36" s="142" t="s">
        <v>47</v>
      </c>
      <c r="B36" s="259"/>
      <c r="C36" s="144" t="s">
        <v>289</v>
      </c>
      <c r="D36" s="144" t="s">
        <v>239</v>
      </c>
      <c r="E36" s="144"/>
      <c r="F36" s="144"/>
      <c r="G36" s="145" t="s">
        <v>130</v>
      </c>
      <c r="H36" s="146" t="s">
        <v>131</v>
      </c>
      <c r="I36" s="145" t="s">
        <v>144</v>
      </c>
      <c r="J36" s="145" t="s">
        <v>133</v>
      </c>
      <c r="K36" s="147" t="str">
        <f t="shared" si="36"/>
        <v>U Space</v>
      </c>
      <c r="L36" s="145">
        <v>11</v>
      </c>
      <c r="M36" s="145">
        <v>11</v>
      </c>
      <c r="N36" s="148">
        <f t="shared" si="45"/>
        <v>0</v>
      </c>
      <c r="O36" s="145">
        <v>11</v>
      </c>
      <c r="P36" s="145"/>
      <c r="Q36" s="149"/>
      <c r="R36" s="150" t="str">
        <f t="shared" ref="R36:R60" si="47">G36</f>
        <v>Rated</v>
      </c>
      <c r="S36" s="321" t="s">
        <v>134</v>
      </c>
      <c r="T36" s="146">
        <v>2</v>
      </c>
      <c r="U36" s="151">
        <v>0.67</v>
      </c>
      <c r="V36" s="232">
        <f t="shared" si="37"/>
        <v>1.33</v>
      </c>
      <c r="W36" s="146"/>
      <c r="X36" s="146" t="e">
        <f>IF(V36&lt;=0,0,(IF(R36="Rated",(V36+W36)*#REF!,(V36+W36))))</f>
        <v>#REF!</v>
      </c>
      <c r="Y36" s="146" t="e">
        <f>IF(R36="Rated",T36*#REF!,T36)</f>
        <v>#REF!</v>
      </c>
      <c r="Z36" s="252"/>
      <c r="AA36" s="146">
        <f t="shared" si="38"/>
        <v>0</v>
      </c>
      <c r="AB36" s="152"/>
      <c r="AC36" s="153" t="str">
        <f t="shared" si="39"/>
        <v>Bundled</v>
      </c>
      <c r="AD36" s="146"/>
      <c r="AE36" s="146"/>
      <c r="AF36" s="154"/>
      <c r="AG36" s="146"/>
      <c r="AH36" s="155"/>
      <c r="AI36" s="156"/>
      <c r="AJ36" s="146"/>
      <c r="AK36" s="146"/>
      <c r="AL36" s="146"/>
      <c r="AM36" s="146"/>
      <c r="AN36" s="146"/>
      <c r="AO36" s="149"/>
      <c r="AP36" s="157"/>
      <c r="AQ36" s="157"/>
      <c r="AR36" s="158"/>
      <c r="AS36" s="157"/>
      <c r="AT36" s="159"/>
      <c r="AU36" s="160"/>
      <c r="AV36" s="160"/>
      <c r="AW36" s="322"/>
      <c r="AX36" s="318"/>
      <c r="AY36" s="319"/>
      <c r="AZ36" s="318"/>
      <c r="BA36" s="320"/>
      <c r="BB36" s="5"/>
      <c r="BC36" s="165"/>
      <c r="BD36" s="165"/>
      <c r="BE36" s="165"/>
      <c r="BF36" s="165"/>
      <c r="BG36" s="165"/>
      <c r="BH36" s="165"/>
      <c r="BI36" s="166"/>
      <c r="BJ36" s="166"/>
      <c r="BK36" s="166"/>
      <c r="BL36" s="167"/>
      <c r="BM36" s="167"/>
      <c r="BN36" s="167" t="e">
        <f>IF(H36="Bundled",#REF!*Y36,#REF!*Y36*0.85)</f>
        <v>#REF!</v>
      </c>
      <c r="BO36" s="167"/>
      <c r="BP36" s="167"/>
      <c r="BQ36" s="167"/>
      <c r="BR36" s="167"/>
      <c r="BS36" s="167"/>
      <c r="BT36" s="167" t="e">
        <f t="shared" ref="BT36:BT60" si="48">+Y36</f>
        <v>#REF!</v>
      </c>
      <c r="BU36" s="167"/>
      <c r="BV36" s="167"/>
      <c r="BW36" s="167"/>
      <c r="BX36" s="167"/>
      <c r="BY36" s="167"/>
      <c r="BZ36" s="167"/>
      <c r="CA36" s="167"/>
      <c r="CB36" s="5"/>
      <c r="CC36" s="5"/>
    </row>
    <row r="37" spans="1:81" s="16" customFormat="1">
      <c r="A37" s="142" t="s">
        <v>47</v>
      </c>
      <c r="B37" s="168" t="s">
        <v>290</v>
      </c>
      <c r="C37" s="196" t="s">
        <v>291</v>
      </c>
      <c r="D37" s="196" t="s">
        <v>235</v>
      </c>
      <c r="E37" s="196"/>
      <c r="F37" s="196"/>
      <c r="G37" s="145" t="s">
        <v>130</v>
      </c>
      <c r="H37" s="146" t="s">
        <v>170</v>
      </c>
      <c r="I37" s="145" t="s">
        <v>132</v>
      </c>
      <c r="J37" s="145" t="s">
        <v>133</v>
      </c>
      <c r="K37" s="147" t="str">
        <f t="shared" si="36"/>
        <v>No of Racks</v>
      </c>
      <c r="L37" s="145">
        <v>1</v>
      </c>
      <c r="M37" s="145">
        <v>1</v>
      </c>
      <c r="N37" s="148">
        <f t="shared" si="45"/>
        <v>0</v>
      </c>
      <c r="O37" s="145">
        <v>1</v>
      </c>
      <c r="P37" s="145"/>
      <c r="Q37" s="336">
        <f>276228/12</f>
        <v>23019</v>
      </c>
      <c r="R37" s="150" t="str">
        <f t="shared" si="47"/>
        <v>Rated</v>
      </c>
      <c r="S37" s="145" t="s">
        <v>134</v>
      </c>
      <c r="T37" s="146">
        <v>5</v>
      </c>
      <c r="U37" s="151">
        <v>5.23</v>
      </c>
      <c r="V37" s="232">
        <f t="shared" si="37"/>
        <v>-0.23000000000000043</v>
      </c>
      <c r="W37" s="146"/>
      <c r="X37" s="146">
        <f>IF(V37&lt;=0,0,(IF(R37="Rated",(V37+W37)*#REF!,(V37+W37))))</f>
        <v>0</v>
      </c>
      <c r="Y37" s="146" t="e">
        <f>IF(R37="Rated",T37*#REF!,T37)</f>
        <v>#REF!</v>
      </c>
      <c r="Z37" s="231">
        <f>AG37/28/24</f>
        <v>2.016607142857143</v>
      </c>
      <c r="AA37" s="146">
        <f t="shared" si="38"/>
        <v>0.23000000000000043</v>
      </c>
      <c r="AB37" s="152">
        <v>0</v>
      </c>
      <c r="AC37" s="153" t="str">
        <f t="shared" si="39"/>
        <v>Metered</v>
      </c>
      <c r="AD37" s="146">
        <v>1</v>
      </c>
      <c r="AE37" s="146" t="s">
        <v>171</v>
      </c>
      <c r="AF37" s="154">
        <v>15.5</v>
      </c>
      <c r="AG37" s="146">
        <v>1355.16</v>
      </c>
      <c r="AH37" s="155"/>
      <c r="AI37" s="156" t="str">
        <f>IF(AH37="No of Seats","No of Seats",(IF(AH37="Space","Sq Ft","")))</f>
        <v/>
      </c>
      <c r="AJ37" s="146"/>
      <c r="AK37" s="146"/>
      <c r="AL37" s="146">
        <f t="shared" ref="AL37:AL43" si="49">AJ37-AK37</f>
        <v>0</v>
      </c>
      <c r="AM37" s="146"/>
      <c r="AN37" s="146"/>
      <c r="AO37" s="149"/>
      <c r="AP37" s="157">
        <f t="shared" ref="AP37:AP43" si="50">Q37*O37</f>
        <v>23019</v>
      </c>
      <c r="AQ37" s="157">
        <f t="shared" ref="AQ37:AQ43" si="51">AB37*AA37</f>
        <v>0</v>
      </c>
      <c r="AR37" s="158">
        <f t="shared" ref="AR37:AR43" si="52">AG37*AF37*AD37</f>
        <v>21004.98</v>
      </c>
      <c r="AS37" s="157">
        <f t="shared" ref="AS37:AS43" si="53">AO37*AM37</f>
        <v>0</v>
      </c>
      <c r="AT37" s="159">
        <f>(30000)/12</f>
        <v>2500</v>
      </c>
      <c r="AU37" s="160">
        <f t="shared" ref="AU37:AU43" si="54">SUBTOTAL(9,AP37:AT37)</f>
        <v>46523.979999999996</v>
      </c>
      <c r="AV37" s="160"/>
      <c r="AW37" s="161">
        <v>721006343</v>
      </c>
      <c r="AX37" s="162"/>
      <c r="AY37" s="163"/>
      <c r="AZ37" s="162"/>
      <c r="BA37" s="320"/>
      <c r="BB37" s="5"/>
      <c r="BC37" s="165">
        <f t="shared" ref="BC37:BC43" si="55">IF(I37="Rack",AU37/L37,0)+IF(I37="U Space",AU37*40/L37,0)+IF(I37="Space",AU37*30/L37,0)</f>
        <v>46523.979999999996</v>
      </c>
      <c r="BD37" s="165" t="e">
        <f t="shared" ref="BD37:BD43" si="56">+AU37/Y37</f>
        <v>#REF!</v>
      </c>
      <c r="BE37" s="165" t="e">
        <f t="shared" ref="BE37:BF43" si="57">+($AP37+$AQ37+$AR37-BL37)/$Y37</f>
        <v>#REF!</v>
      </c>
      <c r="BF37" s="165" t="e">
        <f t="shared" si="57"/>
        <v>#REF!</v>
      </c>
      <c r="BG37" s="165" t="e">
        <f t="shared" ref="BG37:BG43" si="58">+($AP37+$AQ37+IF(H37="Bundled",0,Y37*0.85*AD37*AF37*30.5*24)-BN37)/$Y37</f>
        <v>#REF!</v>
      </c>
      <c r="BH37" s="165"/>
      <c r="BI37" s="166">
        <f t="shared" ref="BI37:BI43" si="59">+AP37+AQ37+AR37</f>
        <v>44023.979999999996</v>
      </c>
      <c r="BJ37" s="166">
        <f t="shared" ref="BJ37:BJ43" si="60">+BI37-BK37</f>
        <v>23018.999999999996</v>
      </c>
      <c r="BK37" s="166">
        <f>IF(H37="Bundled",MIN(Y37*#REF!*(1+#REF!),BI37),AR37)</f>
        <v>21004.98</v>
      </c>
      <c r="BL37" s="167" t="e">
        <f>IF($AG37&gt;0,$AG37*#REF!*#REF!*(1+#REF!*(20/#REF!)/732),#REF!*Z37)</f>
        <v>#REF!</v>
      </c>
      <c r="BM37" s="167" t="e">
        <f>IF($AG37&gt;0,$AG37*#REF!*#REF!*(1+#REF!*(20/#REF!)/732),+#REF!*(Z37+X37))</f>
        <v>#REF!</v>
      </c>
      <c r="BN37" s="167" t="e">
        <f>IF(H37="Bundled",#REF!*Y37,#REF!*Y37*0.85)</f>
        <v>#REF!</v>
      </c>
      <c r="BO37" s="167" t="e">
        <f t="shared" ref="BO37:BO43" si="61">+BE37*Y37</f>
        <v>#REF!</v>
      </c>
      <c r="BP37" s="167" t="e">
        <f>+#REF!*Y37</f>
        <v>#REF!</v>
      </c>
      <c r="BQ37" s="167" t="e">
        <f t="shared" ref="BQ37:BQ43" si="62">+BJ37-BP37</f>
        <v>#REF!</v>
      </c>
      <c r="BR37" s="167" t="e">
        <f t="shared" ref="BR37:BR43" si="63">+BK37-BL37</f>
        <v>#REF!</v>
      </c>
      <c r="BS37" s="167" t="e">
        <f t="shared" ref="BS37:BS43" si="64">+BQ37+BR37</f>
        <v>#REF!</v>
      </c>
      <c r="BT37" s="167" t="e">
        <f t="shared" si="48"/>
        <v>#REF!</v>
      </c>
      <c r="BU37" s="167" t="e">
        <f t="shared" ref="BU37:BU43" si="65">+BE37</f>
        <v>#REF!</v>
      </c>
      <c r="BV37" s="167" t="e">
        <f t="shared" ref="BV37:BV43" si="66">IF(H37="Bundled",BN37-BL37,AR37-BL37)</f>
        <v>#REF!</v>
      </c>
      <c r="BW37" s="167" t="e">
        <f>IF(H37="Bundled",+(BG37-#REF!)*Y37,(AP37+AQ37)-Y37*#REF!)</f>
        <v>#REF!</v>
      </c>
      <c r="BX37" s="167" t="e">
        <f t="shared" ref="BX37:BX43" si="67">+BV37+BW37</f>
        <v>#REF!</v>
      </c>
      <c r="BY37" s="167" t="e">
        <f t="shared" ref="BY37:CA43" si="68">+BV37/$BT37</f>
        <v>#REF!</v>
      </c>
      <c r="BZ37" s="167" t="e">
        <f t="shared" si="68"/>
        <v>#REF!</v>
      </c>
      <c r="CA37" s="167" t="e">
        <f t="shared" si="68"/>
        <v>#REF!</v>
      </c>
    </row>
    <row r="38" spans="1:81" s="16" customFormat="1">
      <c r="A38" s="142" t="s">
        <v>47</v>
      </c>
      <c r="B38" s="168" t="s">
        <v>292</v>
      </c>
      <c r="C38" s="144" t="s">
        <v>293</v>
      </c>
      <c r="D38" s="144" t="s">
        <v>235</v>
      </c>
      <c r="E38" s="144"/>
      <c r="F38" s="144"/>
      <c r="G38" s="145" t="s">
        <v>130</v>
      </c>
      <c r="H38" s="146" t="s">
        <v>131</v>
      </c>
      <c r="I38" s="145" t="s">
        <v>132</v>
      </c>
      <c r="J38" s="145" t="s">
        <v>133</v>
      </c>
      <c r="K38" s="147" t="str">
        <f t="shared" si="36"/>
        <v>No of Racks</v>
      </c>
      <c r="L38" s="145">
        <v>1</v>
      </c>
      <c r="M38" s="145">
        <v>1</v>
      </c>
      <c r="N38" s="148">
        <f t="shared" si="45"/>
        <v>0</v>
      </c>
      <c r="O38" s="145">
        <v>1</v>
      </c>
      <c r="P38" s="145"/>
      <c r="Q38" s="336">
        <f>480000/12</f>
        <v>40000</v>
      </c>
      <c r="R38" s="150" t="str">
        <f t="shared" si="47"/>
        <v>Rated</v>
      </c>
      <c r="S38" s="145" t="s">
        <v>134</v>
      </c>
      <c r="T38" s="146">
        <v>6</v>
      </c>
      <c r="U38" s="151">
        <v>19.350000000000001</v>
      </c>
      <c r="V38" s="232">
        <f t="shared" si="37"/>
        <v>-13.350000000000001</v>
      </c>
      <c r="W38" s="146"/>
      <c r="X38" s="146">
        <f>IF(V38&lt;=0,0,(IF(R38="Rated",(V38+W38)*#REF!,(V38+W38))))</f>
        <v>0</v>
      </c>
      <c r="Y38" s="146" t="e">
        <f>IF(R38="Rated",T38*#REF!,T38)</f>
        <v>#REF!</v>
      </c>
      <c r="Z38" s="231">
        <v>2.87</v>
      </c>
      <c r="AA38" s="146">
        <f t="shared" si="38"/>
        <v>13.350000000000001</v>
      </c>
      <c r="AB38" s="152">
        <f>90000/12</f>
        <v>7500</v>
      </c>
      <c r="AC38" s="153" t="str">
        <f t="shared" si="39"/>
        <v>Bundled</v>
      </c>
      <c r="AD38" s="146"/>
      <c r="AE38" s="146"/>
      <c r="AF38" s="154"/>
      <c r="AG38" s="146"/>
      <c r="AH38" s="155"/>
      <c r="AI38" s="156" t="str">
        <f>IF(AH38="No of Seats","No of Seats",(IF(AH38="Space","Sq Ft","")))</f>
        <v/>
      </c>
      <c r="AJ38" s="146"/>
      <c r="AK38" s="146"/>
      <c r="AL38" s="146">
        <f t="shared" si="49"/>
        <v>0</v>
      </c>
      <c r="AM38" s="146"/>
      <c r="AN38" s="146"/>
      <c r="AO38" s="149"/>
      <c r="AP38" s="157">
        <f t="shared" si="50"/>
        <v>40000</v>
      </c>
      <c r="AQ38" s="157">
        <f t="shared" si="51"/>
        <v>100125.00000000001</v>
      </c>
      <c r="AR38" s="158">
        <f t="shared" si="52"/>
        <v>0</v>
      </c>
      <c r="AS38" s="157">
        <f t="shared" si="53"/>
        <v>0</v>
      </c>
      <c r="AT38" s="159">
        <v>0</v>
      </c>
      <c r="AU38" s="160">
        <f t="shared" si="54"/>
        <v>140125</v>
      </c>
      <c r="AV38" s="160"/>
      <c r="AW38" s="322"/>
      <c r="AX38" s="318"/>
      <c r="AY38" s="319"/>
      <c r="AZ38" s="318"/>
      <c r="BA38" s="320"/>
      <c r="BB38" s="5"/>
      <c r="BC38" s="165">
        <f t="shared" si="55"/>
        <v>140125</v>
      </c>
      <c r="BD38" s="165" t="e">
        <f t="shared" si="56"/>
        <v>#REF!</v>
      </c>
      <c r="BE38" s="165" t="e">
        <f t="shared" si="57"/>
        <v>#REF!</v>
      </c>
      <c r="BF38" s="165" t="e">
        <f t="shared" si="57"/>
        <v>#REF!</v>
      </c>
      <c r="BG38" s="165" t="e">
        <f t="shared" si="58"/>
        <v>#REF!</v>
      </c>
      <c r="BH38" s="165"/>
      <c r="BI38" s="166">
        <f t="shared" si="59"/>
        <v>140125</v>
      </c>
      <c r="BJ38" s="166" t="e">
        <f t="shared" si="60"/>
        <v>#REF!</v>
      </c>
      <c r="BK38" s="166" t="e">
        <f>IF(H38="Bundled",MIN(Y38*#REF!*(1+#REF!),BI38),AR38)</f>
        <v>#REF!</v>
      </c>
      <c r="BL38" s="167" t="e">
        <f>IF($AG38&gt;0,$AG38*#REF!*#REF!*(1+#REF!*(20/#REF!)/732),#REF!*Z38)</f>
        <v>#REF!</v>
      </c>
      <c r="BM38" s="167" t="e">
        <f>IF($AG38&gt;0,$AG38*#REF!*#REF!*(1+#REF!*(20/#REF!)/732),+#REF!*(Z38+X38))</f>
        <v>#REF!</v>
      </c>
      <c r="BN38" s="167" t="e">
        <f>IF(H38="Bundled",#REF!*Y38,#REF!*Y38*0.85)</f>
        <v>#REF!</v>
      </c>
      <c r="BO38" s="167" t="e">
        <f t="shared" si="61"/>
        <v>#REF!</v>
      </c>
      <c r="BP38" s="167" t="e">
        <f>+#REF!*Y38</f>
        <v>#REF!</v>
      </c>
      <c r="BQ38" s="167" t="e">
        <f t="shared" si="62"/>
        <v>#REF!</v>
      </c>
      <c r="BR38" s="167" t="e">
        <f t="shared" si="63"/>
        <v>#REF!</v>
      </c>
      <c r="BS38" s="167" t="e">
        <f t="shared" si="64"/>
        <v>#REF!</v>
      </c>
      <c r="BT38" s="167" t="e">
        <f t="shared" si="48"/>
        <v>#REF!</v>
      </c>
      <c r="BU38" s="167" t="e">
        <f t="shared" si="65"/>
        <v>#REF!</v>
      </c>
      <c r="BV38" s="167" t="e">
        <f t="shared" si="66"/>
        <v>#REF!</v>
      </c>
      <c r="BW38" s="167" t="e">
        <f>IF(H38="Bundled",+(BG38-#REF!)*Y38,(AP38+AQ38)-Y38*#REF!)</f>
        <v>#REF!</v>
      </c>
      <c r="BX38" s="167" t="e">
        <f t="shared" si="67"/>
        <v>#REF!</v>
      </c>
      <c r="BY38" s="167" t="e">
        <f t="shared" si="68"/>
        <v>#REF!</v>
      </c>
      <c r="BZ38" s="167" t="e">
        <f t="shared" si="68"/>
        <v>#REF!</v>
      </c>
      <c r="CA38" s="167" t="e">
        <f t="shared" si="68"/>
        <v>#REF!</v>
      </c>
    </row>
    <row r="39" spans="1:81" s="16" customFormat="1">
      <c r="A39" s="142" t="s">
        <v>47</v>
      </c>
      <c r="B39" s="168" t="s">
        <v>294</v>
      </c>
      <c r="C39" s="168" t="s">
        <v>295</v>
      </c>
      <c r="D39" s="168" t="s">
        <v>235</v>
      </c>
      <c r="E39" s="168"/>
      <c r="F39" s="168"/>
      <c r="G39" s="145" t="s">
        <v>130</v>
      </c>
      <c r="H39" s="146" t="s">
        <v>131</v>
      </c>
      <c r="I39" s="145" t="s">
        <v>132</v>
      </c>
      <c r="J39" s="145" t="s">
        <v>133</v>
      </c>
      <c r="K39" s="147" t="str">
        <f t="shared" si="36"/>
        <v>No of Racks</v>
      </c>
      <c r="L39" s="145">
        <v>2</v>
      </c>
      <c r="M39" s="145">
        <v>2</v>
      </c>
      <c r="N39" s="148">
        <v>0</v>
      </c>
      <c r="O39" s="145">
        <v>2</v>
      </c>
      <c r="P39" s="145"/>
      <c r="Q39" s="336"/>
      <c r="R39" s="150" t="str">
        <f t="shared" si="47"/>
        <v>Rated</v>
      </c>
      <c r="S39" s="145" t="s">
        <v>134</v>
      </c>
      <c r="T39" s="146">
        <v>6</v>
      </c>
      <c r="U39" s="151">
        <v>3.19</v>
      </c>
      <c r="V39" s="232">
        <f t="shared" si="37"/>
        <v>2.81</v>
      </c>
      <c r="W39" s="146"/>
      <c r="X39" s="146" t="e">
        <f>IF(V39&lt;=0,0,(IF(R39="Rated",(V39+W39)*#REF!,(V39+W39))))</f>
        <v>#REF!</v>
      </c>
      <c r="Y39" s="146" t="e">
        <f>IF(R39="Rated",T39*#REF!,T39)</f>
        <v>#REF!</v>
      </c>
      <c r="Z39" s="231">
        <v>77</v>
      </c>
      <c r="AA39" s="146">
        <f t="shared" si="38"/>
        <v>0</v>
      </c>
      <c r="AB39" s="152">
        <f>90000/12</f>
        <v>7500</v>
      </c>
      <c r="AC39" s="153" t="str">
        <f t="shared" si="39"/>
        <v>Bundled</v>
      </c>
      <c r="AD39" s="146"/>
      <c r="AE39" s="146"/>
      <c r="AF39" s="154"/>
      <c r="AG39" s="146"/>
      <c r="AH39" s="155"/>
      <c r="AI39" s="156" t="str">
        <f>IF(AH39="No of Seats","No of Seats",(IF(AH39="Space","Sq Ft","")))</f>
        <v/>
      </c>
      <c r="AJ39" s="146"/>
      <c r="AK39" s="146"/>
      <c r="AL39" s="146">
        <f t="shared" si="49"/>
        <v>0</v>
      </c>
      <c r="AM39" s="146"/>
      <c r="AN39" s="146"/>
      <c r="AO39" s="149"/>
      <c r="AP39" s="157">
        <f t="shared" si="50"/>
        <v>0</v>
      </c>
      <c r="AQ39" s="157">
        <f t="shared" si="51"/>
        <v>0</v>
      </c>
      <c r="AR39" s="158">
        <f t="shared" si="52"/>
        <v>0</v>
      </c>
      <c r="AS39" s="157">
        <f t="shared" si="53"/>
        <v>0</v>
      </c>
      <c r="AT39" s="159">
        <v>0</v>
      </c>
      <c r="AU39" s="160">
        <f t="shared" si="54"/>
        <v>0</v>
      </c>
      <c r="AV39" s="160"/>
      <c r="AW39" s="322"/>
      <c r="AX39" s="318"/>
      <c r="AY39" s="319"/>
      <c r="AZ39" s="318"/>
      <c r="BA39" s="320"/>
      <c r="BB39" s="5"/>
      <c r="BC39" s="165">
        <f t="shared" si="55"/>
        <v>0</v>
      </c>
      <c r="BD39" s="165" t="e">
        <f t="shared" si="56"/>
        <v>#REF!</v>
      </c>
      <c r="BE39" s="165" t="e">
        <f t="shared" si="57"/>
        <v>#REF!</v>
      </c>
      <c r="BF39" s="165" t="e">
        <f t="shared" si="57"/>
        <v>#REF!</v>
      </c>
      <c r="BG39" s="165" t="e">
        <f t="shared" si="58"/>
        <v>#REF!</v>
      </c>
      <c r="BH39" s="165"/>
      <c r="BI39" s="166">
        <f t="shared" si="59"/>
        <v>0</v>
      </c>
      <c r="BJ39" s="166" t="e">
        <f t="shared" si="60"/>
        <v>#REF!</v>
      </c>
      <c r="BK39" s="166" t="e">
        <f>IF(H39="Bundled",MIN(Y39*#REF!*(1+#REF!),BI39),AR39)</f>
        <v>#REF!</v>
      </c>
      <c r="BL39" s="167" t="e">
        <f>IF($AG39&gt;0,$AG39*#REF!*#REF!*(1+#REF!*(20/#REF!)/732),#REF!*Z39)</f>
        <v>#REF!</v>
      </c>
      <c r="BM39" s="167" t="e">
        <f>IF($AG39&gt;0,$AG39*#REF!*#REF!*(1+#REF!*(20/#REF!)/732),+#REF!*(Z39+X39))</f>
        <v>#REF!</v>
      </c>
      <c r="BN39" s="167" t="e">
        <f>IF(H39="Bundled",#REF!*Y39,#REF!*Y39*0.85)</f>
        <v>#REF!</v>
      </c>
      <c r="BO39" s="167" t="e">
        <f t="shared" si="61"/>
        <v>#REF!</v>
      </c>
      <c r="BP39" s="167" t="e">
        <f>+#REF!*Y39</f>
        <v>#REF!</v>
      </c>
      <c r="BQ39" s="167" t="e">
        <f t="shared" si="62"/>
        <v>#REF!</v>
      </c>
      <c r="BR39" s="167" t="e">
        <f t="shared" si="63"/>
        <v>#REF!</v>
      </c>
      <c r="BS39" s="167" t="e">
        <f t="shared" si="64"/>
        <v>#REF!</v>
      </c>
      <c r="BT39" s="167" t="e">
        <f t="shared" si="48"/>
        <v>#REF!</v>
      </c>
      <c r="BU39" s="167" t="e">
        <f t="shared" si="65"/>
        <v>#REF!</v>
      </c>
      <c r="BV39" s="167" t="e">
        <f t="shared" si="66"/>
        <v>#REF!</v>
      </c>
      <c r="BW39" s="167" t="e">
        <f>IF(H39="Bundled",+(BG39-#REF!)*Y39,(AP39+AQ39)-Y39*#REF!)</f>
        <v>#REF!</v>
      </c>
      <c r="BX39" s="167" t="e">
        <f t="shared" si="67"/>
        <v>#REF!</v>
      </c>
      <c r="BY39" s="167" t="e">
        <f t="shared" si="68"/>
        <v>#REF!</v>
      </c>
      <c r="BZ39" s="167" t="e">
        <f t="shared" si="68"/>
        <v>#REF!</v>
      </c>
      <c r="CA39" s="167" t="e">
        <f t="shared" si="68"/>
        <v>#REF!</v>
      </c>
    </row>
    <row r="40" spans="1:81" s="16" customFormat="1">
      <c r="A40" s="142" t="s">
        <v>47</v>
      </c>
      <c r="B40" s="168" t="s">
        <v>296</v>
      </c>
      <c r="C40" s="168" t="s">
        <v>297</v>
      </c>
      <c r="D40" s="168" t="s">
        <v>239</v>
      </c>
      <c r="E40" s="168"/>
      <c r="F40" s="168"/>
      <c r="G40" s="145" t="s">
        <v>169</v>
      </c>
      <c r="H40" s="146" t="s">
        <v>131</v>
      </c>
      <c r="I40" s="145" t="s">
        <v>132</v>
      </c>
      <c r="J40" s="145" t="s">
        <v>133</v>
      </c>
      <c r="K40" s="147" t="str">
        <f t="shared" si="36"/>
        <v>No of Racks</v>
      </c>
      <c r="L40" s="145">
        <v>2</v>
      </c>
      <c r="M40" s="145">
        <v>2</v>
      </c>
      <c r="N40" s="148">
        <f t="shared" ref="N40:N56" si="69">L40-M40</f>
        <v>0</v>
      </c>
      <c r="O40" s="145">
        <v>2</v>
      </c>
      <c r="P40" s="145"/>
      <c r="Q40" s="149">
        <f>123982</f>
        <v>123982</v>
      </c>
      <c r="R40" s="150" t="str">
        <f t="shared" si="47"/>
        <v>Subscribed</v>
      </c>
      <c r="S40" s="145" t="s">
        <v>134</v>
      </c>
      <c r="T40" s="146">
        <v>14</v>
      </c>
      <c r="U40" s="327">
        <f>Z40/0.9</f>
        <v>14.471841931216931</v>
      </c>
      <c r="V40" s="232">
        <f t="shared" si="37"/>
        <v>-0.47184193121693063</v>
      </c>
      <c r="W40" s="146"/>
      <c r="X40" s="146">
        <f>IF(V40&lt;=0,0,(IF(R40="Rated",(V40+W40)*#REF!,(V40+W40))))</f>
        <v>0</v>
      </c>
      <c r="Y40" s="146">
        <f>IF(R40="Rated",T40*#REF!,T40)</f>
        <v>14</v>
      </c>
      <c r="Z40" s="231">
        <f>AG40/28/24</f>
        <v>13.024657738095238</v>
      </c>
      <c r="AA40" s="146">
        <f t="shared" si="38"/>
        <v>0.47184193121693063</v>
      </c>
      <c r="AB40" s="152">
        <f>17711</f>
        <v>17711</v>
      </c>
      <c r="AC40" s="153" t="str">
        <f t="shared" si="39"/>
        <v>Bundled</v>
      </c>
      <c r="AD40" s="146">
        <v>1</v>
      </c>
      <c r="AE40" s="146" t="s">
        <v>171</v>
      </c>
      <c r="AF40" s="154">
        <v>0</v>
      </c>
      <c r="AG40" s="146">
        <v>8752.57</v>
      </c>
      <c r="AH40" s="155"/>
      <c r="AI40" s="156"/>
      <c r="AJ40" s="146"/>
      <c r="AK40" s="146"/>
      <c r="AL40" s="146">
        <f t="shared" si="49"/>
        <v>0</v>
      </c>
      <c r="AM40" s="146"/>
      <c r="AN40" s="146"/>
      <c r="AO40" s="149"/>
      <c r="AP40" s="157">
        <f t="shared" si="50"/>
        <v>247964</v>
      </c>
      <c r="AQ40" s="157">
        <f t="shared" si="51"/>
        <v>8356.7924437830588</v>
      </c>
      <c r="AR40" s="158">
        <f t="shared" si="52"/>
        <v>0</v>
      </c>
      <c r="AS40" s="157">
        <f t="shared" si="53"/>
        <v>0</v>
      </c>
      <c r="AT40" s="159">
        <v>0</v>
      </c>
      <c r="AU40" s="160">
        <f t="shared" si="54"/>
        <v>256320.79244378305</v>
      </c>
      <c r="AV40" s="160"/>
      <c r="AW40" s="161">
        <v>721007392</v>
      </c>
      <c r="AX40" s="162"/>
      <c r="AY40" s="163"/>
      <c r="AZ40" s="162"/>
      <c r="BA40" s="320"/>
      <c r="BB40" s="5"/>
      <c r="BC40" s="165">
        <f t="shared" si="55"/>
        <v>128160.39622189153</v>
      </c>
      <c r="BD40" s="165">
        <f t="shared" si="56"/>
        <v>18308.62803169879</v>
      </c>
      <c r="BE40" s="165" t="e">
        <f t="shared" si="57"/>
        <v>#REF!</v>
      </c>
      <c r="BF40" s="165" t="e">
        <f t="shared" si="57"/>
        <v>#REF!</v>
      </c>
      <c r="BG40" s="165" t="e">
        <f t="shared" si="58"/>
        <v>#REF!</v>
      </c>
      <c r="BH40" s="165"/>
      <c r="BI40" s="166">
        <f t="shared" si="59"/>
        <v>256320.79244378305</v>
      </c>
      <c r="BJ40" s="166" t="e">
        <f t="shared" si="60"/>
        <v>#REF!</v>
      </c>
      <c r="BK40" s="166" t="e">
        <f>IF(H40="Bundled",MIN(Y40*#REF!*(1+#REF!),BI40),AR40)</f>
        <v>#REF!</v>
      </c>
      <c r="BL40" s="167" t="e">
        <f>IF($AG40&gt;0,$AG40*#REF!*#REF!*(1+#REF!*(20/#REF!)/732),#REF!*Z40)</f>
        <v>#REF!</v>
      </c>
      <c r="BM40" s="167" t="e">
        <f>IF($AG40&gt;0,$AG40*#REF!*#REF!*(1+#REF!*(20/#REF!)/732),+#REF!*(Z40+X40))</f>
        <v>#REF!</v>
      </c>
      <c r="BN40" s="167" t="e">
        <f>IF(H40="Bundled",#REF!*Y40,#REF!*Y40*0.85)</f>
        <v>#REF!</v>
      </c>
      <c r="BO40" s="167" t="e">
        <f t="shared" si="61"/>
        <v>#REF!</v>
      </c>
      <c r="BP40" s="167" t="e">
        <f>+#REF!*Y40</f>
        <v>#REF!</v>
      </c>
      <c r="BQ40" s="167" t="e">
        <f t="shared" si="62"/>
        <v>#REF!</v>
      </c>
      <c r="BR40" s="167" t="e">
        <f t="shared" si="63"/>
        <v>#REF!</v>
      </c>
      <c r="BS40" s="167" t="e">
        <f t="shared" si="64"/>
        <v>#REF!</v>
      </c>
      <c r="BT40" s="167">
        <f t="shared" si="48"/>
        <v>14</v>
      </c>
      <c r="BU40" s="167" t="e">
        <f t="shared" si="65"/>
        <v>#REF!</v>
      </c>
      <c r="BV40" s="167" t="e">
        <f t="shared" si="66"/>
        <v>#REF!</v>
      </c>
      <c r="BW40" s="167" t="e">
        <f>IF(H40="Bundled",+(BG40-#REF!)*Y40,(AP40+AQ40)-Y40*#REF!)</f>
        <v>#REF!</v>
      </c>
      <c r="BX40" s="167" t="e">
        <f t="shared" si="67"/>
        <v>#REF!</v>
      </c>
      <c r="BY40" s="167" t="e">
        <f t="shared" si="68"/>
        <v>#REF!</v>
      </c>
      <c r="BZ40" s="167" t="e">
        <f t="shared" si="68"/>
        <v>#REF!</v>
      </c>
      <c r="CA40" s="167" t="e">
        <f t="shared" si="68"/>
        <v>#REF!</v>
      </c>
    </row>
    <row r="41" spans="1:81" s="16" customFormat="1">
      <c r="A41" s="142" t="s">
        <v>47</v>
      </c>
      <c r="B41" s="168" t="s">
        <v>298</v>
      </c>
      <c r="C41" s="168" t="s">
        <v>299</v>
      </c>
      <c r="D41" s="168" t="s">
        <v>235</v>
      </c>
      <c r="E41" s="168"/>
      <c r="F41" s="168"/>
      <c r="G41" s="145" t="s">
        <v>130</v>
      </c>
      <c r="H41" s="146" t="s">
        <v>131</v>
      </c>
      <c r="I41" s="145" t="s">
        <v>132</v>
      </c>
      <c r="J41" s="145" t="s">
        <v>133</v>
      </c>
      <c r="K41" s="147" t="str">
        <f t="shared" si="36"/>
        <v>No of Racks</v>
      </c>
      <c r="L41" s="145">
        <v>1</v>
      </c>
      <c r="M41" s="145">
        <v>1</v>
      </c>
      <c r="N41" s="148">
        <f t="shared" si="69"/>
        <v>0</v>
      </c>
      <c r="O41" s="145">
        <v>1</v>
      </c>
      <c r="P41" s="145"/>
      <c r="Q41" s="149">
        <f>(160000)/12</f>
        <v>13333.333333333334</v>
      </c>
      <c r="R41" s="150" t="str">
        <f t="shared" si="47"/>
        <v>Rated</v>
      </c>
      <c r="S41" s="145" t="s">
        <v>134</v>
      </c>
      <c r="T41" s="146">
        <v>2</v>
      </c>
      <c r="U41" s="151">
        <v>2.5</v>
      </c>
      <c r="V41" s="232">
        <f t="shared" si="37"/>
        <v>-0.5</v>
      </c>
      <c r="W41" s="146"/>
      <c r="X41" s="146">
        <f>IF(V41&lt;=0,0,(IF(R41="Rated",(V41+W41)*#REF!,(V41+W41))))</f>
        <v>0</v>
      </c>
      <c r="Y41" s="146" t="e">
        <f>IF(R41="Rated",T41*#REF!,T41)</f>
        <v>#REF!</v>
      </c>
      <c r="Z41" s="231">
        <v>2.17</v>
      </c>
      <c r="AA41" s="146">
        <f t="shared" si="38"/>
        <v>0.5</v>
      </c>
      <c r="AB41" s="152">
        <f>125000/12</f>
        <v>10416.666666666666</v>
      </c>
      <c r="AC41" s="153" t="str">
        <f t="shared" si="39"/>
        <v>Bundled</v>
      </c>
      <c r="AD41" s="146"/>
      <c r="AE41" s="146"/>
      <c r="AF41" s="154"/>
      <c r="AG41" s="146"/>
      <c r="AH41" s="155"/>
      <c r="AI41" s="156"/>
      <c r="AJ41" s="146"/>
      <c r="AK41" s="146"/>
      <c r="AL41" s="146">
        <f t="shared" si="49"/>
        <v>0</v>
      </c>
      <c r="AM41" s="146"/>
      <c r="AN41" s="146"/>
      <c r="AO41" s="149"/>
      <c r="AP41" s="157">
        <f t="shared" si="50"/>
        <v>13333.333333333334</v>
      </c>
      <c r="AQ41" s="157">
        <f t="shared" si="51"/>
        <v>5208.333333333333</v>
      </c>
      <c r="AR41" s="158">
        <f t="shared" si="52"/>
        <v>0</v>
      </c>
      <c r="AS41" s="157">
        <f t="shared" si="53"/>
        <v>0</v>
      </c>
      <c r="AT41" s="159">
        <f>(30000)/12</f>
        <v>2500</v>
      </c>
      <c r="AU41" s="160">
        <f t="shared" si="54"/>
        <v>21041.666666666668</v>
      </c>
      <c r="AV41" s="160"/>
      <c r="AW41" s="161">
        <v>121000056</v>
      </c>
      <c r="AX41" s="162"/>
      <c r="AY41" s="163"/>
      <c r="AZ41" s="162"/>
      <c r="BA41" s="164"/>
      <c r="BB41" s="5"/>
      <c r="BC41" s="165">
        <f t="shared" si="55"/>
        <v>21041.666666666668</v>
      </c>
      <c r="BD41" s="165" t="e">
        <f t="shared" si="56"/>
        <v>#REF!</v>
      </c>
      <c r="BE41" s="165" t="e">
        <f t="shared" si="57"/>
        <v>#REF!</v>
      </c>
      <c r="BF41" s="165" t="e">
        <f t="shared" si="57"/>
        <v>#REF!</v>
      </c>
      <c r="BG41" s="165" t="e">
        <f t="shared" si="58"/>
        <v>#REF!</v>
      </c>
      <c r="BH41" s="165"/>
      <c r="BI41" s="166">
        <f t="shared" si="59"/>
        <v>18541.666666666668</v>
      </c>
      <c r="BJ41" s="166" t="e">
        <f t="shared" si="60"/>
        <v>#REF!</v>
      </c>
      <c r="BK41" s="166" t="e">
        <f>IF(H41="Bundled",MIN(Y41*#REF!*(1+#REF!),BI41),AR41)</f>
        <v>#REF!</v>
      </c>
      <c r="BL41" s="167" t="e">
        <f>IF($AG41&gt;0,$AG41*#REF!*#REF!*(1+#REF!*(20/#REF!)/732),#REF!*Z41)</f>
        <v>#REF!</v>
      </c>
      <c r="BM41" s="167" t="e">
        <f>IF($AG41&gt;0,$AG41*#REF!*#REF!*(1+#REF!*(20/#REF!)/732),+#REF!*(Z41+X41))</f>
        <v>#REF!</v>
      </c>
      <c r="BN41" s="167" t="e">
        <f>IF(H41="Bundled",#REF!*Y41,#REF!*Y41*0.85)</f>
        <v>#REF!</v>
      </c>
      <c r="BO41" s="167" t="e">
        <f t="shared" si="61"/>
        <v>#REF!</v>
      </c>
      <c r="BP41" s="167" t="e">
        <f>+#REF!*Y41</f>
        <v>#REF!</v>
      </c>
      <c r="BQ41" s="167" t="e">
        <f t="shared" si="62"/>
        <v>#REF!</v>
      </c>
      <c r="BR41" s="167" t="e">
        <f t="shared" si="63"/>
        <v>#REF!</v>
      </c>
      <c r="BS41" s="167" t="e">
        <f t="shared" si="64"/>
        <v>#REF!</v>
      </c>
      <c r="BT41" s="167" t="e">
        <f t="shared" si="48"/>
        <v>#REF!</v>
      </c>
      <c r="BU41" s="167" t="e">
        <f t="shared" si="65"/>
        <v>#REF!</v>
      </c>
      <c r="BV41" s="167" t="e">
        <f t="shared" si="66"/>
        <v>#REF!</v>
      </c>
      <c r="BW41" s="167" t="e">
        <f>IF(H41="Bundled",+(BG41-#REF!)*Y41,(AP41+AQ41)-Y41*#REF!)</f>
        <v>#REF!</v>
      </c>
      <c r="BX41" s="167" t="e">
        <f t="shared" si="67"/>
        <v>#REF!</v>
      </c>
      <c r="BY41" s="167" t="e">
        <f t="shared" si="68"/>
        <v>#REF!</v>
      </c>
      <c r="BZ41" s="167" t="e">
        <f t="shared" si="68"/>
        <v>#REF!</v>
      </c>
      <c r="CA41" s="167" t="e">
        <f t="shared" si="68"/>
        <v>#REF!</v>
      </c>
    </row>
    <row r="42" spans="1:81" s="16" customFormat="1" ht="26.1">
      <c r="A42" s="142" t="s">
        <v>47</v>
      </c>
      <c r="B42" s="168" t="s">
        <v>300</v>
      </c>
      <c r="C42" s="168" t="s">
        <v>301</v>
      </c>
      <c r="D42" s="168" t="s">
        <v>235</v>
      </c>
      <c r="E42" s="168"/>
      <c r="F42" s="168"/>
      <c r="G42" s="145" t="s">
        <v>169</v>
      </c>
      <c r="H42" s="146" t="s">
        <v>170</v>
      </c>
      <c r="I42" s="145" t="s">
        <v>132</v>
      </c>
      <c r="J42" s="145" t="s">
        <v>133</v>
      </c>
      <c r="K42" s="147" t="str">
        <f t="shared" si="36"/>
        <v>No of Racks</v>
      </c>
      <c r="L42" s="145">
        <v>1</v>
      </c>
      <c r="M42" s="145">
        <v>1</v>
      </c>
      <c r="N42" s="148">
        <f t="shared" si="69"/>
        <v>0</v>
      </c>
      <c r="O42" s="145">
        <v>1</v>
      </c>
      <c r="P42" s="145"/>
      <c r="Q42" s="149">
        <f>(340000)/12</f>
        <v>28333.333333333332</v>
      </c>
      <c r="R42" s="150" t="str">
        <f t="shared" si="47"/>
        <v>Subscribed</v>
      </c>
      <c r="S42" s="145" t="s">
        <v>123</v>
      </c>
      <c r="T42" s="146">
        <v>3</v>
      </c>
      <c r="U42" s="327">
        <f>Z42</f>
        <v>1.0084226190476191</v>
      </c>
      <c r="V42" s="232">
        <f t="shared" si="37"/>
        <v>1.9915773809523809</v>
      </c>
      <c r="W42" s="146"/>
      <c r="X42" s="146">
        <f>IF(V42&lt;=0,0,(IF(R42="Rated",(V42+W42)*#REF!,(V42+W42))))</f>
        <v>1.9915773809523809</v>
      </c>
      <c r="Y42" s="146">
        <f>IF(R42="Rated",T42*#REF!,T42)</f>
        <v>3</v>
      </c>
      <c r="Z42" s="231">
        <f>AG42/28/24</f>
        <v>1.0084226190476191</v>
      </c>
      <c r="AA42" s="146">
        <f t="shared" si="38"/>
        <v>0</v>
      </c>
      <c r="AB42" s="152">
        <f>80000/12</f>
        <v>6666.666666666667</v>
      </c>
      <c r="AC42" s="153" t="str">
        <f t="shared" si="39"/>
        <v>Metered</v>
      </c>
      <c r="AD42" s="146">
        <v>1</v>
      </c>
      <c r="AE42" s="146" t="s">
        <v>171</v>
      </c>
      <c r="AF42" s="154">
        <v>18</v>
      </c>
      <c r="AG42" s="146">
        <v>677.66</v>
      </c>
      <c r="AH42" s="155"/>
      <c r="AI42" s="156"/>
      <c r="AJ42" s="146"/>
      <c r="AK42" s="146"/>
      <c r="AL42" s="146">
        <f t="shared" si="49"/>
        <v>0</v>
      </c>
      <c r="AM42" s="146"/>
      <c r="AN42" s="146"/>
      <c r="AO42" s="149"/>
      <c r="AP42" s="157">
        <f t="shared" si="50"/>
        <v>28333.333333333332</v>
      </c>
      <c r="AQ42" s="157">
        <f t="shared" si="51"/>
        <v>0</v>
      </c>
      <c r="AR42" s="158">
        <f t="shared" si="52"/>
        <v>12197.88</v>
      </c>
      <c r="AS42" s="157">
        <f t="shared" si="53"/>
        <v>0</v>
      </c>
      <c r="AT42" s="159">
        <f>360000/12</f>
        <v>30000</v>
      </c>
      <c r="AU42" s="160">
        <f t="shared" si="54"/>
        <v>70531.213333333333</v>
      </c>
      <c r="AV42" s="160"/>
      <c r="AW42" s="161">
        <v>121000302</v>
      </c>
      <c r="AX42" s="162"/>
      <c r="AY42" s="163"/>
      <c r="AZ42" s="162"/>
      <c r="BA42" s="164"/>
      <c r="BB42" s="5"/>
      <c r="BC42" s="165">
        <f t="shared" si="55"/>
        <v>70531.213333333333</v>
      </c>
      <c r="BD42" s="165">
        <f t="shared" si="56"/>
        <v>23510.404444444444</v>
      </c>
      <c r="BE42" s="165" t="e">
        <f t="shared" si="57"/>
        <v>#REF!</v>
      </c>
      <c r="BF42" s="165" t="e">
        <f t="shared" si="57"/>
        <v>#REF!</v>
      </c>
      <c r="BG42" s="165" t="e">
        <f t="shared" si="58"/>
        <v>#REF!</v>
      </c>
      <c r="BH42" s="165"/>
      <c r="BI42" s="166">
        <f t="shared" si="59"/>
        <v>40531.213333333333</v>
      </c>
      <c r="BJ42" s="166">
        <f t="shared" si="60"/>
        <v>28333.333333333336</v>
      </c>
      <c r="BK42" s="166">
        <f>IF(H42="Bundled",MIN(Y42*#REF!*(1+#REF!),BI42),AR42)</f>
        <v>12197.88</v>
      </c>
      <c r="BL42" s="167" t="e">
        <f>IF($AG42&gt;0,$AG42*#REF!*#REF!*(1+#REF!*(20/#REF!)/732),#REF!*Z42)</f>
        <v>#REF!</v>
      </c>
      <c r="BM42" s="167" t="e">
        <f>IF($AG42&gt;0,$AG42*#REF!*#REF!*(1+#REF!*(20/#REF!)/732),+#REF!*(Z42+X42))</f>
        <v>#REF!</v>
      </c>
      <c r="BN42" s="167" t="e">
        <f>IF(H42="Bundled",#REF!*Y42,#REF!*Y42*0.85)</f>
        <v>#REF!</v>
      </c>
      <c r="BO42" s="167" t="e">
        <f t="shared" si="61"/>
        <v>#REF!</v>
      </c>
      <c r="BP42" s="167" t="e">
        <f>+#REF!*Y42</f>
        <v>#REF!</v>
      </c>
      <c r="BQ42" s="167" t="e">
        <f t="shared" si="62"/>
        <v>#REF!</v>
      </c>
      <c r="BR42" s="167" t="e">
        <f t="shared" si="63"/>
        <v>#REF!</v>
      </c>
      <c r="BS42" s="167" t="e">
        <f t="shared" si="64"/>
        <v>#REF!</v>
      </c>
      <c r="BT42" s="167">
        <f t="shared" si="48"/>
        <v>3</v>
      </c>
      <c r="BU42" s="167" t="e">
        <f t="shared" si="65"/>
        <v>#REF!</v>
      </c>
      <c r="BV42" s="167" t="e">
        <f t="shared" si="66"/>
        <v>#REF!</v>
      </c>
      <c r="BW42" s="167" t="e">
        <f>IF(H42="Bundled",+(BG42-#REF!)*Y42,(AP42+AQ42)-Y42*#REF!)</f>
        <v>#REF!</v>
      </c>
      <c r="BX42" s="167" t="e">
        <f t="shared" si="67"/>
        <v>#REF!</v>
      </c>
      <c r="BY42" s="167" t="e">
        <f t="shared" si="68"/>
        <v>#REF!</v>
      </c>
      <c r="BZ42" s="167" t="e">
        <f t="shared" si="68"/>
        <v>#REF!</v>
      </c>
      <c r="CA42" s="167" t="e">
        <f t="shared" si="68"/>
        <v>#REF!</v>
      </c>
    </row>
    <row r="43" spans="1:81" s="16" customFormat="1">
      <c r="A43" s="366" t="s">
        <v>47</v>
      </c>
      <c r="B43" s="360" t="s">
        <v>302</v>
      </c>
      <c r="C43" s="168" t="s">
        <v>303</v>
      </c>
      <c r="D43" s="168" t="s">
        <v>239</v>
      </c>
      <c r="E43" s="168"/>
      <c r="F43" s="168"/>
      <c r="G43" s="145" t="s">
        <v>130</v>
      </c>
      <c r="H43" s="146" t="s">
        <v>131</v>
      </c>
      <c r="I43" s="145" t="s">
        <v>144</v>
      </c>
      <c r="J43" s="145" t="s">
        <v>133</v>
      </c>
      <c r="K43" s="147" t="str">
        <f t="shared" si="36"/>
        <v>U Space</v>
      </c>
      <c r="L43" s="145">
        <v>21</v>
      </c>
      <c r="M43" s="145">
        <v>21</v>
      </c>
      <c r="N43" s="148">
        <f t="shared" si="69"/>
        <v>0</v>
      </c>
      <c r="O43" s="145">
        <v>21</v>
      </c>
      <c r="P43" s="145"/>
      <c r="Q43" s="149">
        <f>(400000)/12</f>
        <v>33333.333333333336</v>
      </c>
      <c r="R43" s="150" t="str">
        <f t="shared" si="47"/>
        <v>Rated</v>
      </c>
      <c r="S43" s="145" t="s">
        <v>134</v>
      </c>
      <c r="T43" s="146">
        <v>1.5</v>
      </c>
      <c r="U43" s="151">
        <v>5.33</v>
      </c>
      <c r="V43" s="232">
        <f t="shared" si="37"/>
        <v>-3.83</v>
      </c>
      <c r="W43" s="146"/>
      <c r="X43" s="146">
        <f>IF(V43&lt;=0,0,(IF(R43="Rated",(V43+W43)*#REF!,(V43+W43))))</f>
        <v>0</v>
      </c>
      <c r="Y43" s="146" t="e">
        <f>IF(R43="Rated",T43*#REF!,T43)</f>
        <v>#REF!</v>
      </c>
      <c r="Z43" s="365">
        <v>3.38</v>
      </c>
      <c r="AA43" s="146">
        <f t="shared" si="38"/>
        <v>3.83</v>
      </c>
      <c r="AB43" s="152">
        <f>80000/12</f>
        <v>6666.666666666667</v>
      </c>
      <c r="AC43" s="153" t="str">
        <f t="shared" si="39"/>
        <v>Bundled</v>
      </c>
      <c r="AD43" s="146"/>
      <c r="AE43" s="146"/>
      <c r="AF43" s="154"/>
      <c r="AG43" s="146"/>
      <c r="AH43" s="155"/>
      <c r="AI43" s="156"/>
      <c r="AJ43" s="146"/>
      <c r="AK43" s="146"/>
      <c r="AL43" s="146">
        <f t="shared" si="49"/>
        <v>0</v>
      </c>
      <c r="AM43" s="146"/>
      <c r="AN43" s="146"/>
      <c r="AO43" s="149"/>
      <c r="AP43" s="157">
        <f t="shared" si="50"/>
        <v>700000</v>
      </c>
      <c r="AQ43" s="157">
        <f t="shared" si="51"/>
        <v>25533.333333333336</v>
      </c>
      <c r="AR43" s="158">
        <f t="shared" si="52"/>
        <v>0</v>
      </c>
      <c r="AS43" s="157">
        <f t="shared" si="53"/>
        <v>0</v>
      </c>
      <c r="AT43" s="159">
        <f>(40000+5000)/12</f>
        <v>3750</v>
      </c>
      <c r="AU43" s="160">
        <f t="shared" si="54"/>
        <v>729283.33333333337</v>
      </c>
      <c r="AV43" s="160"/>
      <c r="AW43" s="161">
        <v>121000827</v>
      </c>
      <c r="AX43" s="162"/>
      <c r="AY43" s="163"/>
      <c r="AZ43" s="162"/>
      <c r="BA43" s="164"/>
      <c r="BB43" s="5"/>
      <c r="BC43" s="165">
        <f t="shared" si="55"/>
        <v>1389111.1111111112</v>
      </c>
      <c r="BD43" s="165" t="e">
        <f t="shared" si="56"/>
        <v>#REF!</v>
      </c>
      <c r="BE43" s="165" t="e">
        <f t="shared" si="57"/>
        <v>#REF!</v>
      </c>
      <c r="BF43" s="165" t="e">
        <f t="shared" si="57"/>
        <v>#REF!</v>
      </c>
      <c r="BG43" s="165" t="e">
        <f t="shared" si="58"/>
        <v>#REF!</v>
      </c>
      <c r="BH43" s="165"/>
      <c r="BI43" s="166">
        <f t="shared" si="59"/>
        <v>725533.33333333337</v>
      </c>
      <c r="BJ43" s="166" t="e">
        <f t="shared" si="60"/>
        <v>#REF!</v>
      </c>
      <c r="BK43" s="166" t="e">
        <f>IF(H43="Bundled",MIN(Y43*#REF!*(1+#REF!),BI43),AR43)</f>
        <v>#REF!</v>
      </c>
      <c r="BL43" s="167" t="e">
        <f>IF($AG43&gt;0,$AG43*#REF!*#REF!*(1+#REF!*(20/#REF!)/732),#REF!*Z43)</f>
        <v>#REF!</v>
      </c>
      <c r="BM43" s="167" t="e">
        <f>IF($AG43&gt;0,$AG43*#REF!*#REF!*(1+#REF!*(20/#REF!)/732),+#REF!*(Z43+X43))</f>
        <v>#REF!</v>
      </c>
      <c r="BN43" s="167" t="e">
        <f>IF(H43="Bundled",#REF!*Y43,#REF!*Y43*0.85)</f>
        <v>#REF!</v>
      </c>
      <c r="BO43" s="167" t="e">
        <f t="shared" si="61"/>
        <v>#REF!</v>
      </c>
      <c r="BP43" s="167" t="e">
        <f>+#REF!*Y43</f>
        <v>#REF!</v>
      </c>
      <c r="BQ43" s="167" t="e">
        <f t="shared" si="62"/>
        <v>#REF!</v>
      </c>
      <c r="BR43" s="167" t="e">
        <f t="shared" si="63"/>
        <v>#REF!</v>
      </c>
      <c r="BS43" s="167" t="e">
        <f t="shared" si="64"/>
        <v>#REF!</v>
      </c>
      <c r="BT43" s="167" t="e">
        <f t="shared" si="48"/>
        <v>#REF!</v>
      </c>
      <c r="BU43" s="167" t="e">
        <f t="shared" si="65"/>
        <v>#REF!</v>
      </c>
      <c r="BV43" s="167" t="e">
        <f t="shared" si="66"/>
        <v>#REF!</v>
      </c>
      <c r="BW43" s="167" t="e">
        <f>IF(H43="Bundled",+(BG43-#REF!)*Y43,(AP43+AQ43)-Y43*#REF!)</f>
        <v>#REF!</v>
      </c>
      <c r="BX43" s="167" t="e">
        <f t="shared" si="67"/>
        <v>#REF!</v>
      </c>
      <c r="BY43" s="167" t="e">
        <f t="shared" si="68"/>
        <v>#REF!</v>
      </c>
      <c r="BZ43" s="167" t="e">
        <f t="shared" si="68"/>
        <v>#REF!</v>
      </c>
      <c r="CA43" s="167" t="e">
        <f t="shared" si="68"/>
        <v>#REF!</v>
      </c>
    </row>
    <row r="44" spans="1:81" s="16" customFormat="1">
      <c r="A44" s="255"/>
      <c r="B44" s="258"/>
      <c r="C44" s="168" t="s">
        <v>304</v>
      </c>
      <c r="D44" s="168" t="s">
        <v>235</v>
      </c>
      <c r="E44" s="168"/>
      <c r="F44" s="168"/>
      <c r="G44" s="145" t="s">
        <v>130</v>
      </c>
      <c r="H44" s="146" t="s">
        <v>131</v>
      </c>
      <c r="I44" s="145" t="s">
        <v>144</v>
      </c>
      <c r="J44" s="145" t="s">
        <v>133</v>
      </c>
      <c r="K44" s="147" t="str">
        <f t="shared" si="36"/>
        <v>U Space</v>
      </c>
      <c r="L44" s="145">
        <v>1</v>
      </c>
      <c r="M44" s="145">
        <v>1</v>
      </c>
      <c r="N44" s="148">
        <f t="shared" si="69"/>
        <v>0</v>
      </c>
      <c r="O44" s="145">
        <v>1</v>
      </c>
      <c r="P44" s="145"/>
      <c r="Q44" s="149"/>
      <c r="R44" s="150" t="str">
        <f t="shared" si="47"/>
        <v>Rated</v>
      </c>
      <c r="S44" s="145" t="s">
        <v>134</v>
      </c>
      <c r="T44" s="146">
        <v>0.25</v>
      </c>
      <c r="U44" s="151">
        <v>0.27</v>
      </c>
      <c r="V44" s="232">
        <f t="shared" si="37"/>
        <v>-2.0000000000000018E-2</v>
      </c>
      <c r="W44" s="146"/>
      <c r="X44" s="146">
        <f>IF(V44&lt;=0,0,(IF(R44="Rated",(V44+W44)*#REF!,(V44+W44))))</f>
        <v>0</v>
      </c>
      <c r="Y44" s="146" t="e">
        <f>IF(R44="Rated",T44*#REF!,T44)</f>
        <v>#REF!</v>
      </c>
      <c r="Z44" s="257"/>
      <c r="AA44" s="146">
        <f t="shared" si="38"/>
        <v>2.0000000000000018E-2</v>
      </c>
      <c r="AB44" s="152"/>
      <c r="AC44" s="153" t="str">
        <f t="shared" si="39"/>
        <v>Bundled</v>
      </c>
      <c r="AD44" s="146"/>
      <c r="AE44" s="146"/>
      <c r="AF44" s="154"/>
      <c r="AG44" s="146"/>
      <c r="AH44" s="155"/>
      <c r="AI44" s="156"/>
      <c r="AJ44" s="146"/>
      <c r="AK44" s="146"/>
      <c r="AL44" s="146"/>
      <c r="AM44" s="146"/>
      <c r="AN44" s="146"/>
      <c r="AO44" s="149"/>
      <c r="AP44" s="157"/>
      <c r="AQ44" s="157"/>
      <c r="AR44" s="158"/>
      <c r="AS44" s="157"/>
      <c r="AT44" s="159"/>
      <c r="AU44" s="160"/>
      <c r="AV44" s="160"/>
      <c r="AW44" s="161"/>
      <c r="AX44" s="162"/>
      <c r="AY44" s="163"/>
      <c r="AZ44" s="162"/>
      <c r="BA44" s="164"/>
      <c r="BB44" s="5"/>
      <c r="BC44" s="165"/>
      <c r="BD44" s="165"/>
      <c r="BE44" s="165"/>
      <c r="BF44" s="165"/>
      <c r="BG44" s="165"/>
      <c r="BH44" s="165"/>
      <c r="BI44" s="166"/>
      <c r="BJ44" s="166"/>
      <c r="BK44" s="166"/>
      <c r="BL44" s="167"/>
      <c r="BM44" s="167"/>
      <c r="BN44" s="167" t="e">
        <f>IF(H44="Bundled",#REF!*Y44,#REF!*Y44*0.85)</f>
        <v>#REF!</v>
      </c>
      <c r="BO44" s="167"/>
      <c r="BP44" s="167"/>
      <c r="BQ44" s="167"/>
      <c r="BR44" s="167"/>
      <c r="BS44" s="167"/>
      <c r="BT44" s="167" t="e">
        <f t="shared" si="48"/>
        <v>#REF!</v>
      </c>
      <c r="BU44" s="167"/>
      <c r="BV44" s="167"/>
      <c r="BW44" s="167"/>
      <c r="BX44" s="167"/>
      <c r="BY44" s="167"/>
      <c r="BZ44" s="167"/>
      <c r="CA44" s="167"/>
    </row>
    <row r="45" spans="1:81" s="16" customFormat="1">
      <c r="A45" s="255"/>
      <c r="B45" s="258"/>
      <c r="C45" s="168" t="s">
        <v>305</v>
      </c>
      <c r="D45" s="168" t="s">
        <v>235</v>
      </c>
      <c r="E45" s="168"/>
      <c r="F45" s="168"/>
      <c r="G45" s="145" t="s">
        <v>130</v>
      </c>
      <c r="H45" s="146" t="s">
        <v>131</v>
      </c>
      <c r="I45" s="145" t="s">
        <v>144</v>
      </c>
      <c r="J45" s="145" t="s">
        <v>133</v>
      </c>
      <c r="K45" s="147" t="str">
        <f t="shared" si="36"/>
        <v>U Space</v>
      </c>
      <c r="L45" s="145">
        <v>2</v>
      </c>
      <c r="M45" s="145">
        <v>2</v>
      </c>
      <c r="N45" s="148">
        <f t="shared" si="69"/>
        <v>0</v>
      </c>
      <c r="O45" s="145">
        <v>2</v>
      </c>
      <c r="P45" s="145"/>
      <c r="Q45" s="149"/>
      <c r="R45" s="150" t="str">
        <f t="shared" si="47"/>
        <v>Rated</v>
      </c>
      <c r="S45" s="145" t="s">
        <v>134</v>
      </c>
      <c r="T45" s="146">
        <v>0.5</v>
      </c>
      <c r="U45" s="151">
        <v>0.44</v>
      </c>
      <c r="V45" s="232">
        <f t="shared" si="37"/>
        <v>0.06</v>
      </c>
      <c r="W45" s="146"/>
      <c r="X45" s="146" t="e">
        <f>IF(V45&lt;=0,0,(IF(R45="Rated",(V45+W45)*#REF!,(V45+W45))))</f>
        <v>#REF!</v>
      </c>
      <c r="Y45" s="146" t="e">
        <f>IF(R45="Rated",T45*#REF!,T45)</f>
        <v>#REF!</v>
      </c>
      <c r="Z45" s="257"/>
      <c r="AA45" s="146">
        <f t="shared" si="38"/>
        <v>0</v>
      </c>
      <c r="AB45" s="152"/>
      <c r="AC45" s="153" t="str">
        <f t="shared" si="39"/>
        <v>Bundled</v>
      </c>
      <c r="AD45" s="146"/>
      <c r="AE45" s="146"/>
      <c r="AF45" s="154"/>
      <c r="AG45" s="146"/>
      <c r="AH45" s="155"/>
      <c r="AI45" s="156"/>
      <c r="AJ45" s="146"/>
      <c r="AK45" s="146"/>
      <c r="AL45" s="146"/>
      <c r="AM45" s="146"/>
      <c r="AN45" s="146"/>
      <c r="AO45" s="149"/>
      <c r="AP45" s="157"/>
      <c r="AQ45" s="157"/>
      <c r="AR45" s="158"/>
      <c r="AS45" s="157"/>
      <c r="AT45" s="159"/>
      <c r="AU45" s="160"/>
      <c r="AV45" s="160"/>
      <c r="AW45" s="161"/>
      <c r="AX45" s="162"/>
      <c r="AY45" s="163"/>
      <c r="AZ45" s="162"/>
      <c r="BA45" s="164"/>
      <c r="BB45" s="5"/>
      <c r="BC45" s="165"/>
      <c r="BD45" s="165"/>
      <c r="BE45" s="165"/>
      <c r="BF45" s="165"/>
      <c r="BG45" s="165"/>
      <c r="BH45" s="165"/>
      <c r="BI45" s="166"/>
      <c r="BJ45" s="166"/>
      <c r="BK45" s="166"/>
      <c r="BL45" s="167"/>
      <c r="BM45" s="167"/>
      <c r="BN45" s="167" t="e">
        <f>IF(H45="Bundled",#REF!*Y45,#REF!*Y45*0.85)</f>
        <v>#REF!</v>
      </c>
      <c r="BO45" s="167"/>
      <c r="BP45" s="167"/>
      <c r="BQ45" s="167"/>
      <c r="BR45" s="167"/>
      <c r="BS45" s="167"/>
      <c r="BT45" s="167" t="e">
        <f t="shared" si="48"/>
        <v>#REF!</v>
      </c>
      <c r="BU45" s="167"/>
      <c r="BV45" s="167"/>
      <c r="BW45" s="167"/>
      <c r="BX45" s="167"/>
      <c r="BY45" s="167"/>
      <c r="BZ45" s="167"/>
      <c r="CA45" s="167"/>
    </row>
    <row r="46" spans="1:81" s="16" customFormat="1">
      <c r="A46" s="255"/>
      <c r="B46" s="258"/>
      <c r="C46" s="168" t="s">
        <v>306</v>
      </c>
      <c r="D46" s="168" t="s">
        <v>235</v>
      </c>
      <c r="E46" s="168"/>
      <c r="F46" s="168"/>
      <c r="G46" s="145" t="s">
        <v>130</v>
      </c>
      <c r="H46" s="146" t="s">
        <v>131</v>
      </c>
      <c r="I46" s="145" t="s">
        <v>144</v>
      </c>
      <c r="J46" s="145" t="s">
        <v>133</v>
      </c>
      <c r="K46" s="147" t="str">
        <f t="shared" si="36"/>
        <v>U Space</v>
      </c>
      <c r="L46" s="145">
        <v>1</v>
      </c>
      <c r="M46" s="145">
        <v>1</v>
      </c>
      <c r="N46" s="148">
        <f t="shared" si="69"/>
        <v>0</v>
      </c>
      <c r="O46" s="145">
        <v>1</v>
      </c>
      <c r="P46" s="145"/>
      <c r="Q46" s="149"/>
      <c r="R46" s="150" t="str">
        <f t="shared" si="47"/>
        <v>Rated</v>
      </c>
      <c r="S46" s="145" t="s">
        <v>134</v>
      </c>
      <c r="T46" s="146">
        <v>0.5</v>
      </c>
      <c r="U46" s="151">
        <v>0.19</v>
      </c>
      <c r="V46" s="232">
        <f t="shared" si="37"/>
        <v>0.31</v>
      </c>
      <c r="W46" s="146"/>
      <c r="X46" s="146" t="e">
        <f>IF(V46&lt;=0,0,(IF(R46="Rated",(V46+W46)*#REF!,(V46+W46))))</f>
        <v>#REF!</v>
      </c>
      <c r="Y46" s="146" t="e">
        <f>IF(R46="Rated",T46*#REF!,T46)</f>
        <v>#REF!</v>
      </c>
      <c r="Z46" s="257"/>
      <c r="AA46" s="146">
        <f t="shared" si="38"/>
        <v>0</v>
      </c>
      <c r="AB46" s="152"/>
      <c r="AC46" s="153" t="str">
        <f t="shared" si="39"/>
        <v>Bundled</v>
      </c>
      <c r="AD46" s="146"/>
      <c r="AE46" s="146"/>
      <c r="AF46" s="154"/>
      <c r="AG46" s="146"/>
      <c r="AH46" s="155"/>
      <c r="AI46" s="156"/>
      <c r="AJ46" s="146"/>
      <c r="AK46" s="146"/>
      <c r="AL46" s="146"/>
      <c r="AM46" s="146"/>
      <c r="AN46" s="146"/>
      <c r="AO46" s="149"/>
      <c r="AP46" s="157"/>
      <c r="AQ46" s="157"/>
      <c r="AR46" s="158"/>
      <c r="AS46" s="157"/>
      <c r="AT46" s="159"/>
      <c r="AU46" s="160"/>
      <c r="AV46" s="160"/>
      <c r="AW46" s="161"/>
      <c r="AX46" s="162"/>
      <c r="AY46" s="163"/>
      <c r="AZ46" s="162"/>
      <c r="BA46" s="164"/>
      <c r="BB46" s="5"/>
      <c r="BC46" s="165"/>
      <c r="BD46" s="165"/>
      <c r="BE46" s="165"/>
      <c r="BF46" s="165"/>
      <c r="BG46" s="165"/>
      <c r="BH46" s="165"/>
      <c r="BI46" s="166"/>
      <c r="BJ46" s="166"/>
      <c r="BK46" s="166"/>
      <c r="BL46" s="167"/>
      <c r="BM46" s="167"/>
      <c r="BN46" s="167" t="e">
        <f>IF(H46="Bundled",#REF!*Y46,#REF!*Y46*0.85)</f>
        <v>#REF!</v>
      </c>
      <c r="BO46" s="167"/>
      <c r="BP46" s="167"/>
      <c r="BQ46" s="167"/>
      <c r="BR46" s="167"/>
      <c r="BS46" s="167"/>
      <c r="BT46" s="167" t="e">
        <f t="shared" si="48"/>
        <v>#REF!</v>
      </c>
      <c r="BU46" s="167"/>
      <c r="BV46" s="167"/>
      <c r="BW46" s="167"/>
      <c r="BX46" s="167"/>
      <c r="BY46" s="167"/>
      <c r="BZ46" s="167"/>
      <c r="CA46" s="167"/>
    </row>
    <row r="47" spans="1:81" s="16" customFormat="1">
      <c r="A47" s="256"/>
      <c r="B47" s="259"/>
      <c r="C47" s="168" t="s">
        <v>307</v>
      </c>
      <c r="D47" s="168" t="s">
        <v>235</v>
      </c>
      <c r="E47" s="168"/>
      <c r="F47" s="168"/>
      <c r="G47" s="145" t="s">
        <v>130</v>
      </c>
      <c r="H47" s="146" t="s">
        <v>131</v>
      </c>
      <c r="I47" s="145" t="s">
        <v>144</v>
      </c>
      <c r="J47" s="145" t="s">
        <v>133</v>
      </c>
      <c r="K47" s="147" t="str">
        <f t="shared" si="36"/>
        <v>U Space</v>
      </c>
      <c r="L47" s="145">
        <v>2</v>
      </c>
      <c r="M47" s="145">
        <v>2</v>
      </c>
      <c r="N47" s="148">
        <f t="shared" si="69"/>
        <v>0</v>
      </c>
      <c r="O47" s="145">
        <v>2</v>
      </c>
      <c r="P47" s="145"/>
      <c r="Q47" s="149"/>
      <c r="R47" s="150" t="str">
        <f t="shared" si="47"/>
        <v>Rated</v>
      </c>
      <c r="S47" s="145" t="s">
        <v>134</v>
      </c>
      <c r="T47" s="146">
        <v>0.25</v>
      </c>
      <c r="U47" s="151">
        <v>1.04</v>
      </c>
      <c r="V47" s="232">
        <f t="shared" si="37"/>
        <v>-0.79</v>
      </c>
      <c r="W47" s="146"/>
      <c r="X47" s="146">
        <f>IF(V47&lt;=0,0,(IF(R47="Rated",(V47+W47)*#REF!,(V47+W47))))</f>
        <v>0</v>
      </c>
      <c r="Y47" s="146" t="e">
        <f>IF(R47="Rated",T47*#REF!,T47)</f>
        <v>#REF!</v>
      </c>
      <c r="Z47" s="252"/>
      <c r="AA47" s="146">
        <f t="shared" si="38"/>
        <v>0.79</v>
      </c>
      <c r="AB47" s="152"/>
      <c r="AC47" s="153" t="str">
        <f t="shared" si="39"/>
        <v>Bundled</v>
      </c>
      <c r="AD47" s="146"/>
      <c r="AE47" s="146"/>
      <c r="AF47" s="154"/>
      <c r="AG47" s="146"/>
      <c r="AH47" s="155"/>
      <c r="AI47" s="156"/>
      <c r="AJ47" s="146"/>
      <c r="AK47" s="146"/>
      <c r="AL47" s="146"/>
      <c r="AM47" s="146"/>
      <c r="AN47" s="146"/>
      <c r="AO47" s="149"/>
      <c r="AP47" s="157"/>
      <c r="AQ47" s="157"/>
      <c r="AR47" s="158"/>
      <c r="AS47" s="157"/>
      <c r="AT47" s="159"/>
      <c r="AU47" s="160"/>
      <c r="AV47" s="160"/>
      <c r="AW47" s="161"/>
      <c r="AX47" s="162"/>
      <c r="AY47" s="163"/>
      <c r="AZ47" s="162"/>
      <c r="BA47" s="164"/>
      <c r="BB47" s="5"/>
      <c r="BC47" s="165"/>
      <c r="BD47" s="165"/>
      <c r="BE47" s="165"/>
      <c r="BF47" s="165"/>
      <c r="BG47" s="165"/>
      <c r="BH47" s="165"/>
      <c r="BI47" s="166"/>
      <c r="BJ47" s="166"/>
      <c r="BK47" s="166"/>
      <c r="BL47" s="167"/>
      <c r="BM47" s="167"/>
      <c r="BN47" s="167" t="e">
        <f>IF(H47="Bundled",#REF!*Y47,#REF!*Y47*0.85)</f>
        <v>#REF!</v>
      </c>
      <c r="BO47" s="167"/>
      <c r="BP47" s="167"/>
      <c r="BQ47" s="167"/>
      <c r="BR47" s="167"/>
      <c r="BS47" s="167"/>
      <c r="BT47" s="167" t="e">
        <f t="shared" si="48"/>
        <v>#REF!</v>
      </c>
      <c r="BU47" s="167"/>
      <c r="BV47" s="167"/>
      <c r="BW47" s="167"/>
      <c r="BX47" s="167"/>
      <c r="BY47" s="167"/>
      <c r="BZ47" s="167"/>
      <c r="CA47" s="167"/>
    </row>
    <row r="48" spans="1:81" s="16" customFormat="1">
      <c r="A48" s="142" t="s">
        <v>47</v>
      </c>
      <c r="B48" s="168" t="s">
        <v>308</v>
      </c>
      <c r="C48" s="144" t="s">
        <v>309</v>
      </c>
      <c r="D48" s="144" t="s">
        <v>239</v>
      </c>
      <c r="E48" s="144"/>
      <c r="F48" s="144"/>
      <c r="G48" s="145" t="s">
        <v>130</v>
      </c>
      <c r="H48" s="146" t="s">
        <v>131</v>
      </c>
      <c r="I48" s="145" t="s">
        <v>132</v>
      </c>
      <c r="J48" s="145" t="s">
        <v>133</v>
      </c>
      <c r="K48" s="147" t="str">
        <f t="shared" si="36"/>
        <v>No of Racks</v>
      </c>
      <c r="L48" s="145">
        <v>1</v>
      </c>
      <c r="M48" s="145">
        <v>1</v>
      </c>
      <c r="N48" s="148">
        <f t="shared" si="69"/>
        <v>0</v>
      </c>
      <c r="O48" s="145">
        <v>1</v>
      </c>
      <c r="P48" s="145"/>
      <c r="Q48" s="149">
        <f>672600/12</f>
        <v>56050</v>
      </c>
      <c r="R48" s="150" t="str">
        <f t="shared" si="47"/>
        <v>Rated</v>
      </c>
      <c r="S48" s="145" t="s">
        <v>134</v>
      </c>
      <c r="T48" s="146">
        <v>5</v>
      </c>
      <c r="U48" s="151">
        <v>7.64</v>
      </c>
      <c r="V48" s="232">
        <f t="shared" si="37"/>
        <v>-2.6399999999999997</v>
      </c>
      <c r="W48" s="146"/>
      <c r="X48" s="146">
        <f>IF(V48&lt;=0,0,(IF(R48="Rated",(V48+W48)*#REF!,(V48+W48))))</f>
        <v>0</v>
      </c>
      <c r="Y48" s="146" t="e">
        <f>IF(R48="Rated",T48*#REF!,T48)</f>
        <v>#REF!</v>
      </c>
      <c r="Z48" s="231">
        <v>1.32</v>
      </c>
      <c r="AA48" s="146">
        <f t="shared" si="38"/>
        <v>2.6399999999999997</v>
      </c>
      <c r="AB48" s="152">
        <f>110000/12</f>
        <v>9166.6666666666661</v>
      </c>
      <c r="AC48" s="153" t="str">
        <f t="shared" ref="AC48:AC69" si="70">H48</f>
        <v>Bundled</v>
      </c>
      <c r="AD48" s="146"/>
      <c r="AE48" s="146"/>
      <c r="AF48" s="154"/>
      <c r="AG48" s="146"/>
      <c r="AH48" s="155"/>
      <c r="AI48" s="156"/>
      <c r="AJ48" s="146"/>
      <c r="AK48" s="146"/>
      <c r="AL48" s="146">
        <f>AJ48-AK48</f>
        <v>0</v>
      </c>
      <c r="AM48" s="146"/>
      <c r="AN48" s="146"/>
      <c r="AO48" s="149"/>
      <c r="AP48" s="157">
        <f>Q48*O48</f>
        <v>56050</v>
      </c>
      <c r="AQ48" s="157">
        <f>AB48*AA48</f>
        <v>24199.999999999996</v>
      </c>
      <c r="AR48" s="158">
        <f>AG48*AF48*AD48</f>
        <v>0</v>
      </c>
      <c r="AS48" s="157">
        <f>AO48*AM48</f>
        <v>0</v>
      </c>
      <c r="AT48" s="159">
        <v>0</v>
      </c>
      <c r="AU48" s="160">
        <f>SUBTOTAL(9,AP48:AT48)</f>
        <v>80250</v>
      </c>
      <c r="AV48" s="160"/>
      <c r="AW48" s="161">
        <v>121001543</v>
      </c>
      <c r="AX48" s="162"/>
      <c r="AY48" s="163"/>
      <c r="AZ48" s="162"/>
      <c r="BA48" s="164"/>
      <c r="BB48" s="5"/>
      <c r="BC48" s="165">
        <f>IF(I48="Rack",AU48/L48,0)+IF(I48="U Space",AU48*40/L48,0)+IF(I48="Space",AU48*30/L48,0)</f>
        <v>80250</v>
      </c>
      <c r="BD48" s="165" t="e">
        <f>+AU48/Y48</f>
        <v>#REF!</v>
      </c>
      <c r="BE48" s="165" t="e">
        <f>+($AP48+$AQ48+$AR48-BL48)/$Y48</f>
        <v>#REF!</v>
      </c>
      <c r="BF48" s="165" t="e">
        <f>+($AP48+$AQ48+$AR48-BM48)/$Y48</f>
        <v>#REF!</v>
      </c>
      <c r="BG48" s="165" t="e">
        <f>+($AP48+$AQ48+IF(H48="Bundled",0,Y48*0.85*AD48*AF48*30.5*24)-BN48)/$Y48</f>
        <v>#REF!</v>
      </c>
      <c r="BH48" s="165"/>
      <c r="BI48" s="166">
        <f>+AP48+AQ48+AR48</f>
        <v>80250</v>
      </c>
      <c r="BJ48" s="166" t="e">
        <f>+BI48-BK48</f>
        <v>#REF!</v>
      </c>
      <c r="BK48" s="166" t="e">
        <f>IF(H48="Bundled",MIN(Y48*#REF!*(1+#REF!),BI48),AR48)</f>
        <v>#REF!</v>
      </c>
      <c r="BL48" s="167" t="e">
        <f>IF($AG48&gt;0,$AG48*#REF!*#REF!*(1+#REF!*(20/#REF!)/732),#REF!*Z48)</f>
        <v>#REF!</v>
      </c>
      <c r="BM48" s="167" t="e">
        <f>IF($AG48&gt;0,$AG48*#REF!*#REF!*(1+#REF!*(20/#REF!)/732),+#REF!*(Z48+X48))</f>
        <v>#REF!</v>
      </c>
      <c r="BN48" s="167" t="e">
        <f>IF(H48="Bundled",#REF!*Y48,#REF!*Y48*0.85)</f>
        <v>#REF!</v>
      </c>
      <c r="BO48" s="167" t="e">
        <f>+BE48*Y48</f>
        <v>#REF!</v>
      </c>
      <c r="BP48" s="167" t="e">
        <f>+#REF!*Y48</f>
        <v>#REF!</v>
      </c>
      <c r="BQ48" s="167" t="e">
        <f>+BJ48-BP48</f>
        <v>#REF!</v>
      </c>
      <c r="BR48" s="167" t="e">
        <f>+BK48-BL48</f>
        <v>#REF!</v>
      </c>
      <c r="BS48" s="167" t="e">
        <f>+BQ48+BR48</f>
        <v>#REF!</v>
      </c>
      <c r="BT48" s="167" t="e">
        <f t="shared" si="48"/>
        <v>#REF!</v>
      </c>
      <c r="BU48" s="167" t="e">
        <f>+BE48</f>
        <v>#REF!</v>
      </c>
      <c r="BV48" s="167" t="e">
        <f>IF(H48="Bundled",BN48-BL48,AR48-BL48)</f>
        <v>#REF!</v>
      </c>
      <c r="BW48" s="167" t="e">
        <f>IF(H48="Bundled",+(BG48-#REF!)*Y48,(AP48+AQ48)-Y48*#REF!)</f>
        <v>#REF!</v>
      </c>
      <c r="BX48" s="167" t="e">
        <f>+BV48+BW48</f>
        <v>#REF!</v>
      </c>
      <c r="BY48" s="167" t="e">
        <f t="shared" ref="BY48:CA49" si="71">+BV48/$BT48</f>
        <v>#REF!</v>
      </c>
      <c r="BZ48" s="167" t="e">
        <f t="shared" si="71"/>
        <v>#REF!</v>
      </c>
      <c r="CA48" s="167" t="e">
        <f t="shared" si="71"/>
        <v>#REF!</v>
      </c>
    </row>
    <row r="49" spans="1:81" s="16" customFormat="1">
      <c r="A49" s="142" t="s">
        <v>47</v>
      </c>
      <c r="B49" s="168" t="s">
        <v>310</v>
      </c>
      <c r="C49" s="144" t="s">
        <v>311</v>
      </c>
      <c r="D49" s="144" t="s">
        <v>235</v>
      </c>
      <c r="E49" s="144"/>
      <c r="F49" s="144"/>
      <c r="G49" s="145" t="s">
        <v>130</v>
      </c>
      <c r="H49" s="146" t="s">
        <v>131</v>
      </c>
      <c r="I49" s="145" t="s">
        <v>132</v>
      </c>
      <c r="J49" s="145" t="s">
        <v>133</v>
      </c>
      <c r="K49" s="147" t="str">
        <f t="shared" si="36"/>
        <v>No of Racks</v>
      </c>
      <c r="L49" s="145">
        <v>1</v>
      </c>
      <c r="M49" s="145">
        <v>1</v>
      </c>
      <c r="N49" s="148">
        <f t="shared" si="69"/>
        <v>0</v>
      </c>
      <c r="O49" s="145">
        <v>1</v>
      </c>
      <c r="P49" s="145"/>
      <c r="Q49" s="149">
        <f>768700/12</f>
        <v>64058.333333333336</v>
      </c>
      <c r="R49" s="150" t="str">
        <f t="shared" si="47"/>
        <v>Rated</v>
      </c>
      <c r="S49" s="145" t="s">
        <v>134</v>
      </c>
      <c r="T49" s="146">
        <v>7</v>
      </c>
      <c r="U49" s="151">
        <v>7.32</v>
      </c>
      <c r="V49" s="232">
        <f t="shared" si="37"/>
        <v>-0.32000000000000028</v>
      </c>
      <c r="W49" s="146"/>
      <c r="X49" s="146">
        <f>IF(V49&lt;=0,0,(IF(R49="Rated",(V49+W49)*#REF!,(V49+W49))))</f>
        <v>0</v>
      </c>
      <c r="Y49" s="146" t="e">
        <f>IF(R49="Rated",T49*#REF!,T49)</f>
        <v>#REF!</v>
      </c>
      <c r="Z49" s="231">
        <v>1.69</v>
      </c>
      <c r="AA49" s="146">
        <f t="shared" si="38"/>
        <v>0.32000000000000028</v>
      </c>
      <c r="AB49" s="152">
        <f>90000/12</f>
        <v>7500</v>
      </c>
      <c r="AC49" s="153" t="str">
        <f t="shared" si="70"/>
        <v>Bundled</v>
      </c>
      <c r="AD49" s="146"/>
      <c r="AE49" s="146"/>
      <c r="AF49" s="154"/>
      <c r="AG49" s="146"/>
      <c r="AH49" s="155"/>
      <c r="AI49" s="156"/>
      <c r="AJ49" s="146"/>
      <c r="AK49" s="146"/>
      <c r="AL49" s="146">
        <f>AJ49-AK49</f>
        <v>0</v>
      </c>
      <c r="AM49" s="146"/>
      <c r="AN49" s="146"/>
      <c r="AO49" s="149"/>
      <c r="AP49" s="157">
        <f>Q49*O49</f>
        <v>64058.333333333336</v>
      </c>
      <c r="AQ49" s="157">
        <f>AB49*AA49</f>
        <v>2400.0000000000023</v>
      </c>
      <c r="AR49" s="158">
        <f>AG49*AF49*AD49</f>
        <v>0</v>
      </c>
      <c r="AS49" s="157">
        <f>AO49*AM49</f>
        <v>0</v>
      </c>
      <c r="AT49" s="159">
        <v>0</v>
      </c>
      <c r="AU49" s="160">
        <f>SUBTOTAL(9,AP49:AT49)</f>
        <v>66458.333333333343</v>
      </c>
      <c r="AV49" s="160"/>
      <c r="AW49" s="161"/>
      <c r="AX49" s="162"/>
      <c r="AY49" s="163"/>
      <c r="AZ49" s="162"/>
      <c r="BA49" s="164"/>
      <c r="BB49" s="5"/>
      <c r="BC49" s="165">
        <f>IF(I49="Rack",AU49/L49,0)+IF(I49="U Space",AU49*40/L49,0)+IF(I49="Space",AU49*30/L49,0)</f>
        <v>66458.333333333343</v>
      </c>
      <c r="BD49" s="165" t="e">
        <f>+AU49/Y49</f>
        <v>#REF!</v>
      </c>
      <c r="BE49" s="165" t="e">
        <f>+($AP49+$AQ49+$AR49-BL49)/$Y49</f>
        <v>#REF!</v>
      </c>
      <c r="BF49" s="165" t="e">
        <f>+($AP49+$AQ49+$AR49-BM49)/$Y49</f>
        <v>#REF!</v>
      </c>
      <c r="BG49" s="165" t="e">
        <f>+($AP49+$AQ49+IF(H49="Bundled",0,Y49*0.85*AD49*AF49*30.5*24)-BN49)/$Y49</f>
        <v>#REF!</v>
      </c>
      <c r="BH49" s="165"/>
      <c r="BI49" s="166">
        <f>+AP49+AQ49+AR49</f>
        <v>66458.333333333343</v>
      </c>
      <c r="BJ49" s="166" t="e">
        <f>+BI49-BK49</f>
        <v>#REF!</v>
      </c>
      <c r="BK49" s="166" t="e">
        <f>IF(H49="Bundled",MIN(Y49*#REF!*(1+#REF!),BI49),AR49)</f>
        <v>#REF!</v>
      </c>
      <c r="BL49" s="167" t="e">
        <f>IF($AG49&gt;0,$AG49*#REF!*#REF!*(1+#REF!*(20/#REF!)/732),#REF!*Z49)</f>
        <v>#REF!</v>
      </c>
      <c r="BM49" s="167" t="e">
        <f>IF($AG49&gt;0,$AG49*#REF!*#REF!*(1+#REF!*(20/#REF!)/732),+#REF!*(Z49+X49))</f>
        <v>#REF!</v>
      </c>
      <c r="BN49" s="167" t="e">
        <f>IF(H49="Bundled",#REF!*Y49,#REF!*Y49*0.85)</f>
        <v>#REF!</v>
      </c>
      <c r="BO49" s="167" t="e">
        <f>+BE49*Y49</f>
        <v>#REF!</v>
      </c>
      <c r="BP49" s="167" t="e">
        <f>+#REF!*Y49</f>
        <v>#REF!</v>
      </c>
      <c r="BQ49" s="167" t="e">
        <f>+BJ49-BP49</f>
        <v>#REF!</v>
      </c>
      <c r="BR49" s="167" t="e">
        <f>+BK49-BL49</f>
        <v>#REF!</v>
      </c>
      <c r="BS49" s="167" t="e">
        <f>+BQ49+BR49</f>
        <v>#REF!</v>
      </c>
      <c r="BT49" s="167" t="e">
        <f t="shared" si="48"/>
        <v>#REF!</v>
      </c>
      <c r="BU49" s="167" t="e">
        <f>+BE49</f>
        <v>#REF!</v>
      </c>
      <c r="BV49" s="167" t="e">
        <f>IF(H49="Bundled",BN49-BL49,AR49-BL49)</f>
        <v>#REF!</v>
      </c>
      <c r="BW49" s="167" t="e">
        <f>IF(H49="Bundled",+(BG49-#REF!)*Y49,(AP49+AQ49)-Y49*#REF!)</f>
        <v>#REF!</v>
      </c>
      <c r="BX49" s="167" t="e">
        <f>+BV49+BW49</f>
        <v>#REF!</v>
      </c>
      <c r="BY49" s="167" t="e">
        <f t="shared" si="71"/>
        <v>#REF!</v>
      </c>
      <c r="BZ49" s="167" t="e">
        <f t="shared" si="71"/>
        <v>#REF!</v>
      </c>
      <c r="CA49" s="167" t="e">
        <f t="shared" si="71"/>
        <v>#REF!</v>
      </c>
    </row>
    <row r="50" spans="1:81" s="16" customFormat="1">
      <c r="A50" s="142"/>
      <c r="B50" s="168" t="s">
        <v>312</v>
      </c>
      <c r="C50" s="144" t="s">
        <v>313</v>
      </c>
      <c r="D50" s="144" t="s">
        <v>235</v>
      </c>
      <c r="E50" s="144"/>
      <c r="F50" s="144"/>
      <c r="G50" s="145" t="s">
        <v>130</v>
      </c>
      <c r="H50" s="146" t="s">
        <v>131</v>
      </c>
      <c r="I50" s="145" t="s">
        <v>132</v>
      </c>
      <c r="J50" s="145" t="s">
        <v>133</v>
      </c>
      <c r="K50" s="147" t="str">
        <f t="shared" si="36"/>
        <v>No of Racks</v>
      </c>
      <c r="L50" s="145">
        <v>1</v>
      </c>
      <c r="M50" s="145">
        <v>1</v>
      </c>
      <c r="N50" s="148">
        <f t="shared" si="69"/>
        <v>0</v>
      </c>
      <c r="O50" s="145">
        <v>1</v>
      </c>
      <c r="P50" s="145"/>
      <c r="Q50" s="149"/>
      <c r="R50" s="150" t="str">
        <f t="shared" si="47"/>
        <v>Rated</v>
      </c>
      <c r="S50" s="145" t="s">
        <v>134</v>
      </c>
      <c r="T50" s="146">
        <v>3</v>
      </c>
      <c r="U50" s="151"/>
      <c r="V50" s="232">
        <f t="shared" si="37"/>
        <v>3</v>
      </c>
      <c r="W50" s="146"/>
      <c r="X50" s="146" t="e">
        <f>IF(V50&lt;=0,0,(IF(R50="Rated",(V50+W50)*#REF!,(V50+W50))))</f>
        <v>#REF!</v>
      </c>
      <c r="Y50" s="146" t="e">
        <f>IF(R50="Rated",T50*#REF!,T50)</f>
        <v>#REF!</v>
      </c>
      <c r="Z50" s="231">
        <f>AG50/28/24</f>
        <v>0.74702380952380942</v>
      </c>
      <c r="AA50" s="146"/>
      <c r="AB50" s="152"/>
      <c r="AC50" s="153" t="str">
        <f t="shared" si="70"/>
        <v>Bundled</v>
      </c>
      <c r="AD50" s="146"/>
      <c r="AE50" s="146"/>
      <c r="AF50" s="154"/>
      <c r="AG50" s="146">
        <v>502</v>
      </c>
      <c r="AH50" s="155"/>
      <c r="AI50" s="156"/>
      <c r="AJ50" s="146"/>
      <c r="AK50" s="146"/>
      <c r="AL50" s="146"/>
      <c r="AM50" s="146"/>
      <c r="AN50" s="146"/>
      <c r="AO50" s="149"/>
      <c r="AP50" s="157"/>
      <c r="AQ50" s="157"/>
      <c r="AR50" s="158"/>
      <c r="AS50" s="157"/>
      <c r="AT50" s="159"/>
      <c r="AU50" s="160"/>
      <c r="AV50" s="160"/>
      <c r="AW50" s="161"/>
      <c r="AX50" s="162"/>
      <c r="AY50" s="163"/>
      <c r="AZ50" s="162"/>
      <c r="BA50" s="164"/>
      <c r="BB50" s="5"/>
      <c r="BC50" s="165"/>
      <c r="BD50" s="165"/>
      <c r="BE50" s="165"/>
      <c r="BF50" s="165"/>
      <c r="BG50" s="165"/>
      <c r="BH50" s="165"/>
      <c r="BI50" s="166"/>
      <c r="BJ50" s="166"/>
      <c r="BK50" s="166"/>
      <c r="BL50" s="167"/>
      <c r="BM50" s="167"/>
      <c r="BN50" s="167" t="e">
        <f>IF(H50="Bundled",#REF!*Y50,#REF!*Y50*0.85)</f>
        <v>#REF!</v>
      </c>
      <c r="BO50" s="167"/>
      <c r="BP50" s="167"/>
      <c r="BQ50" s="167"/>
      <c r="BR50" s="167"/>
      <c r="BS50" s="167"/>
      <c r="BT50" s="167" t="e">
        <f t="shared" si="48"/>
        <v>#REF!</v>
      </c>
      <c r="BU50" s="167"/>
      <c r="BV50" s="167"/>
      <c r="BW50" s="167"/>
      <c r="BX50" s="167"/>
      <c r="BY50" s="167"/>
      <c r="BZ50" s="167"/>
      <c r="CA50" s="167"/>
    </row>
    <row r="51" spans="1:81" s="16" customFormat="1" ht="26.1">
      <c r="A51" s="142" t="s">
        <v>47</v>
      </c>
      <c r="B51" s="168" t="s">
        <v>314</v>
      </c>
      <c r="C51" s="168" t="s">
        <v>315</v>
      </c>
      <c r="D51" s="168" t="s">
        <v>239</v>
      </c>
      <c r="E51" s="146">
        <v>1</v>
      </c>
      <c r="F51" s="146"/>
      <c r="G51" s="145" t="s">
        <v>169</v>
      </c>
      <c r="H51" s="146" t="s">
        <v>170</v>
      </c>
      <c r="I51" s="145" t="s">
        <v>132</v>
      </c>
      <c r="J51" s="145" t="s">
        <v>133</v>
      </c>
      <c r="K51" s="147" t="str">
        <f t="shared" si="36"/>
        <v>No of Racks</v>
      </c>
      <c r="L51" s="145">
        <v>5</v>
      </c>
      <c r="M51" s="145">
        <v>5</v>
      </c>
      <c r="N51" s="148">
        <f t="shared" si="69"/>
        <v>0</v>
      </c>
      <c r="O51" s="145">
        <v>5</v>
      </c>
      <c r="P51" s="145"/>
      <c r="Q51" s="149">
        <f>240000/12</f>
        <v>20000</v>
      </c>
      <c r="R51" s="150" t="str">
        <f t="shared" si="47"/>
        <v>Subscribed</v>
      </c>
      <c r="S51" s="145" t="s">
        <v>123</v>
      </c>
      <c r="T51" s="146">
        <v>15</v>
      </c>
      <c r="U51" s="327">
        <f>Z51</f>
        <v>8.3554613095238093</v>
      </c>
      <c r="V51" s="232">
        <f t="shared" si="37"/>
        <v>6.6445386904761907</v>
      </c>
      <c r="W51" s="146"/>
      <c r="X51" s="146">
        <f>IF(V51&lt;=0,0,(IF(R51="Rated",(V51+W51)*#REF!,(V51+W51))))</f>
        <v>6.6445386904761907</v>
      </c>
      <c r="Y51" s="146">
        <f>IF(R51="Rated",T51*#REF!,T51)</f>
        <v>15</v>
      </c>
      <c r="Z51" s="231">
        <f t="shared" ref="Z51:Z52" si="72">AG51/28/24</f>
        <v>8.3554613095238093</v>
      </c>
      <c r="AA51" s="146">
        <f t="shared" ref="AA51:AA60" si="73">IF((V51*-1)&gt;0, (V51*-1), 0)</f>
        <v>0</v>
      </c>
      <c r="AB51" s="152">
        <f>90000/12</f>
        <v>7500</v>
      </c>
      <c r="AC51" s="153" t="str">
        <f t="shared" si="70"/>
        <v>Metered</v>
      </c>
      <c r="AD51" s="146">
        <v>1</v>
      </c>
      <c r="AE51" s="146" t="s">
        <v>171</v>
      </c>
      <c r="AF51" s="154">
        <f>10.5*1.7</f>
        <v>17.849999999999998</v>
      </c>
      <c r="AG51" s="146">
        <v>5614.87</v>
      </c>
      <c r="AH51" s="155" t="s">
        <v>141</v>
      </c>
      <c r="AI51" s="155" t="s">
        <v>141</v>
      </c>
      <c r="AJ51" s="146">
        <v>1</v>
      </c>
      <c r="AK51" s="146">
        <v>1</v>
      </c>
      <c r="AL51" s="146">
        <f t="shared" ref="AL51:AL60" si="74">AJ51-AK51</f>
        <v>0</v>
      </c>
      <c r="AM51" s="146">
        <v>1</v>
      </c>
      <c r="AN51" s="146"/>
      <c r="AO51" s="149"/>
      <c r="AP51" s="157">
        <f t="shared" ref="AP51:AP60" si="75">Q51*O51</f>
        <v>100000</v>
      </c>
      <c r="AQ51" s="157">
        <f t="shared" ref="AQ51:AQ60" si="76">AB51*AA51</f>
        <v>0</v>
      </c>
      <c r="AR51" s="158">
        <f t="shared" ref="AR51:AR60" si="77">AG51*AF51*AD51</f>
        <v>100225.42949999998</v>
      </c>
      <c r="AS51" s="157">
        <f t="shared" ref="AS51:AS60" si="78">AO51*AM51</f>
        <v>0</v>
      </c>
      <c r="AT51" s="159">
        <v>0</v>
      </c>
      <c r="AU51" s="160">
        <f t="shared" ref="AU51:AU60" si="79">SUBTOTAL(9,AP51:AT51)</f>
        <v>200225.42949999997</v>
      </c>
      <c r="AV51" s="160"/>
      <c r="AW51" s="161"/>
      <c r="AX51" s="162"/>
      <c r="AY51" s="163"/>
      <c r="AZ51" s="162"/>
      <c r="BA51" s="164"/>
      <c r="BB51" s="5"/>
      <c r="BC51" s="165">
        <f t="shared" ref="BC51:BC60" si="80">IF(I51="Rack",AU51/L51,0)+IF(I51="U Space",AU51*40/L51,0)+IF(I51="Space",AU51*30/L51,0)</f>
        <v>40045.085899999991</v>
      </c>
      <c r="BD51" s="165">
        <f t="shared" ref="BD51:BD60" si="81">+AU51/Y51</f>
        <v>13348.361966666665</v>
      </c>
      <c r="BE51" s="165" t="e">
        <f t="shared" ref="BE51:BE60" si="82">+($AP51+$AQ51+$AR51-BL51)/$Y51</f>
        <v>#REF!</v>
      </c>
      <c r="BF51" s="165" t="e">
        <f t="shared" ref="BF51:BF60" si="83">+($AP51+$AQ51+$AR51-BM51)/$Y51</f>
        <v>#REF!</v>
      </c>
      <c r="BG51" s="165" t="e">
        <f t="shared" ref="BG51:BG60" si="84">+($AP51+$AQ51+IF(H51="Bundled",0,Y51*0.85*AD51*AF51*30.5*24)-BN51)/$Y51</f>
        <v>#REF!</v>
      </c>
      <c r="BH51" s="165"/>
      <c r="BI51" s="166">
        <f t="shared" ref="BI51:BI60" si="85">+AP51+AQ51+AR51</f>
        <v>200225.42949999997</v>
      </c>
      <c r="BJ51" s="166">
        <f t="shared" ref="BJ51:BJ60" si="86">+BI51-BK51</f>
        <v>99999.999999999985</v>
      </c>
      <c r="BK51" s="166">
        <f>IF(H51="Bundled",MIN(Y51*#REF!*(1+#REF!),BI51),AR51)</f>
        <v>100225.42949999998</v>
      </c>
      <c r="BL51" s="167" t="e">
        <f>IF($AG51&gt;0,$AG51*#REF!*#REF!*(1+#REF!*(20/#REF!)/732),#REF!*Z51)</f>
        <v>#REF!</v>
      </c>
      <c r="BM51" s="167" t="e">
        <f>IF($AG51&gt;0,$AG51*#REF!*#REF!*(1+#REF!*(20/#REF!)/732),+#REF!*(Z51+X51))</f>
        <v>#REF!</v>
      </c>
      <c r="BN51" s="167" t="e">
        <f>IF(H51="Bundled",#REF!*Y51,#REF!*Y51*0.85)</f>
        <v>#REF!</v>
      </c>
      <c r="BO51" s="167" t="e">
        <f t="shared" ref="BO51:BO60" si="87">+BE51*Y51</f>
        <v>#REF!</v>
      </c>
      <c r="BP51" s="167" t="e">
        <f>+#REF!*Y51</f>
        <v>#REF!</v>
      </c>
      <c r="BQ51" s="167" t="e">
        <f t="shared" ref="BQ51:BQ60" si="88">+BJ51-BP51</f>
        <v>#REF!</v>
      </c>
      <c r="BR51" s="167" t="e">
        <f t="shared" ref="BR51:BR60" si="89">+BK51-BL51</f>
        <v>#REF!</v>
      </c>
      <c r="BS51" s="167" t="e">
        <f t="shared" ref="BS51:BS60" si="90">+BQ51+BR51</f>
        <v>#REF!</v>
      </c>
      <c r="BT51" s="167">
        <f t="shared" si="48"/>
        <v>15</v>
      </c>
      <c r="BU51" s="167" t="e">
        <f t="shared" ref="BU51:BU60" si="91">+BE51</f>
        <v>#REF!</v>
      </c>
      <c r="BV51" s="167" t="e">
        <f t="shared" ref="BV51:BV60" si="92">IF(H51="Bundled",BN51-BL51,AR51-BL51)</f>
        <v>#REF!</v>
      </c>
      <c r="BW51" s="167" t="e">
        <f>IF(H51="Bundled",+(BG51-#REF!)*Y51,(AP51+AQ51)-Y51*#REF!)</f>
        <v>#REF!</v>
      </c>
      <c r="BX51" s="167" t="e">
        <f t="shared" ref="BX51:BX60" si="93">+BV51+BW51</f>
        <v>#REF!</v>
      </c>
      <c r="BY51" s="167" t="e">
        <f t="shared" ref="BY51:BY60" si="94">+BV51/$BT51</f>
        <v>#REF!</v>
      </c>
      <c r="BZ51" s="167" t="e">
        <f t="shared" ref="BZ51:BZ60" si="95">+BW51/$BT51</f>
        <v>#REF!</v>
      </c>
      <c r="CA51" s="167" t="e">
        <f t="shared" ref="CA51:CA60" si="96">+BX51/$BT51</f>
        <v>#REF!</v>
      </c>
    </row>
    <row r="52" spans="1:81" s="16" customFormat="1">
      <c r="A52" s="142" t="s">
        <v>47</v>
      </c>
      <c r="B52" s="168" t="s">
        <v>316</v>
      </c>
      <c r="C52" s="144" t="s">
        <v>166</v>
      </c>
      <c r="D52" s="144" t="s">
        <v>239</v>
      </c>
      <c r="E52" s="144"/>
      <c r="F52" s="144"/>
      <c r="G52" s="145" t="s">
        <v>169</v>
      </c>
      <c r="H52" s="146" t="s">
        <v>170</v>
      </c>
      <c r="I52" s="145" t="s">
        <v>132</v>
      </c>
      <c r="J52" s="145" t="s">
        <v>133</v>
      </c>
      <c r="K52" s="147" t="str">
        <f t="shared" si="36"/>
        <v>No of Racks</v>
      </c>
      <c r="L52" s="145">
        <v>3</v>
      </c>
      <c r="M52" s="145">
        <v>3</v>
      </c>
      <c r="N52" s="148">
        <f t="shared" si="69"/>
        <v>0</v>
      </c>
      <c r="O52" s="145">
        <v>3</v>
      </c>
      <c r="P52" s="145"/>
      <c r="Q52" s="149">
        <f>(442500)/12</f>
        <v>36875</v>
      </c>
      <c r="R52" s="150" t="str">
        <f t="shared" si="47"/>
        <v>Subscribed</v>
      </c>
      <c r="S52" s="145" t="s">
        <v>123</v>
      </c>
      <c r="T52" s="146">
        <v>6</v>
      </c>
      <c r="U52" s="327">
        <f>Z52</f>
        <v>3.5534672619047618</v>
      </c>
      <c r="V52" s="232">
        <f t="shared" si="37"/>
        <v>2.4465327380952382</v>
      </c>
      <c r="W52" s="146"/>
      <c r="X52" s="146">
        <f>IF(V52&lt;=0,0,(IF(R52="Rated",(V52+W52)*#REF!,(V52+W52))))</f>
        <v>2.4465327380952382</v>
      </c>
      <c r="Y52" s="146">
        <f>IF(R52="Rated",T52*#REF!,T52)</f>
        <v>6</v>
      </c>
      <c r="Z52" s="231">
        <f t="shared" si="72"/>
        <v>3.5534672619047618</v>
      </c>
      <c r="AA52" s="146">
        <f t="shared" si="73"/>
        <v>0</v>
      </c>
      <c r="AB52" s="152">
        <f>90000/12</f>
        <v>7500</v>
      </c>
      <c r="AC52" s="153" t="str">
        <f t="shared" si="70"/>
        <v>Metered</v>
      </c>
      <c r="AD52" s="146"/>
      <c r="AE52" s="146"/>
      <c r="AF52" s="154"/>
      <c r="AG52" s="146">
        <v>2387.9299999999998</v>
      </c>
      <c r="AH52" s="155"/>
      <c r="AI52" s="156" t="str">
        <f t="shared" ref="AI52:AI60" si="97">IF(AH52="No of Seats","No of Seats",(IF(AH52="Space","Sq Ft","")))</f>
        <v/>
      </c>
      <c r="AJ52" s="146"/>
      <c r="AK52" s="146"/>
      <c r="AL52" s="146">
        <f t="shared" si="74"/>
        <v>0</v>
      </c>
      <c r="AM52" s="146"/>
      <c r="AN52" s="146"/>
      <c r="AO52" s="149"/>
      <c r="AP52" s="157">
        <f t="shared" si="75"/>
        <v>110625</v>
      </c>
      <c r="AQ52" s="157">
        <f t="shared" si="76"/>
        <v>0</v>
      </c>
      <c r="AR52" s="158">
        <f t="shared" si="77"/>
        <v>0</v>
      </c>
      <c r="AS52" s="157">
        <f t="shared" si="78"/>
        <v>0</v>
      </c>
      <c r="AT52" s="159"/>
      <c r="AU52" s="160">
        <f t="shared" si="79"/>
        <v>110625</v>
      </c>
      <c r="AV52" s="160"/>
      <c r="AW52" s="161">
        <v>721003988</v>
      </c>
      <c r="AX52" s="318"/>
      <c r="AY52" s="319"/>
      <c r="AZ52" s="318"/>
      <c r="BA52" s="320"/>
      <c r="BC52" s="165">
        <f t="shared" si="80"/>
        <v>36875</v>
      </c>
      <c r="BD52" s="165">
        <f t="shared" si="81"/>
        <v>18437.5</v>
      </c>
      <c r="BE52" s="165" t="e">
        <f t="shared" si="82"/>
        <v>#REF!</v>
      </c>
      <c r="BF52" s="165" t="e">
        <f t="shared" si="83"/>
        <v>#REF!</v>
      </c>
      <c r="BG52" s="165" t="e">
        <f t="shared" si="84"/>
        <v>#REF!</v>
      </c>
      <c r="BH52" s="165"/>
      <c r="BI52" s="166">
        <f t="shared" si="85"/>
        <v>110625</v>
      </c>
      <c r="BJ52" s="166">
        <f t="shared" si="86"/>
        <v>110625</v>
      </c>
      <c r="BK52" s="166">
        <f>IF(H52="Bundled",MIN(Y52*#REF!*(1+#REF!),BI52),AR52)</f>
        <v>0</v>
      </c>
      <c r="BL52" s="167" t="e">
        <f>IF($AG52&gt;0,$AG52*#REF!*#REF!*(1+#REF!*(20/#REF!)/732),#REF!*Z52)</f>
        <v>#REF!</v>
      </c>
      <c r="BM52" s="167" t="e">
        <f>IF($AG52&gt;0,$AG52*#REF!*#REF!*(1+#REF!*(20/#REF!)/732),+#REF!*(Z52+X52))</f>
        <v>#REF!</v>
      </c>
      <c r="BN52" s="167" t="e">
        <f>IF(H52="Bundled",#REF!*Y52,#REF!*Y52*0.85)</f>
        <v>#REF!</v>
      </c>
      <c r="BO52" s="167" t="e">
        <f t="shared" si="87"/>
        <v>#REF!</v>
      </c>
      <c r="BP52" s="167" t="e">
        <f>+#REF!*Y52</f>
        <v>#REF!</v>
      </c>
      <c r="BQ52" s="167" t="e">
        <f t="shared" si="88"/>
        <v>#REF!</v>
      </c>
      <c r="BR52" s="167" t="e">
        <f t="shared" si="89"/>
        <v>#REF!</v>
      </c>
      <c r="BS52" s="167" t="e">
        <f t="shared" si="90"/>
        <v>#REF!</v>
      </c>
      <c r="BT52" s="167">
        <f t="shared" si="48"/>
        <v>6</v>
      </c>
      <c r="BU52" s="167" t="e">
        <f t="shared" si="91"/>
        <v>#REF!</v>
      </c>
      <c r="BV52" s="167" t="e">
        <f t="shared" si="92"/>
        <v>#REF!</v>
      </c>
      <c r="BW52" s="167" t="e">
        <f>IF(H52="Bundled",+(BG52-#REF!)*Y52,(AP52+AQ52)-Y52*#REF!)</f>
        <v>#REF!</v>
      </c>
      <c r="BX52" s="167" t="e">
        <f t="shared" si="93"/>
        <v>#REF!</v>
      </c>
      <c r="BY52" s="167" t="e">
        <f t="shared" si="94"/>
        <v>#REF!</v>
      </c>
      <c r="BZ52" s="167" t="e">
        <f t="shared" si="95"/>
        <v>#REF!</v>
      </c>
      <c r="CA52" s="167" t="e">
        <f t="shared" si="96"/>
        <v>#REF!</v>
      </c>
    </row>
    <row r="53" spans="1:81" s="16" customFormat="1" ht="26.1">
      <c r="A53" s="142" t="s">
        <v>47</v>
      </c>
      <c r="B53" s="168" t="s">
        <v>317</v>
      </c>
      <c r="C53" s="196" t="s">
        <v>318</v>
      </c>
      <c r="D53" s="196" t="s">
        <v>251</v>
      </c>
      <c r="E53" s="196"/>
      <c r="F53" s="196"/>
      <c r="G53" s="145" t="s">
        <v>130</v>
      </c>
      <c r="H53" s="146" t="s">
        <v>131</v>
      </c>
      <c r="I53" s="145" t="s">
        <v>132</v>
      </c>
      <c r="J53" s="145" t="s">
        <v>133</v>
      </c>
      <c r="K53" s="147" t="str">
        <f t="shared" si="36"/>
        <v>No of Racks</v>
      </c>
      <c r="L53" s="145">
        <v>2</v>
      </c>
      <c r="M53" s="145">
        <v>2</v>
      </c>
      <c r="N53" s="148">
        <f t="shared" si="69"/>
        <v>0</v>
      </c>
      <c r="O53" s="145">
        <v>2</v>
      </c>
      <c r="P53" s="145"/>
      <c r="Q53" s="149">
        <f>(0)/12</f>
        <v>0</v>
      </c>
      <c r="R53" s="150" t="str">
        <f t="shared" si="47"/>
        <v>Rated</v>
      </c>
      <c r="S53" s="145" t="s">
        <v>134</v>
      </c>
      <c r="T53" s="146">
        <v>6</v>
      </c>
      <c r="U53" s="151">
        <v>17.52</v>
      </c>
      <c r="V53" s="232">
        <f t="shared" si="37"/>
        <v>-11.52</v>
      </c>
      <c r="W53" s="146"/>
      <c r="X53" s="146">
        <f>IF(V53&lt;=0,0,(IF(R53="Rated",(V53+W53)*#REF!,(V53+W53))))</f>
        <v>0</v>
      </c>
      <c r="Y53" s="146" t="e">
        <f>IF(R53="Rated",T53*#REF!,T53)</f>
        <v>#REF!</v>
      </c>
      <c r="Z53" s="231">
        <v>5.2</v>
      </c>
      <c r="AA53" s="146">
        <f t="shared" si="73"/>
        <v>11.52</v>
      </c>
      <c r="AB53" s="152">
        <v>0</v>
      </c>
      <c r="AC53" s="153" t="str">
        <f t="shared" si="70"/>
        <v>Bundled</v>
      </c>
      <c r="AD53" s="146"/>
      <c r="AE53" s="146"/>
      <c r="AF53" s="154"/>
      <c r="AG53" s="146"/>
      <c r="AH53" s="155"/>
      <c r="AI53" s="156" t="str">
        <f t="shared" si="97"/>
        <v/>
      </c>
      <c r="AJ53" s="146"/>
      <c r="AK53" s="146"/>
      <c r="AL53" s="146">
        <f t="shared" si="74"/>
        <v>0</v>
      </c>
      <c r="AM53" s="146"/>
      <c r="AN53" s="146"/>
      <c r="AO53" s="149"/>
      <c r="AP53" s="157">
        <f t="shared" si="75"/>
        <v>0</v>
      </c>
      <c r="AQ53" s="157">
        <f t="shared" si="76"/>
        <v>0</v>
      </c>
      <c r="AR53" s="158">
        <f t="shared" si="77"/>
        <v>0</v>
      </c>
      <c r="AS53" s="157">
        <f t="shared" si="78"/>
        <v>0</v>
      </c>
      <c r="AT53" s="159"/>
      <c r="AU53" s="160">
        <f t="shared" si="79"/>
        <v>0</v>
      </c>
      <c r="AV53" s="160"/>
      <c r="AW53" s="161" t="s">
        <v>319</v>
      </c>
      <c r="AX53" s="162"/>
      <c r="AY53" s="163"/>
      <c r="AZ53" s="162"/>
      <c r="BA53" s="164"/>
      <c r="BC53" s="165">
        <f t="shared" si="80"/>
        <v>0</v>
      </c>
      <c r="BD53" s="165" t="e">
        <f t="shared" si="81"/>
        <v>#REF!</v>
      </c>
      <c r="BE53" s="165" t="e">
        <f t="shared" si="82"/>
        <v>#REF!</v>
      </c>
      <c r="BF53" s="165" t="e">
        <f t="shared" si="83"/>
        <v>#REF!</v>
      </c>
      <c r="BG53" s="165" t="e">
        <f t="shared" si="84"/>
        <v>#REF!</v>
      </c>
      <c r="BH53" s="165"/>
      <c r="BI53" s="166">
        <f t="shared" si="85"/>
        <v>0</v>
      </c>
      <c r="BJ53" s="166" t="e">
        <f t="shared" si="86"/>
        <v>#REF!</v>
      </c>
      <c r="BK53" s="166" t="e">
        <f>IF(H53="Bundled",MIN(Y53*#REF!*(1+#REF!),BI53),AR53)</f>
        <v>#REF!</v>
      </c>
      <c r="BL53" s="167" t="e">
        <f>IF($AG53&gt;0,$AG53*#REF!*#REF!*(1+#REF!*(20/#REF!)/732),#REF!*Z53)</f>
        <v>#REF!</v>
      </c>
      <c r="BM53" s="167" t="e">
        <f>IF($AG53&gt;0,$AG53*#REF!*#REF!*(1+#REF!*(20/#REF!)/732),+#REF!*(Z53+X53))</f>
        <v>#REF!</v>
      </c>
      <c r="BN53" s="167" t="e">
        <f>IF(H53="Bundled",#REF!*Y53,#REF!*Y53*0.85)</f>
        <v>#REF!</v>
      </c>
      <c r="BO53" s="167" t="e">
        <f t="shared" si="87"/>
        <v>#REF!</v>
      </c>
      <c r="BP53" s="167" t="e">
        <f>+#REF!*Y53</f>
        <v>#REF!</v>
      </c>
      <c r="BQ53" s="167" t="e">
        <f t="shared" si="88"/>
        <v>#REF!</v>
      </c>
      <c r="BR53" s="167" t="e">
        <f t="shared" si="89"/>
        <v>#REF!</v>
      </c>
      <c r="BS53" s="167" t="e">
        <f t="shared" si="90"/>
        <v>#REF!</v>
      </c>
      <c r="BT53" s="167" t="e">
        <f t="shared" si="48"/>
        <v>#REF!</v>
      </c>
      <c r="BU53" s="167" t="e">
        <f t="shared" si="91"/>
        <v>#REF!</v>
      </c>
      <c r="BV53" s="167" t="e">
        <f t="shared" si="92"/>
        <v>#REF!</v>
      </c>
      <c r="BW53" s="167" t="e">
        <f>IF(H53="Bundled",+(BG53-#REF!)*Y53,(AP53+AQ53)-Y53*#REF!)</f>
        <v>#REF!</v>
      </c>
      <c r="BX53" s="167" t="e">
        <f t="shared" si="93"/>
        <v>#REF!</v>
      </c>
      <c r="BY53" s="167" t="e">
        <f t="shared" si="94"/>
        <v>#REF!</v>
      </c>
      <c r="BZ53" s="167" t="e">
        <f t="shared" si="95"/>
        <v>#REF!</v>
      </c>
      <c r="CA53" s="167" t="e">
        <f t="shared" si="96"/>
        <v>#REF!</v>
      </c>
    </row>
    <row r="54" spans="1:81" s="16" customFormat="1" ht="26.1">
      <c r="A54" s="142" t="s">
        <v>47</v>
      </c>
      <c r="B54" s="168" t="s">
        <v>320</v>
      </c>
      <c r="C54" s="196" t="s">
        <v>321</v>
      </c>
      <c r="D54" s="196" t="s">
        <v>239</v>
      </c>
      <c r="E54" s="196"/>
      <c r="F54" s="196"/>
      <c r="G54" s="145" t="s">
        <v>169</v>
      </c>
      <c r="H54" s="146" t="s">
        <v>170</v>
      </c>
      <c r="I54" s="145" t="s">
        <v>132</v>
      </c>
      <c r="J54" s="145" t="s">
        <v>133</v>
      </c>
      <c r="K54" s="147" t="str">
        <f t="shared" si="36"/>
        <v>No of Racks</v>
      </c>
      <c r="L54" s="145">
        <v>4</v>
      </c>
      <c r="M54" s="145">
        <v>4</v>
      </c>
      <c r="N54" s="148">
        <f t="shared" si="69"/>
        <v>0</v>
      </c>
      <c r="O54" s="145">
        <v>4</v>
      </c>
      <c r="P54" s="145"/>
      <c r="Q54" s="149">
        <f>(210000/12)</f>
        <v>17500</v>
      </c>
      <c r="R54" s="150" t="str">
        <f t="shared" si="47"/>
        <v>Subscribed</v>
      </c>
      <c r="S54" s="145" t="s">
        <v>123</v>
      </c>
      <c r="T54" s="146">
        <v>12</v>
      </c>
      <c r="U54" s="327">
        <f>Z54</f>
        <v>14.085684523809524</v>
      </c>
      <c r="V54" s="232">
        <f t="shared" si="37"/>
        <v>-2.0856845238095243</v>
      </c>
      <c r="W54" s="146"/>
      <c r="X54" s="146">
        <f>IF(V54&lt;=0,0,(IF(R54="Rated",(V54+W54)*#REF!,(V54+W54))))</f>
        <v>0</v>
      </c>
      <c r="Y54" s="146">
        <f>IF(R54="Rated",T54*#REF!,T54)</f>
        <v>12</v>
      </c>
      <c r="Z54" s="231">
        <f>AG54/28/24</f>
        <v>14.085684523809524</v>
      </c>
      <c r="AA54" s="146">
        <f t="shared" si="73"/>
        <v>2.0856845238095243</v>
      </c>
      <c r="AB54" s="152">
        <v>0</v>
      </c>
      <c r="AC54" s="153" t="str">
        <f t="shared" si="70"/>
        <v>Metered</v>
      </c>
      <c r="AD54" s="146">
        <v>1</v>
      </c>
      <c r="AE54" s="146" t="s">
        <v>171</v>
      </c>
      <c r="AF54" s="154">
        <v>16.399999999999999</v>
      </c>
      <c r="AG54" s="146">
        <v>9465.58</v>
      </c>
      <c r="AH54" s="155"/>
      <c r="AI54" s="156" t="str">
        <f t="shared" si="97"/>
        <v/>
      </c>
      <c r="AJ54" s="146"/>
      <c r="AK54" s="146"/>
      <c r="AL54" s="146">
        <f t="shared" si="74"/>
        <v>0</v>
      </c>
      <c r="AM54" s="146"/>
      <c r="AN54" s="146"/>
      <c r="AO54" s="149"/>
      <c r="AP54" s="157">
        <f t="shared" si="75"/>
        <v>70000</v>
      </c>
      <c r="AQ54" s="157">
        <f t="shared" si="76"/>
        <v>0</v>
      </c>
      <c r="AR54" s="158">
        <f t="shared" si="77"/>
        <v>155235.51199999999</v>
      </c>
      <c r="AS54" s="157">
        <f t="shared" si="78"/>
        <v>0</v>
      </c>
      <c r="AT54" s="159">
        <f>(251000+34400)/12</f>
        <v>23783.333333333332</v>
      </c>
      <c r="AU54" s="160">
        <f t="shared" si="79"/>
        <v>249018.84533333333</v>
      </c>
      <c r="AV54" s="160"/>
      <c r="AW54" s="161" t="s">
        <v>164</v>
      </c>
      <c r="AX54" s="318"/>
      <c r="AY54" s="319"/>
      <c r="AZ54" s="318"/>
      <c r="BA54" s="320"/>
      <c r="BC54" s="165">
        <f t="shared" si="80"/>
        <v>62254.711333333333</v>
      </c>
      <c r="BD54" s="165">
        <f t="shared" si="81"/>
        <v>20751.570444444445</v>
      </c>
      <c r="BE54" s="165" t="e">
        <f t="shared" si="82"/>
        <v>#REF!</v>
      </c>
      <c r="BF54" s="165" t="e">
        <f t="shared" si="83"/>
        <v>#REF!</v>
      </c>
      <c r="BG54" s="165" t="e">
        <f t="shared" si="84"/>
        <v>#REF!</v>
      </c>
      <c r="BH54" s="165"/>
      <c r="BI54" s="166">
        <f t="shared" si="85"/>
        <v>225235.51199999999</v>
      </c>
      <c r="BJ54" s="166">
        <f t="shared" si="86"/>
        <v>70000</v>
      </c>
      <c r="BK54" s="166">
        <f>IF(H54="Bundled",MIN(Y54*#REF!*(1+#REF!),BI54),AR54)</f>
        <v>155235.51199999999</v>
      </c>
      <c r="BL54" s="167" t="e">
        <f>IF($AG54&gt;0,$AG54*#REF!*#REF!*(1+#REF!*(20/#REF!)/732),#REF!*Z54)</f>
        <v>#REF!</v>
      </c>
      <c r="BM54" s="167" t="e">
        <f>IF($AG54&gt;0,$AG54*#REF!*#REF!*(1+#REF!*(20/#REF!)/732),+#REF!*(Z54+X54))</f>
        <v>#REF!</v>
      </c>
      <c r="BN54" s="167" t="e">
        <f>IF(H54="Bundled",#REF!*Y54,#REF!*Y54*0.85)</f>
        <v>#REF!</v>
      </c>
      <c r="BO54" s="167" t="e">
        <f t="shared" si="87"/>
        <v>#REF!</v>
      </c>
      <c r="BP54" s="167" t="e">
        <f>+#REF!*Y54</f>
        <v>#REF!</v>
      </c>
      <c r="BQ54" s="167" t="e">
        <f t="shared" si="88"/>
        <v>#REF!</v>
      </c>
      <c r="BR54" s="167" t="e">
        <f t="shared" si="89"/>
        <v>#REF!</v>
      </c>
      <c r="BS54" s="167" t="e">
        <f t="shared" si="90"/>
        <v>#REF!</v>
      </c>
      <c r="BT54" s="167">
        <f t="shared" si="48"/>
        <v>12</v>
      </c>
      <c r="BU54" s="167" t="e">
        <f t="shared" si="91"/>
        <v>#REF!</v>
      </c>
      <c r="BV54" s="167" t="e">
        <f t="shared" si="92"/>
        <v>#REF!</v>
      </c>
      <c r="BW54" s="167" t="e">
        <f>IF(H54="Bundled",+(BG54-#REF!)*Y54,(AP54+AQ54)-Y54*#REF!)</f>
        <v>#REF!</v>
      </c>
      <c r="BX54" s="167" t="e">
        <f t="shared" si="93"/>
        <v>#REF!</v>
      </c>
      <c r="BY54" s="167" t="e">
        <f t="shared" si="94"/>
        <v>#REF!</v>
      </c>
      <c r="BZ54" s="167" t="e">
        <f t="shared" si="95"/>
        <v>#REF!</v>
      </c>
      <c r="CA54" s="167" t="e">
        <f t="shared" si="96"/>
        <v>#REF!</v>
      </c>
      <c r="CB54" s="16" t="s">
        <v>322</v>
      </c>
    </row>
    <row r="55" spans="1:81" s="16" customFormat="1">
      <c r="A55" s="142" t="s">
        <v>47</v>
      </c>
      <c r="B55" s="168" t="s">
        <v>323</v>
      </c>
      <c r="C55" s="168" t="s">
        <v>324</v>
      </c>
      <c r="D55" s="168" t="s">
        <v>239</v>
      </c>
      <c r="E55" s="168"/>
      <c r="F55" s="168"/>
      <c r="G55" s="145" t="s">
        <v>169</v>
      </c>
      <c r="H55" s="146" t="s">
        <v>170</v>
      </c>
      <c r="I55" s="145" t="s">
        <v>59</v>
      </c>
      <c r="J55" s="145" t="s">
        <v>185</v>
      </c>
      <c r="K55" s="147" t="str">
        <f t="shared" si="36"/>
        <v>Sq Ft</v>
      </c>
      <c r="L55" s="145">
        <v>160</v>
      </c>
      <c r="M55" s="145">
        <v>160</v>
      </c>
      <c r="N55" s="148">
        <f t="shared" si="69"/>
        <v>0</v>
      </c>
      <c r="O55" s="145">
        <v>7</v>
      </c>
      <c r="P55" s="145"/>
      <c r="Q55" s="149">
        <f>(227557+281631)/12</f>
        <v>42432.333333333336</v>
      </c>
      <c r="R55" s="150" t="str">
        <f t="shared" si="47"/>
        <v>Subscribed</v>
      </c>
      <c r="S55" s="145" t="s">
        <v>123</v>
      </c>
      <c r="T55" s="146">
        <v>24.5</v>
      </c>
      <c r="U55" s="327">
        <f>Z55</f>
        <v>19.00357142857143</v>
      </c>
      <c r="V55" s="232">
        <f t="shared" si="37"/>
        <v>5.4964285714285701</v>
      </c>
      <c r="W55" s="146"/>
      <c r="X55" s="146">
        <f>IF(V55&lt;=0,0,(IF(R55="Rated",(V55+W55)*#REF!,(V55+W55))))</f>
        <v>5.4964285714285701</v>
      </c>
      <c r="Y55" s="146">
        <f>IF(R55="Rated",T55*#REF!,T55)</f>
        <v>24.5</v>
      </c>
      <c r="Z55" s="231">
        <f>AG55/28/24</f>
        <v>19.00357142857143</v>
      </c>
      <c r="AA55" s="146">
        <f t="shared" si="73"/>
        <v>0</v>
      </c>
      <c r="AB55" s="152">
        <f>72000/12</f>
        <v>6000</v>
      </c>
      <c r="AC55" s="153" t="str">
        <f t="shared" si="70"/>
        <v>Metered</v>
      </c>
      <c r="AD55" s="146">
        <v>1</v>
      </c>
      <c r="AE55" s="146" t="s">
        <v>171</v>
      </c>
      <c r="AF55" s="154">
        <v>16.2</v>
      </c>
      <c r="AG55" s="146">
        <v>12770.4</v>
      </c>
      <c r="AH55" s="155"/>
      <c r="AI55" s="156" t="str">
        <f t="shared" si="97"/>
        <v/>
      </c>
      <c r="AJ55" s="146"/>
      <c r="AK55" s="146"/>
      <c r="AL55" s="146">
        <f t="shared" si="74"/>
        <v>0</v>
      </c>
      <c r="AM55" s="146"/>
      <c r="AN55" s="146"/>
      <c r="AO55" s="149"/>
      <c r="AP55" s="157">
        <f t="shared" si="75"/>
        <v>297026.33333333337</v>
      </c>
      <c r="AQ55" s="157">
        <f t="shared" si="76"/>
        <v>0</v>
      </c>
      <c r="AR55" s="158">
        <f t="shared" si="77"/>
        <v>206880.47999999998</v>
      </c>
      <c r="AS55" s="157">
        <f t="shared" si="78"/>
        <v>0</v>
      </c>
      <c r="AT55" s="159">
        <f>(4358+75000)/12</f>
        <v>6613.166666666667</v>
      </c>
      <c r="AU55" s="160">
        <f t="shared" si="79"/>
        <v>510519.98000000004</v>
      </c>
      <c r="AV55" s="160"/>
      <c r="AW55" s="315" t="s">
        <v>164</v>
      </c>
      <c r="AX55" s="235"/>
      <c r="AY55" s="236"/>
      <c r="AZ55" s="235"/>
      <c r="BA55" s="316"/>
      <c r="BC55" s="165">
        <f t="shared" si="80"/>
        <v>95722.496249999997</v>
      </c>
      <c r="BD55" s="165">
        <f t="shared" si="81"/>
        <v>20837.550204081635</v>
      </c>
      <c r="BE55" s="165" t="e">
        <f t="shared" si="82"/>
        <v>#REF!</v>
      </c>
      <c r="BF55" s="165" t="e">
        <f t="shared" si="83"/>
        <v>#REF!</v>
      </c>
      <c r="BG55" s="165" t="e">
        <f t="shared" si="84"/>
        <v>#REF!</v>
      </c>
      <c r="BH55" s="165"/>
      <c r="BI55" s="166">
        <f t="shared" si="85"/>
        <v>503906.81333333335</v>
      </c>
      <c r="BJ55" s="166">
        <f t="shared" si="86"/>
        <v>297026.33333333337</v>
      </c>
      <c r="BK55" s="166">
        <f>IF(H55="Bundled",MIN(Y55*#REF!*(1+#REF!),BI55),AR55)</f>
        <v>206880.47999999998</v>
      </c>
      <c r="BL55" s="167" t="e">
        <f>IF($AG55&gt;0,$AG55*#REF!*#REF!*(1+#REF!*(20/#REF!)/732),#REF!*Z55)</f>
        <v>#REF!</v>
      </c>
      <c r="BM55" s="167" t="e">
        <f>IF($AG55&gt;0,$AG55*#REF!*#REF!*(1+#REF!*(20/#REF!)/732),+#REF!*(Z55+X55))</f>
        <v>#REF!</v>
      </c>
      <c r="BN55" s="167" t="e">
        <f>IF(H55="Bundled",#REF!*Y55,#REF!*Y55*0.85)</f>
        <v>#REF!</v>
      </c>
      <c r="BO55" s="167" t="e">
        <f t="shared" si="87"/>
        <v>#REF!</v>
      </c>
      <c r="BP55" s="167" t="e">
        <f>+#REF!*Y55</f>
        <v>#REF!</v>
      </c>
      <c r="BQ55" s="167" t="e">
        <f t="shared" si="88"/>
        <v>#REF!</v>
      </c>
      <c r="BR55" s="167" t="e">
        <f t="shared" si="89"/>
        <v>#REF!</v>
      </c>
      <c r="BS55" s="167" t="e">
        <f t="shared" si="90"/>
        <v>#REF!</v>
      </c>
      <c r="BT55" s="167">
        <f t="shared" si="48"/>
        <v>24.5</v>
      </c>
      <c r="BU55" s="167" t="e">
        <f t="shared" si="91"/>
        <v>#REF!</v>
      </c>
      <c r="BV55" s="167" t="e">
        <f t="shared" si="92"/>
        <v>#REF!</v>
      </c>
      <c r="BW55" s="167" t="e">
        <f>IF(H55="Bundled",+(BG55-#REF!)*Y55,(AP55+AQ55)-Y55*#REF!)</f>
        <v>#REF!</v>
      </c>
      <c r="BX55" s="167" t="e">
        <f t="shared" si="93"/>
        <v>#REF!</v>
      </c>
      <c r="BY55" s="167" t="e">
        <f t="shared" si="94"/>
        <v>#REF!</v>
      </c>
      <c r="BZ55" s="167" t="e">
        <f t="shared" si="95"/>
        <v>#REF!</v>
      </c>
      <c r="CA55" s="167" t="e">
        <f t="shared" si="96"/>
        <v>#REF!</v>
      </c>
      <c r="CB55" s="16" t="s">
        <v>325</v>
      </c>
    </row>
    <row r="56" spans="1:81" s="16" customFormat="1">
      <c r="A56" s="142" t="s">
        <v>47</v>
      </c>
      <c r="B56" s="168" t="s">
        <v>323</v>
      </c>
      <c r="C56" s="196" t="s">
        <v>326</v>
      </c>
      <c r="D56" s="196" t="s">
        <v>239</v>
      </c>
      <c r="E56" s="196"/>
      <c r="F56" s="196"/>
      <c r="G56" s="145" t="s">
        <v>130</v>
      </c>
      <c r="H56" s="146" t="s">
        <v>131</v>
      </c>
      <c r="I56" s="145" t="s">
        <v>59</v>
      </c>
      <c r="J56" s="145" t="s">
        <v>185</v>
      </c>
      <c r="K56" s="147" t="s">
        <v>252</v>
      </c>
      <c r="L56" s="145">
        <v>224</v>
      </c>
      <c r="M56" s="145">
        <v>224</v>
      </c>
      <c r="N56" s="148">
        <f t="shared" si="69"/>
        <v>0</v>
      </c>
      <c r="O56" s="145">
        <v>0</v>
      </c>
      <c r="P56" s="145"/>
      <c r="Q56" s="149">
        <f>(0)/12</f>
        <v>0</v>
      </c>
      <c r="R56" s="150" t="str">
        <f t="shared" si="47"/>
        <v>Rated</v>
      </c>
      <c r="S56" s="145" t="s">
        <v>134</v>
      </c>
      <c r="T56" s="146">
        <v>24</v>
      </c>
      <c r="U56" s="151">
        <v>22.99</v>
      </c>
      <c r="V56" s="232">
        <f t="shared" si="37"/>
        <v>1.0100000000000016</v>
      </c>
      <c r="W56" s="146"/>
      <c r="X56" s="146" t="e">
        <f>IF(V56&lt;=0,0,(IF(R56="Rated",(V56+W56)*#REF!,(V56+W56))))</f>
        <v>#REF!</v>
      </c>
      <c r="Y56" s="146" t="e">
        <f>IF(R56="Rated",T56*#REF!,T56)</f>
        <v>#REF!</v>
      </c>
      <c r="Z56" s="231">
        <v>10.36</v>
      </c>
      <c r="AA56" s="146">
        <f t="shared" si="73"/>
        <v>0</v>
      </c>
      <c r="AB56" s="152">
        <v>0</v>
      </c>
      <c r="AC56" s="153" t="str">
        <f t="shared" si="70"/>
        <v>Bundled</v>
      </c>
      <c r="AD56" s="146"/>
      <c r="AE56" s="146"/>
      <c r="AF56" s="154"/>
      <c r="AG56" s="146"/>
      <c r="AH56" s="155"/>
      <c r="AI56" s="156" t="str">
        <f t="shared" si="97"/>
        <v/>
      </c>
      <c r="AJ56" s="146"/>
      <c r="AK56" s="146"/>
      <c r="AL56" s="146">
        <f t="shared" si="74"/>
        <v>0</v>
      </c>
      <c r="AM56" s="146"/>
      <c r="AN56" s="146"/>
      <c r="AO56" s="149"/>
      <c r="AP56" s="157">
        <f t="shared" si="75"/>
        <v>0</v>
      </c>
      <c r="AQ56" s="157">
        <f t="shared" si="76"/>
        <v>0</v>
      </c>
      <c r="AR56" s="158">
        <f t="shared" si="77"/>
        <v>0</v>
      </c>
      <c r="AS56" s="157">
        <f t="shared" si="78"/>
        <v>0</v>
      </c>
      <c r="AT56" s="159"/>
      <c r="AU56" s="160">
        <f t="shared" si="79"/>
        <v>0</v>
      </c>
      <c r="AV56" s="160"/>
      <c r="AW56" s="161" t="s">
        <v>319</v>
      </c>
      <c r="AX56" s="162"/>
      <c r="AY56" s="163"/>
      <c r="AZ56" s="162"/>
      <c r="BA56" s="164"/>
      <c r="BC56" s="165">
        <f t="shared" si="80"/>
        <v>0</v>
      </c>
      <c r="BD56" s="165" t="e">
        <f t="shared" si="81"/>
        <v>#REF!</v>
      </c>
      <c r="BE56" s="165" t="e">
        <f t="shared" si="82"/>
        <v>#REF!</v>
      </c>
      <c r="BF56" s="165" t="e">
        <f t="shared" si="83"/>
        <v>#REF!</v>
      </c>
      <c r="BG56" s="165" t="e">
        <f t="shared" si="84"/>
        <v>#REF!</v>
      </c>
      <c r="BH56" s="165"/>
      <c r="BI56" s="166">
        <f t="shared" si="85"/>
        <v>0</v>
      </c>
      <c r="BJ56" s="166" t="e">
        <f t="shared" si="86"/>
        <v>#REF!</v>
      </c>
      <c r="BK56" s="166" t="e">
        <f>IF(H56="Bundled",MIN(Y56*#REF!*(1+#REF!),BI56),AR56)</f>
        <v>#REF!</v>
      </c>
      <c r="BL56" s="167" t="e">
        <f>IF($AG56&gt;0,$AG56*#REF!*#REF!*(1+#REF!*(20/#REF!)/732),#REF!*Z56)</f>
        <v>#REF!</v>
      </c>
      <c r="BM56" s="167" t="e">
        <f>IF($AG56&gt;0,$AG56*#REF!*#REF!*(1+#REF!*(20/#REF!)/732),+#REF!*(Z56+X56))</f>
        <v>#REF!</v>
      </c>
      <c r="BN56" s="167" t="e">
        <f>IF(H56="Bundled",#REF!*Y56,#REF!*Y56*0.85)</f>
        <v>#REF!</v>
      </c>
      <c r="BO56" s="167" t="e">
        <f t="shared" si="87"/>
        <v>#REF!</v>
      </c>
      <c r="BP56" s="167" t="e">
        <f>+#REF!*Y56</f>
        <v>#REF!</v>
      </c>
      <c r="BQ56" s="167" t="e">
        <f t="shared" si="88"/>
        <v>#REF!</v>
      </c>
      <c r="BR56" s="167" t="e">
        <f t="shared" si="89"/>
        <v>#REF!</v>
      </c>
      <c r="BS56" s="167" t="e">
        <f t="shared" si="90"/>
        <v>#REF!</v>
      </c>
      <c r="BT56" s="167" t="e">
        <f t="shared" si="48"/>
        <v>#REF!</v>
      </c>
      <c r="BU56" s="167" t="e">
        <f t="shared" si="91"/>
        <v>#REF!</v>
      </c>
      <c r="BV56" s="167" t="e">
        <f t="shared" si="92"/>
        <v>#REF!</v>
      </c>
      <c r="BW56" s="167" t="e">
        <f>IF(H56="Bundled",+(BG56-#REF!)*Y56,(AP56+AQ56)-Y56*#REF!)</f>
        <v>#REF!</v>
      </c>
      <c r="BX56" s="167" t="e">
        <f t="shared" si="93"/>
        <v>#REF!</v>
      </c>
      <c r="BY56" s="167" t="e">
        <f t="shared" si="94"/>
        <v>#REF!</v>
      </c>
      <c r="BZ56" s="167" t="e">
        <f t="shared" si="95"/>
        <v>#REF!</v>
      </c>
      <c r="CA56" s="167" t="e">
        <f t="shared" si="96"/>
        <v>#REF!</v>
      </c>
    </row>
    <row r="57" spans="1:81" s="16" customFormat="1">
      <c r="A57" s="142" t="s">
        <v>47</v>
      </c>
      <c r="B57" s="168" t="s">
        <v>327</v>
      </c>
      <c r="C57" s="144" t="s">
        <v>328</v>
      </c>
      <c r="D57" s="144" t="s">
        <v>239</v>
      </c>
      <c r="E57" s="144"/>
      <c r="F57" s="144"/>
      <c r="G57" s="145" t="s">
        <v>130</v>
      </c>
      <c r="H57" s="146" t="s">
        <v>131</v>
      </c>
      <c r="I57" s="145" t="s">
        <v>59</v>
      </c>
      <c r="J57" s="145" t="s">
        <v>185</v>
      </c>
      <c r="K57" s="147" t="s">
        <v>252</v>
      </c>
      <c r="L57" s="367">
        <v>224</v>
      </c>
      <c r="M57" s="367">
        <v>224</v>
      </c>
      <c r="N57" s="148">
        <v>0</v>
      </c>
      <c r="O57" s="367">
        <v>8</v>
      </c>
      <c r="P57" s="145"/>
      <c r="Q57" s="149">
        <f>(5718251+249311)/8/12</f>
        <v>62162.104166666664</v>
      </c>
      <c r="R57" s="150" t="str">
        <f t="shared" si="47"/>
        <v>Rated</v>
      </c>
      <c r="S57" s="145" t="s">
        <v>134</v>
      </c>
      <c r="T57" s="146">
        <f>7.5*7</f>
        <v>52.5</v>
      </c>
      <c r="U57" s="151">
        <v>42.48</v>
      </c>
      <c r="V57" s="232">
        <f t="shared" si="37"/>
        <v>10.020000000000003</v>
      </c>
      <c r="W57" s="146"/>
      <c r="X57" s="146" t="e">
        <f>IF(V57&lt;=0,0,(IF(R57="Rated",(V57+W57)*#REF!,(V57+W57))))</f>
        <v>#REF!</v>
      </c>
      <c r="Y57" s="146" t="e">
        <f>IF(R57="Rated",T57*#REF!,T57)</f>
        <v>#REF!</v>
      </c>
      <c r="Z57" s="231">
        <v>18.11</v>
      </c>
      <c r="AA57" s="146">
        <f t="shared" si="73"/>
        <v>0</v>
      </c>
      <c r="AB57" s="152">
        <f>90000/12</f>
        <v>7500</v>
      </c>
      <c r="AC57" s="153" t="str">
        <f t="shared" si="70"/>
        <v>Bundled</v>
      </c>
      <c r="AD57" s="146"/>
      <c r="AE57" s="146"/>
      <c r="AF57" s="154"/>
      <c r="AG57" s="146"/>
      <c r="AH57" s="155"/>
      <c r="AI57" s="156" t="str">
        <f t="shared" si="97"/>
        <v/>
      </c>
      <c r="AJ57" s="146"/>
      <c r="AK57" s="146"/>
      <c r="AL57" s="146">
        <f t="shared" si="74"/>
        <v>0</v>
      </c>
      <c r="AM57" s="146"/>
      <c r="AN57" s="146"/>
      <c r="AO57" s="149">
        <f>15000/12</f>
        <v>1250</v>
      </c>
      <c r="AP57" s="157">
        <f t="shared" si="75"/>
        <v>497296.83333333331</v>
      </c>
      <c r="AQ57" s="157">
        <f t="shared" si="76"/>
        <v>0</v>
      </c>
      <c r="AR57" s="158">
        <f t="shared" si="77"/>
        <v>0</v>
      </c>
      <c r="AS57" s="157">
        <f t="shared" si="78"/>
        <v>0</v>
      </c>
      <c r="AT57" s="159"/>
      <c r="AU57" s="160">
        <f t="shared" si="79"/>
        <v>497296.83333333331</v>
      </c>
      <c r="AV57" s="160"/>
      <c r="AW57" s="161">
        <v>721002051</v>
      </c>
      <c r="AX57" s="162"/>
      <c r="AY57" s="163"/>
      <c r="AZ57" s="162"/>
      <c r="BA57" s="164"/>
      <c r="BC57" s="165">
        <f t="shared" si="80"/>
        <v>66602.25446428571</v>
      </c>
      <c r="BD57" s="165" t="e">
        <f t="shared" si="81"/>
        <v>#REF!</v>
      </c>
      <c r="BE57" s="165" t="e">
        <f t="shared" si="82"/>
        <v>#REF!</v>
      </c>
      <c r="BF57" s="165" t="e">
        <f t="shared" si="83"/>
        <v>#REF!</v>
      </c>
      <c r="BG57" s="165" t="e">
        <f t="shared" si="84"/>
        <v>#REF!</v>
      </c>
      <c r="BH57" s="165"/>
      <c r="BI57" s="166">
        <f t="shared" si="85"/>
        <v>497296.83333333331</v>
      </c>
      <c r="BJ57" s="166" t="e">
        <f t="shared" si="86"/>
        <v>#REF!</v>
      </c>
      <c r="BK57" s="166" t="e">
        <f>IF(H57="Bundled",MIN(Y57*#REF!*(1+#REF!),BI57),AR57)</f>
        <v>#REF!</v>
      </c>
      <c r="BL57" s="167" t="e">
        <f>IF($AG57&gt;0,$AG57*#REF!*#REF!*(1+#REF!*(20/#REF!)/732),#REF!*Z57)</f>
        <v>#REF!</v>
      </c>
      <c r="BM57" s="167" t="e">
        <f>IF($AG57&gt;0,$AG57*#REF!*#REF!*(1+#REF!*(20/#REF!)/732),+#REF!*(Z57+X57))</f>
        <v>#REF!</v>
      </c>
      <c r="BN57" s="167" t="e">
        <f>IF(H57="Bundled",#REF!*Y57,#REF!*Y57*0.85)</f>
        <v>#REF!</v>
      </c>
      <c r="BO57" s="167" t="e">
        <f t="shared" si="87"/>
        <v>#REF!</v>
      </c>
      <c r="BP57" s="167" t="e">
        <f>+#REF!*Y57</f>
        <v>#REF!</v>
      </c>
      <c r="BQ57" s="167" t="e">
        <f t="shared" si="88"/>
        <v>#REF!</v>
      </c>
      <c r="BR57" s="167" t="e">
        <f t="shared" si="89"/>
        <v>#REF!</v>
      </c>
      <c r="BS57" s="167" t="e">
        <f t="shared" si="90"/>
        <v>#REF!</v>
      </c>
      <c r="BT57" s="167" t="e">
        <f t="shared" si="48"/>
        <v>#REF!</v>
      </c>
      <c r="BU57" s="167" t="e">
        <f t="shared" si="91"/>
        <v>#REF!</v>
      </c>
      <c r="BV57" s="167" t="e">
        <f t="shared" si="92"/>
        <v>#REF!</v>
      </c>
      <c r="BW57" s="167" t="e">
        <f>IF(H57="Bundled",+(BG57-#REF!)*Y57,(AP57+AQ57)-Y57*#REF!)</f>
        <v>#REF!</v>
      </c>
      <c r="BX57" s="167" t="e">
        <f t="shared" si="93"/>
        <v>#REF!</v>
      </c>
      <c r="BY57" s="167" t="e">
        <f t="shared" si="94"/>
        <v>#REF!</v>
      </c>
      <c r="BZ57" s="167" t="e">
        <f t="shared" si="95"/>
        <v>#REF!</v>
      </c>
      <c r="CA57" s="167" t="e">
        <f t="shared" si="96"/>
        <v>#REF!</v>
      </c>
      <c r="CB57" s="16" t="s">
        <v>329</v>
      </c>
    </row>
    <row r="58" spans="1:81" s="16" customFormat="1">
      <c r="A58" s="142" t="s">
        <v>47</v>
      </c>
      <c r="B58" s="168" t="s">
        <v>323</v>
      </c>
      <c r="C58" s="196" t="s">
        <v>330</v>
      </c>
      <c r="D58" s="196" t="s">
        <v>239</v>
      </c>
      <c r="E58" s="146">
        <v>5</v>
      </c>
      <c r="F58" s="146"/>
      <c r="G58" s="145" t="s">
        <v>169</v>
      </c>
      <c r="H58" s="146" t="s">
        <v>170</v>
      </c>
      <c r="I58" s="145" t="s">
        <v>59</v>
      </c>
      <c r="J58" s="145" t="s">
        <v>185</v>
      </c>
      <c r="K58" s="147" t="s">
        <v>252</v>
      </c>
      <c r="L58" s="367">
        <v>704</v>
      </c>
      <c r="M58" s="145">
        <v>704</v>
      </c>
      <c r="N58" s="148">
        <f t="shared" ref="N58:N69" si="98">L58-M58</f>
        <v>0</v>
      </c>
      <c r="O58" s="368">
        <v>34</v>
      </c>
      <c r="P58" s="145"/>
      <c r="Q58" s="314">
        <f>(5850000/32)/12</f>
        <v>15234.375</v>
      </c>
      <c r="R58" s="150" t="str">
        <f t="shared" si="47"/>
        <v>Subscribed</v>
      </c>
      <c r="S58" s="145" t="s">
        <v>123</v>
      </c>
      <c r="T58" s="146">
        <v>75</v>
      </c>
      <c r="U58" s="327">
        <f t="shared" ref="U58:U63" si="99">Z58</f>
        <v>67.006726190476186</v>
      </c>
      <c r="V58" s="232">
        <f t="shared" si="37"/>
        <v>7.9932738095238136</v>
      </c>
      <c r="W58" s="146"/>
      <c r="X58" s="146">
        <f>IF(V58&lt;=0,0,(IF(R58="Rated",(V58+W58)*#REF!,(V58+W58))))</f>
        <v>7.9932738095238136</v>
      </c>
      <c r="Y58" s="146">
        <f>IF(R58="Rated",T58*#REF!,T58)</f>
        <v>75</v>
      </c>
      <c r="Z58" s="231">
        <f>AG58/28/24</f>
        <v>67.006726190476186</v>
      </c>
      <c r="AA58" s="146">
        <f t="shared" si="73"/>
        <v>0</v>
      </c>
      <c r="AB58" s="152">
        <f>65000/12</f>
        <v>5416.666666666667</v>
      </c>
      <c r="AC58" s="153" t="str">
        <f t="shared" si="70"/>
        <v>Metered</v>
      </c>
      <c r="AD58" s="146">
        <v>1</v>
      </c>
      <c r="AE58" s="146" t="s">
        <v>171</v>
      </c>
      <c r="AF58" s="154">
        <v>15</v>
      </c>
      <c r="AG58" s="146">
        <v>45028.52</v>
      </c>
      <c r="AH58" s="155" t="s">
        <v>141</v>
      </c>
      <c r="AI58" s="156" t="str">
        <f t="shared" si="97"/>
        <v>No of Seats</v>
      </c>
      <c r="AJ58" s="146">
        <v>5</v>
      </c>
      <c r="AK58" s="146">
        <v>5</v>
      </c>
      <c r="AL58" s="146">
        <f t="shared" si="74"/>
        <v>0</v>
      </c>
      <c r="AM58" s="146">
        <v>5</v>
      </c>
      <c r="AN58" s="146"/>
      <c r="AO58" s="149">
        <f>71000/12</f>
        <v>5916.666666666667</v>
      </c>
      <c r="AP58" s="157">
        <f t="shared" si="75"/>
        <v>517968.75</v>
      </c>
      <c r="AQ58" s="157">
        <f t="shared" si="76"/>
        <v>0</v>
      </c>
      <c r="AR58" s="158">
        <f t="shared" si="77"/>
        <v>675427.79999999993</v>
      </c>
      <c r="AS58" s="157">
        <f t="shared" si="78"/>
        <v>29583.333333333336</v>
      </c>
      <c r="AT58" s="159">
        <f>(64000+63415+30003)/12</f>
        <v>13118.166666666666</v>
      </c>
      <c r="AU58" s="160">
        <f t="shared" si="79"/>
        <v>1236098.0499999998</v>
      </c>
      <c r="AV58" s="160"/>
      <c r="AW58" s="161" t="s">
        <v>331</v>
      </c>
      <c r="AX58" s="162"/>
      <c r="AY58" s="163"/>
      <c r="AZ58" s="162"/>
      <c r="BA58" s="164"/>
      <c r="BC58" s="165">
        <f t="shared" si="80"/>
        <v>52674.632812499993</v>
      </c>
      <c r="BD58" s="165">
        <f t="shared" si="81"/>
        <v>16481.30733333333</v>
      </c>
      <c r="BE58" s="165" t="e">
        <f t="shared" si="82"/>
        <v>#REF!</v>
      </c>
      <c r="BF58" s="165" t="e">
        <f t="shared" si="83"/>
        <v>#REF!</v>
      </c>
      <c r="BG58" s="165" t="e">
        <f t="shared" si="84"/>
        <v>#REF!</v>
      </c>
      <c r="BH58" s="165"/>
      <c r="BI58" s="166">
        <f t="shared" si="85"/>
        <v>1193396.5499999998</v>
      </c>
      <c r="BJ58" s="166">
        <f t="shared" si="86"/>
        <v>517968.74999999988</v>
      </c>
      <c r="BK58" s="166">
        <f>IF(H58="Bundled",MIN(Y58*#REF!*(1+#REF!),BI58),AR58)</f>
        <v>675427.79999999993</v>
      </c>
      <c r="BL58" s="167" t="e">
        <f>IF($AG58&gt;0,$AG58*#REF!*#REF!*(1+#REF!*(20/#REF!)/732),#REF!*Z58)</f>
        <v>#REF!</v>
      </c>
      <c r="BM58" s="167" t="e">
        <f>IF($AG58&gt;0,$AG58*#REF!*#REF!*(1+#REF!*(20/#REF!)/732),+#REF!*(Z58+X58))</f>
        <v>#REF!</v>
      </c>
      <c r="BN58" s="167" t="e">
        <f>IF(H58="Bundled",#REF!*Y58,#REF!*Y58*0.85)</f>
        <v>#REF!</v>
      </c>
      <c r="BO58" s="167" t="e">
        <f t="shared" si="87"/>
        <v>#REF!</v>
      </c>
      <c r="BP58" s="167" t="e">
        <f>+#REF!*Y58</f>
        <v>#REF!</v>
      </c>
      <c r="BQ58" s="167" t="e">
        <f t="shared" si="88"/>
        <v>#REF!</v>
      </c>
      <c r="BR58" s="167" t="e">
        <f t="shared" si="89"/>
        <v>#REF!</v>
      </c>
      <c r="BS58" s="167" t="e">
        <f t="shared" si="90"/>
        <v>#REF!</v>
      </c>
      <c r="BT58" s="167">
        <f t="shared" si="48"/>
        <v>75</v>
      </c>
      <c r="BU58" s="167" t="e">
        <f t="shared" si="91"/>
        <v>#REF!</v>
      </c>
      <c r="BV58" s="167" t="e">
        <f t="shared" si="92"/>
        <v>#REF!</v>
      </c>
      <c r="BW58" s="167" t="e">
        <f>IF(H58="Bundled",+(BG58-#REF!)*Y58,(AP58+AQ58)-Y58*#REF!)</f>
        <v>#REF!</v>
      </c>
      <c r="BX58" s="167" t="e">
        <f t="shared" si="93"/>
        <v>#REF!</v>
      </c>
      <c r="BY58" s="167" t="e">
        <f t="shared" si="94"/>
        <v>#REF!</v>
      </c>
      <c r="BZ58" s="167" t="e">
        <f t="shared" si="95"/>
        <v>#REF!</v>
      </c>
      <c r="CA58" s="167" t="e">
        <f t="shared" si="96"/>
        <v>#REF!</v>
      </c>
    </row>
    <row r="59" spans="1:81" s="16" customFormat="1">
      <c r="A59" s="142" t="s">
        <v>47</v>
      </c>
      <c r="B59" s="168" t="s">
        <v>327</v>
      </c>
      <c r="C59" s="201" t="s">
        <v>332</v>
      </c>
      <c r="D59" s="201" t="s">
        <v>239</v>
      </c>
      <c r="E59" s="201"/>
      <c r="F59" s="201"/>
      <c r="G59" s="145" t="s">
        <v>169</v>
      </c>
      <c r="H59" s="146" t="s">
        <v>170</v>
      </c>
      <c r="I59" s="145" t="s">
        <v>59</v>
      </c>
      <c r="J59" s="145" t="s">
        <v>185</v>
      </c>
      <c r="K59" s="147" t="s">
        <v>252</v>
      </c>
      <c r="L59" s="145">
        <v>288</v>
      </c>
      <c r="M59" s="145">
        <v>288</v>
      </c>
      <c r="N59" s="148">
        <f t="shared" si="98"/>
        <v>0</v>
      </c>
      <c r="O59" s="145">
        <v>288</v>
      </c>
      <c r="P59" s="145"/>
      <c r="Q59" s="314">
        <f>(164001+27333+21866)/6</f>
        <v>35533.333333333336</v>
      </c>
      <c r="R59" s="150" t="str">
        <f t="shared" si="47"/>
        <v>Subscribed</v>
      </c>
      <c r="S59" s="145" t="s">
        <v>123</v>
      </c>
      <c r="T59" s="146">
        <v>36</v>
      </c>
      <c r="U59" s="327">
        <f t="shared" si="99"/>
        <v>2.5998511904761901</v>
      </c>
      <c r="V59" s="232">
        <f t="shared" si="37"/>
        <v>33.400148809523813</v>
      </c>
      <c r="W59" s="146"/>
      <c r="X59" s="146">
        <f>IF(V59&lt;=0,0,(IF(R59="Rated",(V59+W59)*#REF!,(V59+W59))))</f>
        <v>33.400148809523813</v>
      </c>
      <c r="Y59" s="146">
        <f>IF(R59="Rated",T59*#REF!,T59)</f>
        <v>36</v>
      </c>
      <c r="Z59" s="231">
        <f t="shared" ref="Z59:Z66" si="100">AG59/28/24</f>
        <v>2.5998511904761901</v>
      </c>
      <c r="AA59" s="146">
        <f t="shared" si="73"/>
        <v>0</v>
      </c>
      <c r="AB59" s="152">
        <v>0</v>
      </c>
      <c r="AC59" s="153" t="str">
        <f t="shared" si="70"/>
        <v>Metered</v>
      </c>
      <c r="AD59" s="146">
        <v>1.7</v>
      </c>
      <c r="AE59" s="146" t="s">
        <v>333</v>
      </c>
      <c r="AF59" s="154">
        <v>9.3000000000000007</v>
      </c>
      <c r="AG59" s="146">
        <v>1747.1</v>
      </c>
      <c r="AH59" s="155"/>
      <c r="AI59" s="156" t="str">
        <f t="shared" si="97"/>
        <v/>
      </c>
      <c r="AJ59" s="146"/>
      <c r="AK59" s="146"/>
      <c r="AL59" s="146">
        <f t="shared" si="74"/>
        <v>0</v>
      </c>
      <c r="AM59" s="146"/>
      <c r="AN59" s="146"/>
      <c r="AO59" s="149"/>
      <c r="AP59" s="157">
        <f t="shared" si="75"/>
        <v>10233600</v>
      </c>
      <c r="AQ59" s="157">
        <f t="shared" si="76"/>
        <v>0</v>
      </c>
      <c r="AR59" s="158">
        <f t="shared" si="77"/>
        <v>27621.651000000002</v>
      </c>
      <c r="AS59" s="157">
        <f t="shared" si="78"/>
        <v>0</v>
      </c>
      <c r="AT59" s="159">
        <v>20883</v>
      </c>
      <c r="AU59" s="160">
        <f t="shared" si="79"/>
        <v>10282104.651000001</v>
      </c>
      <c r="AV59" s="160"/>
      <c r="AW59" s="161" t="s">
        <v>334</v>
      </c>
      <c r="AX59" s="162"/>
      <c r="AY59" s="163"/>
      <c r="AZ59" s="162"/>
      <c r="BA59" s="164"/>
      <c r="BC59" s="165">
        <f t="shared" si="80"/>
        <v>1071052.5678125001</v>
      </c>
      <c r="BD59" s="165">
        <f t="shared" si="81"/>
        <v>285614.01808333333</v>
      </c>
      <c r="BE59" s="165" t="e">
        <f t="shared" si="82"/>
        <v>#REF!</v>
      </c>
      <c r="BF59" s="165" t="e">
        <f t="shared" si="83"/>
        <v>#REF!</v>
      </c>
      <c r="BG59" s="165" t="e">
        <f t="shared" si="84"/>
        <v>#REF!</v>
      </c>
      <c r="BH59" s="165"/>
      <c r="BI59" s="166">
        <f t="shared" si="85"/>
        <v>10261221.651000001</v>
      </c>
      <c r="BJ59" s="166">
        <f t="shared" si="86"/>
        <v>10233600</v>
      </c>
      <c r="BK59" s="166">
        <f>IF(H59="Bundled",MIN(Y59*#REF!*(1+#REF!),BI59),AR59)</f>
        <v>27621.651000000002</v>
      </c>
      <c r="BL59" s="167" t="e">
        <f>IF($AG59&gt;0,$AG59*#REF!*#REF!*(1+#REF!*(20/#REF!)/732),#REF!*Z59)</f>
        <v>#REF!</v>
      </c>
      <c r="BM59" s="167" t="e">
        <f>IF($AG59&gt;0,$AG59*#REF!*#REF!*(1+#REF!*(20/#REF!)/732),+#REF!*(Z59+X59))</f>
        <v>#REF!</v>
      </c>
      <c r="BN59" s="167" t="e">
        <f>IF(H59="Bundled",#REF!*Y59,#REF!*Y59*0.85)</f>
        <v>#REF!</v>
      </c>
      <c r="BO59" s="167" t="e">
        <f t="shared" si="87"/>
        <v>#REF!</v>
      </c>
      <c r="BP59" s="167" t="e">
        <f>+#REF!*Y59</f>
        <v>#REF!</v>
      </c>
      <c r="BQ59" s="167" t="e">
        <f t="shared" si="88"/>
        <v>#REF!</v>
      </c>
      <c r="BR59" s="167" t="e">
        <f t="shared" si="89"/>
        <v>#REF!</v>
      </c>
      <c r="BS59" s="167" t="e">
        <f t="shared" si="90"/>
        <v>#REF!</v>
      </c>
      <c r="BT59" s="167">
        <f t="shared" si="48"/>
        <v>36</v>
      </c>
      <c r="BU59" s="167" t="e">
        <f t="shared" si="91"/>
        <v>#REF!</v>
      </c>
      <c r="BV59" s="167" t="e">
        <f t="shared" si="92"/>
        <v>#REF!</v>
      </c>
      <c r="BW59" s="167" t="e">
        <f>IF(H59="Bundled",+(BG59-#REF!)*Y59,(AP59+AQ59)-Y59*#REF!)</f>
        <v>#REF!</v>
      </c>
      <c r="BX59" s="167" t="e">
        <f t="shared" si="93"/>
        <v>#REF!</v>
      </c>
      <c r="BY59" s="167" t="e">
        <f t="shared" si="94"/>
        <v>#REF!</v>
      </c>
      <c r="BZ59" s="167" t="e">
        <f t="shared" si="95"/>
        <v>#REF!</v>
      </c>
      <c r="CA59" s="167" t="e">
        <f t="shared" si="96"/>
        <v>#REF!</v>
      </c>
    </row>
    <row r="60" spans="1:81" s="16" customFormat="1" ht="26.1">
      <c r="A60" s="202" t="s">
        <v>47</v>
      </c>
      <c r="B60" s="203" t="s">
        <v>323</v>
      </c>
      <c r="C60" s="369" t="s">
        <v>335</v>
      </c>
      <c r="D60" s="369" t="s">
        <v>239</v>
      </c>
      <c r="E60" s="369"/>
      <c r="F60" s="369"/>
      <c r="G60" s="204" t="s">
        <v>169</v>
      </c>
      <c r="H60" s="205" t="s">
        <v>170</v>
      </c>
      <c r="I60" s="204" t="s">
        <v>59</v>
      </c>
      <c r="J60" s="204" t="s">
        <v>185</v>
      </c>
      <c r="K60" s="147" t="str">
        <f>IF(I60="Rack","No of Racks",(IF(I60="Space","Sq Ft","U Space")))</f>
        <v>Sq Ft</v>
      </c>
      <c r="L60" s="204">
        <v>1085</v>
      </c>
      <c r="M60" s="204">
        <v>1085</v>
      </c>
      <c r="N60" s="207">
        <f t="shared" si="98"/>
        <v>0</v>
      </c>
      <c r="O60" s="204">
        <v>1085</v>
      </c>
      <c r="P60" s="204"/>
      <c r="Q60" s="208">
        <f>(1250000)/1085</f>
        <v>1152.073732718894</v>
      </c>
      <c r="R60" s="209" t="str">
        <f t="shared" si="47"/>
        <v>Subscribed</v>
      </c>
      <c r="S60" s="204" t="s">
        <v>123</v>
      </c>
      <c r="T60" s="205">
        <v>250</v>
      </c>
      <c r="U60" s="348">
        <f t="shared" si="99"/>
        <v>102.12547619047621</v>
      </c>
      <c r="V60" s="212">
        <f t="shared" si="37"/>
        <v>147.87452380952379</v>
      </c>
      <c r="W60" s="205"/>
      <c r="X60" s="205">
        <f>IF(V60&lt;=0,0,(IF(R60="Rated",(V60+W60)*#REF!,(V60+W60))))</f>
        <v>147.87452380952379</v>
      </c>
      <c r="Y60" s="205">
        <f>IF(R60="Rated",T60*#REF!,T60)</f>
        <v>250</v>
      </c>
      <c r="Z60" s="231">
        <f t="shared" si="100"/>
        <v>102.12547619047621</v>
      </c>
      <c r="AA60" s="205">
        <f t="shared" si="73"/>
        <v>0</v>
      </c>
      <c r="AB60" s="213">
        <f>60000/12</f>
        <v>5000</v>
      </c>
      <c r="AC60" s="214" t="str">
        <f t="shared" si="70"/>
        <v>Metered</v>
      </c>
      <c r="AD60" s="205">
        <v>1.7</v>
      </c>
      <c r="AE60" s="205" t="s">
        <v>333</v>
      </c>
      <c r="AF60" s="215">
        <v>10.88</v>
      </c>
      <c r="AG60" s="146">
        <v>68628.320000000007</v>
      </c>
      <c r="AH60" s="216"/>
      <c r="AI60" s="217" t="str">
        <f t="shared" si="97"/>
        <v/>
      </c>
      <c r="AJ60" s="205"/>
      <c r="AK60" s="205"/>
      <c r="AL60" s="205">
        <f t="shared" si="74"/>
        <v>0</v>
      </c>
      <c r="AM60" s="205"/>
      <c r="AN60" s="205"/>
      <c r="AO60" s="208"/>
      <c r="AP60" s="218">
        <f t="shared" si="75"/>
        <v>1250000</v>
      </c>
      <c r="AQ60" s="218">
        <f t="shared" si="76"/>
        <v>0</v>
      </c>
      <c r="AR60" s="219">
        <f t="shared" si="77"/>
        <v>1269349.4067200003</v>
      </c>
      <c r="AS60" s="218">
        <f t="shared" si="78"/>
        <v>0</v>
      </c>
      <c r="AT60" s="220">
        <f>2500+1250+12500</f>
        <v>16250</v>
      </c>
      <c r="AU60" s="221">
        <f t="shared" si="79"/>
        <v>2535599.4067200003</v>
      </c>
      <c r="AV60" s="221"/>
      <c r="AW60" s="326" t="s">
        <v>336</v>
      </c>
      <c r="AX60" s="333"/>
      <c r="AY60" s="334"/>
      <c r="AZ60" s="333"/>
      <c r="BA60" s="335"/>
      <c r="BC60" s="226">
        <f t="shared" si="80"/>
        <v>70108.739356313381</v>
      </c>
      <c r="BD60" s="226">
        <f t="shared" si="81"/>
        <v>10142.397626880002</v>
      </c>
      <c r="BE60" s="226" t="e">
        <f t="shared" si="82"/>
        <v>#REF!</v>
      </c>
      <c r="BF60" s="226" t="e">
        <f t="shared" si="83"/>
        <v>#REF!</v>
      </c>
      <c r="BG60" s="226" t="e">
        <f t="shared" si="84"/>
        <v>#REF!</v>
      </c>
      <c r="BH60" s="226"/>
      <c r="BI60" s="227">
        <f t="shared" si="85"/>
        <v>2519349.4067200003</v>
      </c>
      <c r="BJ60" s="227">
        <f t="shared" si="86"/>
        <v>1250000</v>
      </c>
      <c r="BK60" s="227">
        <f>IF(H60="Bundled",MIN(Y60*#REF!*(1+#REF!),BI60),AR60)</f>
        <v>1269349.4067200003</v>
      </c>
      <c r="BL60" s="228" t="e">
        <f>IF($AG60&gt;0,$AG60*#REF!*#REF!*(1+#REF!*(20/#REF!)/732),#REF!*Z60)</f>
        <v>#REF!</v>
      </c>
      <c r="BM60" s="228" t="e">
        <f>IF($AG60&gt;0,$AG60*#REF!*#REF!*(1+#REF!*(20/#REF!)/732),+#REF!*(Z60+X60))</f>
        <v>#REF!</v>
      </c>
      <c r="BN60" s="228" t="e">
        <f>IF(H60="Bundled",#REF!*Y60,#REF!*Y60*0.85)</f>
        <v>#REF!</v>
      </c>
      <c r="BO60" s="228" t="e">
        <f t="shared" si="87"/>
        <v>#REF!</v>
      </c>
      <c r="BP60" s="228" t="e">
        <f>+#REF!*Y60</f>
        <v>#REF!</v>
      </c>
      <c r="BQ60" s="228" t="e">
        <f t="shared" si="88"/>
        <v>#REF!</v>
      </c>
      <c r="BR60" s="228" t="e">
        <f t="shared" si="89"/>
        <v>#REF!</v>
      </c>
      <c r="BS60" s="228" t="e">
        <f t="shared" si="90"/>
        <v>#REF!</v>
      </c>
      <c r="BT60" s="228">
        <f t="shared" si="48"/>
        <v>250</v>
      </c>
      <c r="BU60" s="228" t="e">
        <f t="shared" si="91"/>
        <v>#REF!</v>
      </c>
      <c r="BV60" s="228" t="e">
        <f t="shared" si="92"/>
        <v>#REF!</v>
      </c>
      <c r="BW60" s="228" t="e">
        <f>IF(H60="Bundled",+(BG60-#REF!)*Y60,(AP60+AQ60)-Y60*#REF!)</f>
        <v>#REF!</v>
      </c>
      <c r="BX60" s="228" t="e">
        <f t="shared" si="93"/>
        <v>#REF!</v>
      </c>
      <c r="BY60" s="228" t="e">
        <f t="shared" si="94"/>
        <v>#REF!</v>
      </c>
      <c r="BZ60" s="228" t="e">
        <f t="shared" si="95"/>
        <v>#REF!</v>
      </c>
      <c r="CA60" s="228" t="e">
        <f t="shared" si="96"/>
        <v>#REF!</v>
      </c>
    </row>
    <row r="61" spans="1:81" s="110" customFormat="1">
      <c r="A61" s="350" t="s">
        <v>47</v>
      </c>
      <c r="B61" s="343" t="s">
        <v>337</v>
      </c>
      <c r="C61" s="370" t="s">
        <v>321</v>
      </c>
      <c r="D61" s="353" t="s">
        <v>239</v>
      </c>
      <c r="E61" s="350"/>
      <c r="F61" s="350"/>
      <c r="G61" s="371" t="s">
        <v>169</v>
      </c>
      <c r="H61" s="372" t="s">
        <v>170</v>
      </c>
      <c r="I61" s="353" t="s">
        <v>132</v>
      </c>
      <c r="J61" s="350" t="s">
        <v>338</v>
      </c>
      <c r="K61" s="140" t="s">
        <v>339</v>
      </c>
      <c r="L61" s="353">
        <v>1</v>
      </c>
      <c r="M61" s="353">
        <v>1</v>
      </c>
      <c r="N61" s="148">
        <f t="shared" si="98"/>
        <v>0</v>
      </c>
      <c r="O61" s="353">
        <v>1</v>
      </c>
      <c r="P61" s="354"/>
      <c r="Q61" s="354"/>
      <c r="R61" s="354"/>
      <c r="S61" s="354" t="s">
        <v>123</v>
      </c>
      <c r="T61" s="356">
        <v>3</v>
      </c>
      <c r="U61" s="348">
        <f t="shared" si="99"/>
        <v>2.4092261904761902</v>
      </c>
      <c r="V61" s="357"/>
      <c r="W61" s="350"/>
      <c r="X61" s="350"/>
      <c r="Y61" s="350"/>
      <c r="Z61" s="231">
        <f t="shared" si="100"/>
        <v>2.4092261904761902</v>
      </c>
      <c r="AA61" s="350"/>
      <c r="AB61" s="350"/>
      <c r="AC61" s="214" t="str">
        <f t="shared" si="70"/>
        <v>Metered</v>
      </c>
      <c r="AD61" s="350"/>
      <c r="AE61" s="350"/>
      <c r="AF61" s="350"/>
      <c r="AG61" s="69">
        <v>1619</v>
      </c>
      <c r="AH61" s="358"/>
      <c r="AI61" s="358"/>
      <c r="AJ61" s="350"/>
      <c r="AK61" s="350"/>
      <c r="AL61" s="350"/>
      <c r="AM61" s="350"/>
      <c r="AN61" s="350"/>
      <c r="AO61" s="350"/>
      <c r="AP61" s="350"/>
      <c r="AQ61" s="350"/>
      <c r="AR61" s="350"/>
      <c r="AS61" s="350"/>
      <c r="AT61" s="350"/>
      <c r="AU61" s="350"/>
      <c r="AV61" s="350"/>
      <c r="AW61" s="359"/>
      <c r="AX61" s="359"/>
      <c r="AY61" s="359"/>
      <c r="AZ61" s="359"/>
      <c r="BA61" s="350"/>
      <c r="BB61" s="350"/>
      <c r="BC61" s="350"/>
      <c r="BD61" s="350"/>
      <c r="BE61" s="350"/>
      <c r="BF61" s="350"/>
      <c r="BG61" s="350"/>
      <c r="BH61" s="350"/>
      <c r="BI61" s="350"/>
      <c r="BJ61" s="350"/>
      <c r="BK61" s="350"/>
      <c r="BL61" s="350" t="e">
        <f>IF($AG61&gt;0,$AG61*#REF!*#REF!*(1+#REF!*(20/#REF!)/732),#REF!*Z61)</f>
        <v>#REF!</v>
      </c>
      <c r="BM61" s="350"/>
      <c r="BN61" s="350"/>
      <c r="BO61" s="350"/>
      <c r="BP61" s="350"/>
      <c r="BQ61" s="350"/>
      <c r="BR61" s="350"/>
      <c r="BS61" s="350"/>
      <c r="BT61" s="350"/>
      <c r="BU61" s="350"/>
      <c r="BV61" s="350"/>
      <c r="BW61" s="350"/>
      <c r="BX61" s="350"/>
      <c r="BY61" s="350"/>
      <c r="BZ61" s="350"/>
      <c r="CA61" s="350"/>
      <c r="CB61" s="350"/>
      <c r="CC61" s="350"/>
    </row>
    <row r="62" spans="1:81" s="110" customFormat="1">
      <c r="A62" s="350" t="s">
        <v>47</v>
      </c>
      <c r="B62" s="343" t="s">
        <v>340</v>
      </c>
      <c r="C62" s="370" t="s">
        <v>341</v>
      </c>
      <c r="D62" s="353" t="s">
        <v>235</v>
      </c>
      <c r="E62" s="350"/>
      <c r="F62" s="350"/>
      <c r="G62" s="371" t="s">
        <v>169</v>
      </c>
      <c r="H62" s="372" t="s">
        <v>170</v>
      </c>
      <c r="I62" s="353" t="s">
        <v>132</v>
      </c>
      <c r="J62" s="350" t="s">
        <v>133</v>
      </c>
      <c r="K62" s="353" t="s">
        <v>339</v>
      </c>
      <c r="L62" s="353">
        <v>1</v>
      </c>
      <c r="M62" s="353">
        <v>1</v>
      </c>
      <c r="N62" s="148">
        <f t="shared" si="98"/>
        <v>0</v>
      </c>
      <c r="O62" s="353">
        <v>1</v>
      </c>
      <c r="P62" s="354"/>
      <c r="Q62" s="354"/>
      <c r="R62" s="354"/>
      <c r="S62" s="354" t="s">
        <v>123</v>
      </c>
      <c r="T62" s="356">
        <v>3</v>
      </c>
      <c r="U62" s="348">
        <f t="shared" si="99"/>
        <v>0.96279761904761907</v>
      </c>
      <c r="V62" s="357"/>
      <c r="W62" s="350"/>
      <c r="X62" s="350"/>
      <c r="Y62" s="350"/>
      <c r="Z62" s="231">
        <f t="shared" si="100"/>
        <v>0.96279761904761907</v>
      </c>
      <c r="AA62" s="350"/>
      <c r="AB62" s="350"/>
      <c r="AC62" s="214" t="str">
        <f t="shared" si="70"/>
        <v>Metered</v>
      </c>
      <c r="AD62" s="350"/>
      <c r="AE62" s="350"/>
      <c r="AF62" s="350"/>
      <c r="AG62" s="69">
        <v>647</v>
      </c>
      <c r="AH62" s="358"/>
      <c r="AI62" s="358"/>
      <c r="AJ62" s="350"/>
      <c r="AK62" s="350"/>
      <c r="AL62" s="350"/>
      <c r="AM62" s="350"/>
      <c r="AN62" s="350"/>
      <c r="AO62" s="350"/>
      <c r="AP62" s="350"/>
      <c r="AQ62" s="350"/>
      <c r="AR62" s="350"/>
      <c r="AS62" s="350"/>
      <c r="AT62" s="350"/>
      <c r="AU62" s="350"/>
      <c r="AV62" s="350"/>
      <c r="AW62" s="359"/>
      <c r="AX62" s="359"/>
      <c r="AY62" s="359"/>
      <c r="AZ62" s="359"/>
      <c r="BA62" s="350"/>
      <c r="BB62" s="350"/>
      <c r="BC62" s="350"/>
      <c r="BD62" s="350"/>
      <c r="BE62" s="350"/>
      <c r="BF62" s="350"/>
      <c r="BG62" s="350"/>
      <c r="BH62" s="350"/>
      <c r="BI62" s="350"/>
      <c r="BJ62" s="350"/>
      <c r="BK62" s="350"/>
      <c r="BL62" s="350"/>
      <c r="BM62" s="350"/>
      <c r="BN62" s="350"/>
      <c r="BO62" s="350"/>
      <c r="BP62" s="350"/>
      <c r="BQ62" s="350"/>
      <c r="BR62" s="350"/>
      <c r="BS62" s="350"/>
      <c r="BT62" s="350"/>
      <c r="BU62" s="350"/>
      <c r="BV62" s="350"/>
      <c r="BW62" s="350"/>
      <c r="BX62" s="350"/>
      <c r="BY62" s="350"/>
      <c r="BZ62" s="350"/>
      <c r="CA62" s="350"/>
      <c r="CB62" s="350"/>
      <c r="CC62" s="350"/>
    </row>
    <row r="63" spans="1:81" s="110" customFormat="1">
      <c r="A63" s="350" t="s">
        <v>47</v>
      </c>
      <c r="B63" s="343" t="s">
        <v>342</v>
      </c>
      <c r="C63" s="350" t="s">
        <v>343</v>
      </c>
      <c r="D63" s="353" t="s">
        <v>239</v>
      </c>
      <c r="E63" s="350"/>
      <c r="F63" s="350"/>
      <c r="G63" s="200" t="s">
        <v>169</v>
      </c>
      <c r="H63" s="351" t="s">
        <v>170</v>
      </c>
      <c r="I63" s="353" t="s">
        <v>132</v>
      </c>
      <c r="J63" s="350" t="s">
        <v>133</v>
      </c>
      <c r="K63" s="353" t="s">
        <v>339</v>
      </c>
      <c r="L63" s="353">
        <v>1</v>
      </c>
      <c r="M63" s="353">
        <v>1</v>
      </c>
      <c r="N63" s="148">
        <f t="shared" si="98"/>
        <v>0</v>
      </c>
      <c r="O63" s="353">
        <v>1</v>
      </c>
      <c r="P63" s="354"/>
      <c r="Q63" s="354"/>
      <c r="R63" s="354"/>
      <c r="S63" s="354" t="s">
        <v>123</v>
      </c>
      <c r="T63" s="356">
        <v>3</v>
      </c>
      <c r="U63" s="348">
        <f t="shared" si="99"/>
        <v>0.71325892857142847</v>
      </c>
      <c r="V63" s="357"/>
      <c r="W63" s="350"/>
      <c r="X63" s="350"/>
      <c r="Y63" s="350"/>
      <c r="Z63" s="231">
        <f t="shared" si="100"/>
        <v>0.71325892857142847</v>
      </c>
      <c r="AA63" s="350"/>
      <c r="AB63" s="350"/>
      <c r="AC63" s="153" t="str">
        <f t="shared" si="70"/>
        <v>Metered</v>
      </c>
      <c r="AD63" s="350"/>
      <c r="AE63" s="350"/>
      <c r="AF63" s="350"/>
      <c r="AG63" s="69">
        <v>479.31</v>
      </c>
      <c r="AH63" s="358"/>
      <c r="AI63" s="358"/>
      <c r="AJ63" s="350"/>
      <c r="AK63" s="350"/>
      <c r="AL63" s="350"/>
      <c r="AM63" s="350"/>
      <c r="AN63" s="350"/>
      <c r="AO63" s="350"/>
      <c r="AP63" s="350"/>
      <c r="AQ63" s="350"/>
      <c r="AR63" s="350"/>
      <c r="AS63" s="350"/>
      <c r="AT63" s="350"/>
      <c r="AU63" s="350"/>
      <c r="AV63" s="350"/>
      <c r="AW63" s="359"/>
      <c r="AX63" s="359"/>
      <c r="AY63" s="359"/>
      <c r="AZ63" s="359"/>
      <c r="BA63" s="350"/>
      <c r="BB63" s="350"/>
      <c r="BC63" s="350"/>
      <c r="BD63" s="350"/>
      <c r="BE63" s="350"/>
      <c r="BF63" s="350"/>
      <c r="BG63" s="350"/>
      <c r="BH63" s="350"/>
      <c r="BI63" s="350"/>
      <c r="BJ63" s="350"/>
      <c r="BK63" s="350"/>
      <c r="BL63" s="350"/>
      <c r="BM63" s="350"/>
      <c r="BN63" s="350"/>
      <c r="BO63" s="350"/>
      <c r="BP63" s="350"/>
      <c r="BQ63" s="350"/>
      <c r="BR63" s="350"/>
      <c r="BS63" s="350"/>
      <c r="BT63" s="350"/>
      <c r="BU63" s="350"/>
      <c r="BV63" s="350"/>
      <c r="BW63" s="350"/>
      <c r="BX63" s="350"/>
      <c r="BY63" s="350"/>
      <c r="BZ63" s="350"/>
      <c r="CA63" s="350"/>
      <c r="CB63" s="350"/>
      <c r="CC63" s="350"/>
    </row>
    <row r="64" spans="1:81" s="16" customFormat="1">
      <c r="A64" s="238" t="s">
        <v>47</v>
      </c>
      <c r="B64" s="168" t="s">
        <v>344</v>
      </c>
      <c r="C64" s="173" t="s">
        <v>345</v>
      </c>
      <c r="D64" s="173" t="s">
        <v>239</v>
      </c>
      <c r="E64" s="173"/>
      <c r="F64" s="173"/>
      <c r="G64" s="145" t="s">
        <v>169</v>
      </c>
      <c r="H64" s="146" t="s">
        <v>131</v>
      </c>
      <c r="I64" s="175" t="s">
        <v>132</v>
      </c>
      <c r="J64" s="175" t="s">
        <v>133</v>
      </c>
      <c r="K64" s="70" t="str">
        <f>IF(I64="Rack","No of Racks",(IF(I64="Space","Sq Ft","U Space")))</f>
        <v>No of Racks</v>
      </c>
      <c r="L64" s="175">
        <v>1</v>
      </c>
      <c r="M64" s="175">
        <v>1</v>
      </c>
      <c r="N64" s="112">
        <f t="shared" si="98"/>
        <v>0</v>
      </c>
      <c r="O64" s="175">
        <v>1</v>
      </c>
      <c r="P64" s="175"/>
      <c r="Q64" s="133">
        <f>188000/12</f>
        <v>15666.666666666666</v>
      </c>
      <c r="R64" s="114" t="str">
        <f>G64</f>
        <v>Subscribed</v>
      </c>
      <c r="S64" s="175" t="s">
        <v>123</v>
      </c>
      <c r="T64" s="69">
        <v>7.5</v>
      </c>
      <c r="U64" s="134">
        <v>7.23</v>
      </c>
      <c r="V64" s="116">
        <f t="shared" ref="V64:V69" si="101">T64-U64</f>
        <v>0.26999999999999957</v>
      </c>
      <c r="W64" s="69"/>
      <c r="X64" s="69">
        <f>IF(V64&lt;=0,0,(IF(R64="Rated",(V64+W64)*#REF!,(V64+W64))))</f>
        <v>0.26999999999999957</v>
      </c>
      <c r="Y64" s="69">
        <f>IF(R64="Rated",T64*#REF!,T64)</f>
        <v>7.5</v>
      </c>
      <c r="Z64" s="231">
        <f t="shared" si="100"/>
        <v>1.0627232142857144</v>
      </c>
      <c r="AA64" s="69">
        <f>IF((V64*-1)&gt;0, (V64*-1), 0)</f>
        <v>0</v>
      </c>
      <c r="AB64" s="117">
        <f>75000/12</f>
        <v>6250</v>
      </c>
      <c r="AC64" s="118" t="str">
        <f t="shared" si="70"/>
        <v>Bundled</v>
      </c>
      <c r="AD64" s="69">
        <v>1</v>
      </c>
      <c r="AE64" s="69" t="s">
        <v>171</v>
      </c>
      <c r="AF64" s="135">
        <v>17</v>
      </c>
      <c r="AG64" s="69">
        <v>714.15</v>
      </c>
      <c r="AH64" s="120"/>
      <c r="AI64" s="121" t="str">
        <f>IF(AH64="No of Seats","No of Seats",(IF(AH64="Space","Sq Ft","")))</f>
        <v/>
      </c>
      <c r="AJ64" s="69"/>
      <c r="AK64" s="69"/>
      <c r="AL64" s="69">
        <f>AJ64-AK64</f>
        <v>0</v>
      </c>
      <c r="AM64" s="69"/>
      <c r="AN64" s="69"/>
      <c r="AO64" s="113"/>
      <c r="AP64" s="122">
        <f>Q64*O64</f>
        <v>15666.666666666666</v>
      </c>
      <c r="AQ64" s="122">
        <f>AB64*AA64</f>
        <v>0</v>
      </c>
      <c r="AR64" s="123">
        <f>AG64*AF64*AD64</f>
        <v>12140.55</v>
      </c>
      <c r="AS64" s="122">
        <f>AO64*AM64</f>
        <v>0</v>
      </c>
      <c r="AT64" s="124">
        <f>(190000+75000)/12</f>
        <v>22083.333333333332</v>
      </c>
      <c r="AU64" s="125">
        <f>SUBTOTAL(9,AP64:AT64)</f>
        <v>49890.55</v>
      </c>
      <c r="AV64" s="125"/>
      <c r="AW64" s="136" t="s">
        <v>164</v>
      </c>
      <c r="AX64" s="137">
        <v>43831</v>
      </c>
      <c r="AY64" s="138">
        <v>1</v>
      </c>
      <c r="AZ64" s="137">
        <v>44196</v>
      </c>
      <c r="BA64" s="139"/>
      <c r="BB64" s="5"/>
      <c r="BC64" s="130">
        <f>IF(I64="Rack",AU64/L64,0)+IF(I64="U Space",AU64*40/L64,0)+IF(I64="Space",AU64*30/L64,0)</f>
        <v>49890.55</v>
      </c>
      <c r="BD64" s="130">
        <f>+AU64/Y64</f>
        <v>6652.0733333333337</v>
      </c>
      <c r="BE64" s="130" t="e">
        <f>+($AP64+$AQ64+$AR64-BL64)/$Y64</f>
        <v>#REF!</v>
      </c>
      <c r="BF64" s="130" t="e">
        <f>+($AP64+$AQ64+$AR64-BM64)/$Y64</f>
        <v>#REF!</v>
      </c>
      <c r="BG64" s="130" t="e">
        <f>+($AP64+$AQ64+IF(H64="Bundled",0,Y64*0.85*AD64*AF64*30.5*24)-BN64)/$Y64</f>
        <v>#REF!</v>
      </c>
      <c r="BH64" s="130"/>
      <c r="BI64" s="131">
        <f>+AP64+AQ64+AR64</f>
        <v>27807.216666666667</v>
      </c>
      <c r="BJ64" s="131" t="e">
        <f>+BI64-BK64</f>
        <v>#REF!</v>
      </c>
      <c r="BK64" s="131" t="e">
        <f>IF(H64="Bundled",MIN(Y64*#REF!*(1+#REF!),BI64),AR64)</f>
        <v>#REF!</v>
      </c>
      <c r="BL64" s="132" t="e">
        <f>IF($AG64&gt;0,$AG64*#REF!*#REF!*(1+#REF!*(20/#REF!)/732),#REF!*Z64)</f>
        <v>#REF!</v>
      </c>
      <c r="BM64" s="132" t="e">
        <f>IF($AG64&gt;0,$AG64*#REF!*#REF!*(1+#REF!*(20/#REF!)/732),+#REF!*(Z64+X64))</f>
        <v>#REF!</v>
      </c>
      <c r="BN64" s="132" t="e">
        <f>IF(H64="Bundled",#REF!*Y64,#REF!*Y64*0.85)</f>
        <v>#REF!</v>
      </c>
      <c r="BO64" s="132" t="e">
        <f>+BE64*Y64</f>
        <v>#REF!</v>
      </c>
      <c r="BP64" s="132" t="e">
        <f>+#REF!*Y64</f>
        <v>#REF!</v>
      </c>
      <c r="BQ64" s="132" t="e">
        <f>+BJ64-BP64</f>
        <v>#REF!</v>
      </c>
      <c r="BR64" s="132" t="e">
        <f>+BK64-BL64</f>
        <v>#REF!</v>
      </c>
      <c r="BS64" s="132" t="e">
        <f>+BQ64+BR64</f>
        <v>#REF!</v>
      </c>
      <c r="BT64" s="132">
        <f>+Y64</f>
        <v>7.5</v>
      </c>
      <c r="BU64" s="132" t="e">
        <f>+BE64</f>
        <v>#REF!</v>
      </c>
      <c r="BV64" s="132" t="e">
        <f>IF(H64="Bundled",BN64-BL64,AR64-BL64)</f>
        <v>#REF!</v>
      </c>
      <c r="BW64" s="132" t="e">
        <f>IF(H64="Bundled",+(BG64-#REF!)*Y64,(AP64+AQ64)-Y64*#REF!)</f>
        <v>#REF!</v>
      </c>
      <c r="BX64" s="132" t="e">
        <f>+BV64+BW64</f>
        <v>#REF!</v>
      </c>
      <c r="BY64" s="132" t="e">
        <f>+BV64/$BT64</f>
        <v>#REF!</v>
      </c>
      <c r="BZ64" s="132" t="e">
        <f>+BW64/$BT64</f>
        <v>#REF!</v>
      </c>
      <c r="CA64" s="132" t="e">
        <f>+BX64/$BT64</f>
        <v>#REF!</v>
      </c>
    </row>
    <row r="65" spans="1:79" s="16" customFormat="1" ht="26.1">
      <c r="A65" s="142" t="s">
        <v>47</v>
      </c>
      <c r="B65" s="168" t="s">
        <v>346</v>
      </c>
      <c r="C65" s="168" t="s">
        <v>347</v>
      </c>
      <c r="D65" s="168" t="s">
        <v>239</v>
      </c>
      <c r="E65" s="168"/>
      <c r="F65" s="168"/>
      <c r="G65" s="145" t="s">
        <v>169</v>
      </c>
      <c r="H65" s="146" t="s">
        <v>170</v>
      </c>
      <c r="I65" s="145" t="s">
        <v>132</v>
      </c>
      <c r="J65" s="145" t="s">
        <v>133</v>
      </c>
      <c r="K65" s="147" t="str">
        <f>IF(I65="Rack","No of Racks",(IF(I65="Space","Sq Ft","U Space")))</f>
        <v>No of Racks</v>
      </c>
      <c r="L65" s="145">
        <v>4</v>
      </c>
      <c r="M65" s="145">
        <v>4</v>
      </c>
      <c r="N65" s="148">
        <f t="shared" si="98"/>
        <v>0</v>
      </c>
      <c r="O65" s="145">
        <v>4</v>
      </c>
      <c r="P65" s="145"/>
      <c r="Q65" s="336"/>
      <c r="R65" s="150" t="str">
        <f>G65</f>
        <v>Subscribed</v>
      </c>
      <c r="S65" s="145" t="s">
        <v>123</v>
      </c>
      <c r="T65" s="146">
        <v>20</v>
      </c>
      <c r="U65" s="231">
        <f>Z65</f>
        <v>11.776339285714286</v>
      </c>
      <c r="V65" s="232">
        <f t="shared" si="101"/>
        <v>8.2236607142857139</v>
      </c>
      <c r="W65" s="146"/>
      <c r="X65" s="146">
        <f>IF(V65&lt;=0,0,(IF(R65="Rated",(V65+W65)*#REF!,(V65+W65))))</f>
        <v>8.2236607142857139</v>
      </c>
      <c r="Y65" s="146">
        <f>IF(R65="Rated",T65*#REF!,T65)</f>
        <v>20</v>
      </c>
      <c r="Z65" s="231">
        <f t="shared" si="100"/>
        <v>11.776339285714286</v>
      </c>
      <c r="AA65" s="146"/>
      <c r="AB65" s="152"/>
      <c r="AC65" s="153" t="s">
        <v>170</v>
      </c>
      <c r="AD65" s="146"/>
      <c r="AE65" s="146"/>
      <c r="AF65" s="154"/>
      <c r="AG65" s="146">
        <v>7913.7</v>
      </c>
      <c r="AH65" s="155"/>
      <c r="AI65" s="156"/>
      <c r="AJ65" s="146"/>
      <c r="AK65" s="146"/>
      <c r="AL65" s="146"/>
      <c r="AM65" s="146"/>
      <c r="AN65" s="146"/>
      <c r="AO65" s="149"/>
      <c r="AP65" s="157"/>
      <c r="AQ65" s="157"/>
      <c r="AR65" s="158"/>
      <c r="AS65" s="157"/>
      <c r="AT65" s="159"/>
      <c r="AU65" s="160"/>
      <c r="AV65" s="160"/>
      <c r="AW65" s="161"/>
      <c r="AX65" s="162"/>
      <c r="AY65" s="163"/>
      <c r="AZ65" s="162"/>
      <c r="BA65" s="164"/>
      <c r="BB65" s="5"/>
      <c r="BC65" s="165"/>
      <c r="BD65" s="165"/>
      <c r="BE65" s="165"/>
      <c r="BF65" s="165"/>
      <c r="BG65" s="165"/>
      <c r="BH65" s="165"/>
      <c r="BI65" s="166"/>
      <c r="BJ65" s="166"/>
      <c r="BK65" s="166"/>
      <c r="BL65" s="167" t="e">
        <f>IF($AG65&gt;0,$AG65*#REF!*#REF!*(1+#REF!*(20/#REF!)/732),#REF!*Z65)</f>
        <v>#REF!</v>
      </c>
      <c r="BM65" s="167" t="e">
        <f>IF($AG65&gt;0,$AG65*#REF!*#REF!*(1+#REF!*(20/#REF!)/732),+#REF!*(Z65+X65))</f>
        <v>#REF!</v>
      </c>
      <c r="BN65" s="167" t="e">
        <f>IF(H65="Bundled",#REF!*Y65,#REF!*Y65*0.85)</f>
        <v>#REF!</v>
      </c>
      <c r="BO65" s="167"/>
      <c r="BP65" s="167"/>
      <c r="BQ65" s="167"/>
      <c r="BR65" s="167"/>
      <c r="BS65" s="167"/>
      <c r="BT65" s="167"/>
      <c r="BU65" s="167"/>
      <c r="BV65" s="167"/>
      <c r="BW65" s="167"/>
      <c r="BX65" s="167"/>
      <c r="BY65" s="167"/>
      <c r="BZ65" s="167"/>
      <c r="CA65" s="167"/>
    </row>
    <row r="66" spans="1:79" s="16" customFormat="1">
      <c r="A66" s="142" t="s">
        <v>47</v>
      </c>
      <c r="B66" s="168" t="s">
        <v>348</v>
      </c>
      <c r="C66" s="168" t="s">
        <v>347</v>
      </c>
      <c r="D66" s="168" t="s">
        <v>239</v>
      </c>
      <c r="E66" s="168"/>
      <c r="F66" s="168"/>
      <c r="G66" s="145" t="s">
        <v>169</v>
      </c>
      <c r="H66" s="146" t="s">
        <v>170</v>
      </c>
      <c r="I66" s="145" t="s">
        <v>132</v>
      </c>
      <c r="J66" s="145" t="s">
        <v>133</v>
      </c>
      <c r="K66" s="147" t="s">
        <v>339</v>
      </c>
      <c r="L66" s="145">
        <v>3</v>
      </c>
      <c r="M66" s="145">
        <v>0</v>
      </c>
      <c r="N66" s="148">
        <f t="shared" si="98"/>
        <v>3</v>
      </c>
      <c r="O66" s="145">
        <v>0</v>
      </c>
      <c r="P66" s="145"/>
      <c r="Q66" s="336"/>
      <c r="R66" s="150" t="s">
        <v>169</v>
      </c>
      <c r="S66" s="145" t="s">
        <v>123</v>
      </c>
      <c r="T66" s="146">
        <v>15</v>
      </c>
      <c r="U66" s="231">
        <f>Z66</f>
        <v>3.0089285714285712</v>
      </c>
      <c r="V66" s="232">
        <f t="shared" si="101"/>
        <v>11.991071428571429</v>
      </c>
      <c r="W66" s="146"/>
      <c r="X66" s="146">
        <f>IF(V66&lt;=0,0,(IF(R66="Rated",(V66+W66)*#REF!,(V66+W66))))</f>
        <v>11.991071428571429</v>
      </c>
      <c r="Y66" s="146">
        <f>IF(R66="Rated",T66*#REF!,T66)</f>
        <v>15</v>
      </c>
      <c r="Z66" s="231">
        <f t="shared" si="100"/>
        <v>3.0089285714285712</v>
      </c>
      <c r="AA66" s="146"/>
      <c r="AB66" s="152"/>
      <c r="AC66" s="153" t="s">
        <v>170</v>
      </c>
      <c r="AD66" s="146"/>
      <c r="AE66" s="146"/>
      <c r="AF66" s="154"/>
      <c r="AG66" s="146">
        <v>2022</v>
      </c>
      <c r="AH66" s="155"/>
      <c r="AI66" s="156"/>
      <c r="AJ66" s="146"/>
      <c r="AK66" s="146"/>
      <c r="AL66" s="146"/>
      <c r="AM66" s="146"/>
      <c r="AN66" s="146"/>
      <c r="AO66" s="149"/>
      <c r="AP66" s="157"/>
      <c r="AQ66" s="157"/>
      <c r="AR66" s="158"/>
      <c r="AS66" s="157"/>
      <c r="AT66" s="159"/>
      <c r="AU66" s="160"/>
      <c r="AV66" s="160"/>
      <c r="AW66" s="161"/>
      <c r="AX66" s="162"/>
      <c r="AY66" s="163"/>
      <c r="AZ66" s="162"/>
      <c r="BA66" s="164"/>
      <c r="BB66" s="5"/>
      <c r="BC66" s="165"/>
      <c r="BD66" s="165"/>
      <c r="BE66" s="165"/>
      <c r="BF66" s="165"/>
      <c r="BG66" s="165"/>
      <c r="BH66" s="165"/>
      <c r="BI66" s="166"/>
      <c r="BJ66" s="166"/>
      <c r="BK66" s="166"/>
      <c r="BL66" s="167"/>
      <c r="BM66" s="167"/>
      <c r="BN66" s="167"/>
      <c r="BO66" s="167"/>
      <c r="BP66" s="167"/>
      <c r="BQ66" s="167"/>
      <c r="BR66" s="167"/>
      <c r="BS66" s="167"/>
      <c r="BT66" s="167"/>
      <c r="BU66" s="167"/>
      <c r="BV66" s="167"/>
      <c r="BW66" s="167"/>
      <c r="BX66" s="167"/>
      <c r="BY66" s="167"/>
      <c r="BZ66" s="167"/>
      <c r="CA66" s="167"/>
    </row>
    <row r="67" spans="1:79" s="16" customFormat="1">
      <c r="A67" s="142" t="s">
        <v>47</v>
      </c>
      <c r="B67" s="168" t="s">
        <v>349</v>
      </c>
      <c r="C67" s="168" t="s">
        <v>350</v>
      </c>
      <c r="D67" s="168" t="s">
        <v>239</v>
      </c>
      <c r="E67" s="168"/>
      <c r="F67" s="168"/>
      <c r="G67" s="145" t="s">
        <v>169</v>
      </c>
      <c r="H67" s="146" t="s">
        <v>170</v>
      </c>
      <c r="I67" s="145" t="s">
        <v>132</v>
      </c>
      <c r="J67" s="145" t="s">
        <v>133</v>
      </c>
      <c r="K67" s="147" t="str">
        <f>IF(I67="Rack","No of Racks",(IF(I67="Space","Sq Ft","U Space")))</f>
        <v>No of Racks</v>
      </c>
      <c r="L67" s="145">
        <v>1</v>
      </c>
      <c r="M67" s="145">
        <v>1</v>
      </c>
      <c r="N67" s="148">
        <f t="shared" si="98"/>
        <v>0</v>
      </c>
      <c r="O67" s="145">
        <v>1</v>
      </c>
      <c r="P67" s="145"/>
      <c r="Q67" s="336"/>
      <c r="R67" s="150" t="str">
        <f>G67</f>
        <v>Subscribed</v>
      </c>
      <c r="S67" s="145" t="s">
        <v>123</v>
      </c>
      <c r="T67" s="146">
        <v>3</v>
      </c>
      <c r="U67" s="231">
        <f>Z67</f>
        <v>0.20833333333333334</v>
      </c>
      <c r="V67" s="232">
        <f t="shared" si="101"/>
        <v>2.7916666666666665</v>
      </c>
      <c r="W67" s="146"/>
      <c r="X67" s="146">
        <f>IF(V67&lt;=0,0,(IF(R67="Rated",(V67+W67)*#REF!,(V67+W67))))</f>
        <v>2.7916666666666665</v>
      </c>
      <c r="Y67" s="146">
        <f>IF(R67="Rated",T67*#REF!,T67)</f>
        <v>3</v>
      </c>
      <c r="Z67" s="231">
        <f>AG67/28/24</f>
        <v>0.20833333333333334</v>
      </c>
      <c r="AA67" s="146">
        <f>IF((V67*-1)&gt;0, (V67*-1), 0)</f>
        <v>0</v>
      </c>
      <c r="AB67" s="152"/>
      <c r="AC67" s="153" t="str">
        <f t="shared" si="70"/>
        <v>Metered</v>
      </c>
      <c r="AD67" s="146">
        <v>1</v>
      </c>
      <c r="AE67" s="146" t="s">
        <v>171</v>
      </c>
      <c r="AF67" s="154"/>
      <c r="AG67" s="146">
        <v>140</v>
      </c>
      <c r="AH67" s="155"/>
      <c r="AI67" s="156" t="str">
        <f>IF(AH67="No of Seats","No of Seats",(IF(AH67="Space","Sq Ft","")))</f>
        <v/>
      </c>
      <c r="AJ67" s="146"/>
      <c r="AK67" s="146"/>
      <c r="AL67" s="146">
        <f>AJ67-AK67</f>
        <v>0</v>
      </c>
      <c r="AM67" s="146"/>
      <c r="AN67" s="146"/>
      <c r="AO67" s="149"/>
      <c r="AP67" s="157"/>
      <c r="AQ67" s="157">
        <f>AB67*AA67</f>
        <v>0</v>
      </c>
      <c r="AR67" s="158">
        <f>AG67*AF67*AD67</f>
        <v>0</v>
      </c>
      <c r="AS67" s="157">
        <f>AO67*AM67</f>
        <v>0</v>
      </c>
      <c r="AT67" s="159"/>
      <c r="AU67" s="160">
        <f>SUBTOTAL(9,AP67:AT67)</f>
        <v>0</v>
      </c>
      <c r="AV67" s="160"/>
      <c r="AW67" s="161"/>
      <c r="AX67" s="162"/>
      <c r="AY67" s="163"/>
      <c r="AZ67" s="162"/>
      <c r="BA67" s="164"/>
      <c r="BB67" s="5"/>
      <c r="BC67" s="165">
        <f>IF(I67="Rack",AU67/L67,0)+IF(I67="U Space",AU67*40/L67,0)+IF(I67="Space",AU67*30/L67,0)</f>
        <v>0</v>
      </c>
      <c r="BD67" s="165">
        <f>+AU67/Y67</f>
        <v>0</v>
      </c>
      <c r="BE67" s="165" t="e">
        <f>+($AP67+$AQ67+$AR67-BL67)/$Y67</f>
        <v>#REF!</v>
      </c>
      <c r="BF67" s="165"/>
      <c r="BG67" s="165"/>
      <c r="BH67" s="165"/>
      <c r="BI67" s="166">
        <f>+AP67+AQ67+AR67</f>
        <v>0</v>
      </c>
      <c r="BJ67" s="166">
        <f>+BI67-BK67</f>
        <v>0</v>
      </c>
      <c r="BK67" s="166">
        <f>IF(H67="Bundled",MIN(Y67*#REF!*(1+#REF!),BI67),AR67)</f>
        <v>0</v>
      </c>
      <c r="BL67" s="167" t="e">
        <f>IF($AG67&gt;0,$AG67*#REF!*#REF!*(1+#REF!*(20/#REF!)/732),#REF!*Z67)</f>
        <v>#REF!</v>
      </c>
      <c r="BM67" s="167"/>
      <c r="BN67" s="167"/>
      <c r="BO67" s="167" t="e">
        <f>+BE67*Y67</f>
        <v>#REF!</v>
      </c>
      <c r="BP67" s="167" t="e">
        <f>+#REF!*Y67</f>
        <v>#REF!</v>
      </c>
      <c r="BQ67" s="167" t="e">
        <f>+BJ67-BP67</f>
        <v>#REF!</v>
      </c>
      <c r="BR67" s="167" t="e">
        <f>+BK67-BL67</f>
        <v>#REF!</v>
      </c>
      <c r="BS67" s="167" t="e">
        <f>+BQ67+BR67</f>
        <v>#REF!</v>
      </c>
      <c r="BT67" s="167">
        <f>+Y67</f>
        <v>3</v>
      </c>
      <c r="BU67" s="167" t="e">
        <f>+BE67</f>
        <v>#REF!</v>
      </c>
      <c r="BV67" s="167" t="e">
        <f>IF(H67="Bundled",BN67-BL67,AR67-BL67)</f>
        <v>#REF!</v>
      </c>
      <c r="BW67" s="167" t="e">
        <f>IF(H67="Bundled",+(BG67-#REF!)*Y67,(AP67+AQ67)-Y67*#REF!)</f>
        <v>#REF!</v>
      </c>
      <c r="BX67" s="167" t="e">
        <f>+BV67+BW67</f>
        <v>#REF!</v>
      </c>
      <c r="BY67" s="167" t="e">
        <f t="shared" ref="BY67:CA69" si="102">+BV67/$BT67</f>
        <v>#REF!</v>
      </c>
      <c r="BZ67" s="167" t="e">
        <f t="shared" si="102"/>
        <v>#REF!</v>
      </c>
      <c r="CA67" s="167" t="e">
        <f t="shared" si="102"/>
        <v>#REF!</v>
      </c>
    </row>
    <row r="68" spans="1:79" s="16" customFormat="1">
      <c r="A68" s="142" t="s">
        <v>47</v>
      </c>
      <c r="B68" s="168" t="s">
        <v>351</v>
      </c>
      <c r="C68" s="144" t="s">
        <v>218</v>
      </c>
      <c r="D68" s="144" t="s">
        <v>235</v>
      </c>
      <c r="E68" s="144"/>
      <c r="F68" s="144"/>
      <c r="G68" s="145" t="s">
        <v>130</v>
      </c>
      <c r="H68" s="146" t="s">
        <v>131</v>
      </c>
      <c r="I68" s="145" t="s">
        <v>132</v>
      </c>
      <c r="J68" s="145" t="s">
        <v>133</v>
      </c>
      <c r="K68" s="147" t="str">
        <f>IF(I68="Rack","No of Racks",(IF(I68="Space","Sq Ft","U Space")))</f>
        <v>No of Racks</v>
      </c>
      <c r="L68" s="145">
        <v>2</v>
      </c>
      <c r="M68" s="145">
        <v>2</v>
      </c>
      <c r="N68" s="148">
        <f t="shared" si="98"/>
        <v>0</v>
      </c>
      <c r="O68" s="145">
        <v>2</v>
      </c>
      <c r="P68" s="145"/>
      <c r="Q68" s="336">
        <f>600000/12</f>
        <v>50000</v>
      </c>
      <c r="R68" s="150" t="str">
        <f>G68</f>
        <v>Rated</v>
      </c>
      <c r="S68" s="145" t="s">
        <v>134</v>
      </c>
      <c r="T68" s="146">
        <v>6</v>
      </c>
      <c r="U68" s="151">
        <v>4.68</v>
      </c>
      <c r="V68" s="232">
        <f t="shared" si="101"/>
        <v>1.3200000000000003</v>
      </c>
      <c r="W68" s="146"/>
      <c r="X68" s="146" t="e">
        <f>IF(V68&lt;=0,0,(IF(R68="Rated",(V68+W68)*#REF!,(V68+W68))))</f>
        <v>#REF!</v>
      </c>
      <c r="Y68" s="146" t="e">
        <f>IF(R68="Rated",T68*#REF!,T68)</f>
        <v>#REF!</v>
      </c>
      <c r="Z68" s="231">
        <v>2.65</v>
      </c>
      <c r="AA68" s="146">
        <f>IF((V68*-1)&gt;0, (V68*-1), 0)</f>
        <v>0</v>
      </c>
      <c r="AB68" s="152">
        <f>98000/12</f>
        <v>8166.666666666667</v>
      </c>
      <c r="AC68" s="153" t="str">
        <f t="shared" si="70"/>
        <v>Bundled</v>
      </c>
      <c r="AD68" s="146"/>
      <c r="AE68" s="146"/>
      <c r="AF68" s="154"/>
      <c r="AG68" s="146"/>
      <c r="AH68" s="155"/>
      <c r="AI68" s="156" t="str">
        <f>IF(AH68="No of Seats","No of Seats",(IF(AH68="Space","Sq Ft","")))</f>
        <v/>
      </c>
      <c r="AJ68" s="146"/>
      <c r="AK68" s="146"/>
      <c r="AL68" s="146">
        <f>AJ68-AK68</f>
        <v>0</v>
      </c>
      <c r="AM68" s="146"/>
      <c r="AN68" s="146"/>
      <c r="AO68" s="149"/>
      <c r="AP68" s="157">
        <f>Q68*O68</f>
        <v>100000</v>
      </c>
      <c r="AQ68" s="157">
        <f>AB68*AA68</f>
        <v>0</v>
      </c>
      <c r="AR68" s="158">
        <f>AG68*AF68*AD68</f>
        <v>0</v>
      </c>
      <c r="AS68" s="157">
        <f>AO68*AM68</f>
        <v>0</v>
      </c>
      <c r="AT68" s="159">
        <f>(120000)/12</f>
        <v>10000</v>
      </c>
      <c r="AU68" s="160">
        <f>SUBTOTAL(9,AP68:AT68)</f>
        <v>110000</v>
      </c>
      <c r="AV68" s="160"/>
      <c r="AW68" s="161">
        <v>721005561</v>
      </c>
      <c r="AX68" s="162"/>
      <c r="AY68" s="163"/>
      <c r="AZ68" s="162"/>
      <c r="BA68" s="164"/>
      <c r="BB68" s="5"/>
      <c r="BC68" s="165">
        <f>IF(I68="Rack",AU68/L68,0)+IF(I68="U Space",AU68*40/L68,0)+IF(I68="Space",AU68*30/L68,0)</f>
        <v>55000</v>
      </c>
      <c r="BD68" s="165" t="e">
        <f>+AU68/Y68</f>
        <v>#REF!</v>
      </c>
      <c r="BE68" s="165" t="e">
        <f>+($AP68+$AQ68+$AR68-BL68)/$Y68</f>
        <v>#REF!</v>
      </c>
      <c r="BF68" s="165" t="e">
        <f>+($AP68+$AQ68+$AR68-BM68)/$Y68</f>
        <v>#REF!</v>
      </c>
      <c r="BG68" s="165" t="e">
        <f>+($AP68+$AQ68+IF(H68="Bundled",0,Y68*0.85*AD68*AF68*30.5*24)-BN68)/$Y68</f>
        <v>#REF!</v>
      </c>
      <c r="BH68" s="165"/>
      <c r="BI68" s="166">
        <f>+AP68+AQ68+AR68</f>
        <v>100000</v>
      </c>
      <c r="BJ68" s="166" t="e">
        <f>+BI68-BK68</f>
        <v>#REF!</v>
      </c>
      <c r="BK68" s="166" t="e">
        <f>IF(H68="Bundled",MIN(Y68*#REF!*(1+#REF!),BI68),AR68)</f>
        <v>#REF!</v>
      </c>
      <c r="BL68" s="167" t="e">
        <f>IF($AG68&gt;0,$AG68*#REF!*#REF!*(1+#REF!*(20/#REF!)/732),#REF!*Z68)</f>
        <v>#REF!</v>
      </c>
      <c r="BM68" s="167" t="e">
        <f>IF($AG68&gt;0,$AG68*#REF!*#REF!*(1+#REF!*(20/#REF!)/732),+#REF!*(Z68+X68))</f>
        <v>#REF!</v>
      </c>
      <c r="BN68" s="167" t="e">
        <f>IF(H68="Bundled",#REF!*Y68,#REF!*Y68*0.85)</f>
        <v>#REF!</v>
      </c>
      <c r="BO68" s="167" t="e">
        <f>+BE68*Y68</f>
        <v>#REF!</v>
      </c>
      <c r="BP68" s="167" t="e">
        <f>+#REF!*Y68</f>
        <v>#REF!</v>
      </c>
      <c r="BQ68" s="167" t="e">
        <f>+BJ68-BP68</f>
        <v>#REF!</v>
      </c>
      <c r="BR68" s="167" t="e">
        <f>+BK68-BL68</f>
        <v>#REF!</v>
      </c>
      <c r="BS68" s="167" t="e">
        <f>+BQ68+BR68</f>
        <v>#REF!</v>
      </c>
      <c r="BT68" s="167" t="e">
        <f>+Y68</f>
        <v>#REF!</v>
      </c>
      <c r="BU68" s="167" t="e">
        <f>+BE68</f>
        <v>#REF!</v>
      </c>
      <c r="BV68" s="167" t="e">
        <f>IF(H68="Bundled",BN68-BL68,AR68-BL68)</f>
        <v>#REF!</v>
      </c>
      <c r="BW68" s="167" t="e">
        <f>IF(H68="Bundled",+(BG68-#REF!)*Y68,(AP68+AQ68)-Y68*#REF!)</f>
        <v>#REF!</v>
      </c>
      <c r="BX68" s="167" t="e">
        <f>+BV68+BW68</f>
        <v>#REF!</v>
      </c>
      <c r="BY68" s="167" t="e">
        <f t="shared" si="102"/>
        <v>#REF!</v>
      </c>
      <c r="BZ68" s="167" t="e">
        <f t="shared" si="102"/>
        <v>#REF!</v>
      </c>
      <c r="CA68" s="167" t="e">
        <f t="shared" si="102"/>
        <v>#REF!</v>
      </c>
    </row>
    <row r="69" spans="1:79" s="16" customFormat="1">
      <c r="A69" s="142" t="s">
        <v>47</v>
      </c>
      <c r="B69" s="373" t="s">
        <v>352</v>
      </c>
      <c r="C69" s="196" t="s">
        <v>86</v>
      </c>
      <c r="D69" s="196" t="s">
        <v>235</v>
      </c>
      <c r="E69" s="196"/>
      <c r="F69" s="196"/>
      <c r="G69" s="145" t="s">
        <v>130</v>
      </c>
      <c r="H69" s="146" t="s">
        <v>131</v>
      </c>
      <c r="I69" s="145" t="s">
        <v>132</v>
      </c>
      <c r="J69" s="145" t="s">
        <v>133</v>
      </c>
      <c r="K69" s="147" t="str">
        <f>IF(I69="Rack","No of Racks",(IF(I69="Space","Sq Ft","U Space")))</f>
        <v>No of Racks</v>
      </c>
      <c r="L69" s="145">
        <v>9</v>
      </c>
      <c r="M69" s="145">
        <v>9</v>
      </c>
      <c r="N69" s="148">
        <f t="shared" si="98"/>
        <v>0</v>
      </c>
      <c r="O69" s="145">
        <v>0</v>
      </c>
      <c r="P69" s="145"/>
      <c r="Q69" s="149">
        <f>(0)/12</f>
        <v>0</v>
      </c>
      <c r="R69" s="150" t="str">
        <f>G69</f>
        <v>Rated</v>
      </c>
      <c r="S69" s="145" t="s">
        <v>134</v>
      </c>
      <c r="T69" s="146">
        <v>27</v>
      </c>
      <c r="U69" s="151">
        <v>10</v>
      </c>
      <c r="V69" s="232">
        <f t="shared" si="101"/>
        <v>17</v>
      </c>
      <c r="W69" s="146"/>
      <c r="X69" s="146" t="e">
        <f>IF(V69&lt;=0,0,(IF(R69="Rated",(V69+W69)*#REF!,(V69+W69))))</f>
        <v>#REF!</v>
      </c>
      <c r="Y69" s="146" t="e">
        <f>IF(R69="Rated",T69*#REF!,T69)</f>
        <v>#REF!</v>
      </c>
      <c r="Z69" s="231">
        <v>2.67</v>
      </c>
      <c r="AA69" s="146">
        <f>IF((V69*-1)&gt;0, (V69*-1), 0)</f>
        <v>0</v>
      </c>
      <c r="AB69" s="374"/>
      <c r="AC69" s="153" t="str">
        <f t="shared" si="70"/>
        <v>Bundled</v>
      </c>
      <c r="AD69" s="146"/>
      <c r="AE69" s="146"/>
      <c r="AF69" s="154"/>
      <c r="AG69" s="146"/>
      <c r="AH69" s="155"/>
      <c r="AI69" s="156"/>
      <c r="AJ69" s="146"/>
      <c r="AK69" s="146"/>
      <c r="AL69" s="146">
        <f>AJ69-AK69</f>
        <v>0</v>
      </c>
      <c r="AM69" s="146"/>
      <c r="AN69" s="146"/>
      <c r="AO69" s="149">
        <f>(0)/12</f>
        <v>0</v>
      </c>
      <c r="AP69" s="157">
        <f>Q69*O69</f>
        <v>0</v>
      </c>
      <c r="AQ69" s="157">
        <f>AB69*AA69</f>
        <v>0</v>
      </c>
      <c r="AR69" s="158">
        <f>AG69*AF69*AD69</f>
        <v>0</v>
      </c>
      <c r="AS69" s="157">
        <f>AO69*AM69</f>
        <v>0</v>
      </c>
      <c r="AT69" s="159">
        <f>0/12</f>
        <v>0</v>
      </c>
      <c r="AU69" s="160">
        <f>SUBTOTAL(9,AP69:AT69)</f>
        <v>0</v>
      </c>
      <c r="AV69" s="160"/>
      <c r="AW69" s="161" t="s">
        <v>319</v>
      </c>
      <c r="AX69" s="162"/>
      <c r="AY69" s="163"/>
      <c r="AZ69" s="162"/>
      <c r="BA69" s="164"/>
      <c r="BB69" s="5"/>
      <c r="BC69" s="165">
        <f>IF(I69="Rack",AU69/L69,0)+IF(I69="U Space",AU69*40/L69,0)+IF(I69="Space",AU69*30/L69,0)</f>
        <v>0</v>
      </c>
      <c r="BD69" s="165" t="e">
        <f>+AU69/Y69</f>
        <v>#REF!</v>
      </c>
      <c r="BE69" s="165" t="e">
        <f>+($AP69+$AQ69+$AR69-BL69)/$Y69</f>
        <v>#REF!</v>
      </c>
      <c r="BF69" s="165" t="e">
        <f>+($AP69+$AQ69+$AR69-BM69)/$Y69</f>
        <v>#REF!</v>
      </c>
      <c r="BG69" s="165" t="e">
        <f>+($AP69+$AQ69+IF(H69="Bundled",0,Y69*0.85*AD69*AF69*30.5*24)-BN69)/$Y69</f>
        <v>#REF!</v>
      </c>
      <c r="BH69" s="165"/>
      <c r="BI69" s="166">
        <f>+AP69+AQ69+AR69</f>
        <v>0</v>
      </c>
      <c r="BJ69" s="166" t="e">
        <f>+BI69-BK69</f>
        <v>#REF!</v>
      </c>
      <c r="BK69" s="166" t="e">
        <f>IF(H69="Bundled",MIN(Y69*#REF!*(1+#REF!),BI69),AR69)</f>
        <v>#REF!</v>
      </c>
      <c r="BL69" s="167" t="e">
        <f>IF($AG69&gt;0,$AG69*#REF!*#REF!*(1+#REF!*(20/#REF!)/732),#REF!*Z69)</f>
        <v>#REF!</v>
      </c>
      <c r="BM69" s="167" t="e">
        <f>IF($AG69&gt;0,$AG69*#REF!*#REF!*(1+#REF!*(20/#REF!)/732),+#REF!*(Z69+X69))</f>
        <v>#REF!</v>
      </c>
      <c r="BN69" s="167" t="e">
        <f>IF(H69="Bundled",#REF!*Y69,#REF!*Y69*0.85)</f>
        <v>#REF!</v>
      </c>
      <c r="BO69" s="167" t="e">
        <f>+BE69*Y69</f>
        <v>#REF!</v>
      </c>
      <c r="BP69" s="167" t="e">
        <f>+#REF!*Y69</f>
        <v>#REF!</v>
      </c>
      <c r="BQ69" s="167" t="e">
        <f>+BJ69-BP69</f>
        <v>#REF!</v>
      </c>
      <c r="BR69" s="167" t="e">
        <f>+BK69-BL69</f>
        <v>#REF!</v>
      </c>
      <c r="BS69" s="167" t="e">
        <f>+BQ69+BR69</f>
        <v>#REF!</v>
      </c>
      <c r="BT69" s="167" t="e">
        <f>+Y69</f>
        <v>#REF!</v>
      </c>
      <c r="BU69" s="167" t="e">
        <f>+BE69</f>
        <v>#REF!</v>
      </c>
      <c r="BV69" s="167" t="e">
        <f>IF(H69="Bundled",BN69-BL69,AR69-BL69)</f>
        <v>#REF!</v>
      </c>
      <c r="BW69" s="167" t="e">
        <f>IF(H69="Bundled",+(BG69-#REF!)*Y69,(AP69+AQ69)-Y69*#REF!)</f>
        <v>#REF!</v>
      </c>
      <c r="BX69" s="167" t="e">
        <f>+BV69+BW69</f>
        <v>#REF!</v>
      </c>
      <c r="BY69" s="167" t="e">
        <f t="shared" si="102"/>
        <v>#REF!</v>
      </c>
      <c r="BZ69" s="167" t="e">
        <f t="shared" si="102"/>
        <v>#REF!</v>
      </c>
      <c r="CA69" s="167" t="e">
        <f t="shared" si="102"/>
        <v>#REF!</v>
      </c>
    </row>
    <row r="70" spans="1:79" s="64" customFormat="1" ht="13.5" thickBot="1">
      <c r="A70" s="375"/>
      <c r="B70" s="376" t="s">
        <v>353</v>
      </c>
      <c r="C70" s="377"/>
      <c r="D70" s="377"/>
      <c r="E70" s="377"/>
      <c r="F70" s="377"/>
      <c r="G70" s="378"/>
      <c r="H70" s="379"/>
      <c r="I70" s="379"/>
      <c r="J70" s="379"/>
      <c r="K70" s="379"/>
      <c r="L70" s="380"/>
      <c r="M70" s="377"/>
      <c r="N70" s="381"/>
      <c r="O70" s="377"/>
      <c r="P70" s="377"/>
      <c r="Q70" s="377"/>
      <c r="R70" s="382"/>
      <c r="S70" s="377"/>
      <c r="T70" s="383">
        <f>SUM(T2:T69)</f>
        <v>933.87</v>
      </c>
      <c r="U70" s="383">
        <f>SUM(U2:U69)</f>
        <v>665.56950562169322</v>
      </c>
      <c r="V70" s="384"/>
      <c r="W70" s="383"/>
      <c r="X70" s="383" t="e">
        <f>SUM(X2:X69)</f>
        <v>#REF!</v>
      </c>
      <c r="Y70" s="383" t="e">
        <f>SUM(Y2:Y69)</f>
        <v>#REF!</v>
      </c>
      <c r="Z70" s="383">
        <f>SUM(Z2:Z69)</f>
        <v>589.69916666666654</v>
      </c>
      <c r="AA70" s="385"/>
      <c r="AB70" s="386"/>
      <c r="AC70" s="386"/>
      <c r="AD70" s="385"/>
      <c r="AE70" s="385"/>
      <c r="AF70" s="385"/>
      <c r="AG70" s="385"/>
      <c r="AH70" s="387" t="s">
        <v>141</v>
      </c>
      <c r="AI70" s="388" t="str">
        <f>IF(AH70="No of Seats","No of Seats",(IF(AH70="Space","Sq Ft","")))</f>
        <v>No of Seats</v>
      </c>
      <c r="AJ70" s="385">
        <f>SUM(AJ2:AJ69)</f>
        <v>60</v>
      </c>
      <c r="AK70" s="385">
        <f>SUM(AK2:AK69)</f>
        <v>60</v>
      </c>
      <c r="AL70" s="385">
        <f>SUM(AL2:AL69)</f>
        <v>0</v>
      </c>
      <c r="AM70" s="385">
        <f>SUM(AM2:AM69)</f>
        <v>60</v>
      </c>
      <c r="AN70" s="385"/>
      <c r="AO70" s="385"/>
      <c r="AP70" s="389"/>
      <c r="AQ70" s="389"/>
      <c r="AR70" s="389"/>
      <c r="AS70" s="389"/>
      <c r="AT70" s="389"/>
      <c r="AU70" s="385">
        <f>SUM(AU2:AU69)</f>
        <v>21390684.35786061</v>
      </c>
      <c r="AV70" s="378" t="s">
        <v>354</v>
      </c>
      <c r="AW70" s="390"/>
      <c r="AX70" s="390"/>
      <c r="AY70" s="391"/>
      <c r="AZ70" s="390"/>
      <c r="BA70" s="392"/>
      <c r="CA70" s="65"/>
    </row>
    <row r="71" spans="1:79" s="67" customFormat="1">
      <c r="A71" s="393"/>
      <c r="B71" s="394"/>
      <c r="C71" s="394"/>
      <c r="D71" s="395"/>
      <c r="E71" s="395"/>
      <c r="F71" s="395"/>
      <c r="G71" s="396"/>
      <c r="H71" s="71" t="s">
        <v>132</v>
      </c>
      <c r="I71" s="72">
        <f>COUNTIF(I2:I69,"=Rack")</f>
        <v>33</v>
      </c>
      <c r="J71" s="72"/>
      <c r="K71" s="72" t="s">
        <v>355</v>
      </c>
      <c r="L71" s="73">
        <f>SUMIF(I2:I69,"Rack",L2:L69)</f>
        <v>65</v>
      </c>
      <c r="M71" s="397"/>
      <c r="N71" s="398"/>
      <c r="O71" s="394"/>
      <c r="P71" s="394"/>
      <c r="Q71" s="394"/>
      <c r="R71" s="399"/>
      <c r="S71" s="394"/>
      <c r="T71" s="400"/>
      <c r="U71" s="400"/>
      <c r="V71" s="401"/>
      <c r="W71" s="400"/>
      <c r="X71" s="400"/>
      <c r="Y71" s="400"/>
      <c r="Z71" s="400"/>
      <c r="AA71" s="400"/>
      <c r="AB71" s="374"/>
      <c r="AC71" s="374"/>
      <c r="AD71" s="400"/>
      <c r="AE71" s="400"/>
      <c r="AF71" s="400"/>
      <c r="AG71" s="400"/>
      <c r="AH71" s="402"/>
      <c r="AI71" s="403"/>
      <c r="AJ71" s="400"/>
      <c r="AK71" s="400"/>
      <c r="AL71" s="400"/>
      <c r="AM71" s="400"/>
      <c r="AN71" s="400"/>
      <c r="AO71" s="400"/>
      <c r="AP71" s="404"/>
      <c r="AQ71" s="404"/>
      <c r="AR71" s="404"/>
      <c r="AS71" s="404"/>
      <c r="AT71" s="404"/>
      <c r="AU71" s="400"/>
      <c r="AV71" s="405"/>
      <c r="AW71" s="406"/>
      <c r="AX71" s="406"/>
      <c r="AY71" s="407"/>
      <c r="AZ71" s="406"/>
      <c r="BA71" s="408"/>
      <c r="CA71" s="68"/>
    </row>
    <row r="72" spans="1:79" s="67" customFormat="1">
      <c r="A72" s="393"/>
      <c r="B72" s="394"/>
      <c r="C72" s="394"/>
      <c r="D72" s="395"/>
      <c r="E72" s="395"/>
      <c r="F72" s="395"/>
      <c r="G72" s="396"/>
      <c r="H72" s="409" t="s">
        <v>59</v>
      </c>
      <c r="I72" s="410">
        <f>COUNTIF(I2:I69,"=Space")</f>
        <v>10</v>
      </c>
      <c r="J72" s="410"/>
      <c r="K72" s="410" t="s">
        <v>356</v>
      </c>
      <c r="L72" s="411">
        <f>SUMIF(I2:I69,"Space",L2:L69)/21</f>
        <v>216.14285714285714</v>
      </c>
      <c r="M72" s="397"/>
      <c r="N72" s="398"/>
      <c r="O72" s="394"/>
      <c r="P72" s="394"/>
      <c r="Q72" s="394"/>
      <c r="R72" s="399"/>
      <c r="S72" s="394"/>
      <c r="T72" s="400"/>
      <c r="U72" s="400"/>
      <c r="V72" s="401"/>
      <c r="W72" s="400"/>
      <c r="X72" s="400"/>
      <c r="Y72" s="400"/>
      <c r="Z72" s="400"/>
      <c r="AA72" s="400"/>
      <c r="AB72" s="374"/>
      <c r="AC72" s="374"/>
      <c r="AD72" s="400"/>
      <c r="AE72" s="400"/>
      <c r="AF72" s="400"/>
      <c r="AG72" s="400"/>
      <c r="AH72" s="402"/>
      <c r="AI72" s="403"/>
      <c r="AJ72" s="400"/>
      <c r="AK72" s="400"/>
      <c r="AL72" s="400"/>
      <c r="AM72" s="400"/>
      <c r="AN72" s="400"/>
      <c r="AO72" s="400"/>
      <c r="AP72" s="404"/>
      <c r="AQ72" s="404"/>
      <c r="AR72" s="404"/>
      <c r="AS72" s="404"/>
      <c r="AT72" s="404"/>
      <c r="AU72" s="400"/>
      <c r="AV72" s="405"/>
      <c r="AW72" s="406"/>
      <c r="AX72" s="406"/>
      <c r="AY72" s="407"/>
      <c r="AZ72" s="406"/>
      <c r="BA72" s="408"/>
      <c r="CA72" s="68"/>
    </row>
    <row r="73" spans="1:79" s="67" customFormat="1">
      <c r="A73" s="393"/>
      <c r="B73" s="394"/>
      <c r="C73" s="394"/>
      <c r="D73" s="395"/>
      <c r="E73" s="395"/>
      <c r="F73" s="395"/>
      <c r="G73" s="396"/>
      <c r="H73" s="409" t="s">
        <v>144</v>
      </c>
      <c r="I73" s="410">
        <f>COUNTIF(I2:I69,"=U space")</f>
        <v>25</v>
      </c>
      <c r="J73" s="410"/>
      <c r="K73" s="410" t="s">
        <v>144</v>
      </c>
      <c r="L73" s="412">
        <v>5</v>
      </c>
      <c r="M73" s="397"/>
      <c r="N73" s="398"/>
      <c r="O73" s="394"/>
      <c r="P73" s="394"/>
      <c r="Q73" s="394"/>
      <c r="R73" s="399"/>
      <c r="S73" s="394"/>
      <c r="T73" s="400"/>
      <c r="U73" s="400"/>
      <c r="V73" s="401"/>
      <c r="W73" s="400"/>
      <c r="X73" s="400"/>
      <c r="Y73" s="400"/>
      <c r="Z73" s="400"/>
      <c r="AA73" s="400"/>
      <c r="AB73" s="374"/>
      <c r="AC73" s="374"/>
      <c r="AD73" s="400"/>
      <c r="AE73" s="400"/>
      <c r="AF73" s="400"/>
      <c r="AG73" s="400"/>
      <c r="AH73" s="402"/>
      <c r="AI73" s="403"/>
      <c r="AJ73" s="400"/>
      <c r="AK73" s="400"/>
      <c r="AL73" s="400"/>
      <c r="AM73" s="400"/>
      <c r="AN73" s="400"/>
      <c r="AO73" s="400"/>
      <c r="AP73" s="404"/>
      <c r="AQ73" s="404"/>
      <c r="AR73" s="404"/>
      <c r="AS73" s="404"/>
      <c r="AT73" s="404"/>
      <c r="AU73" s="400"/>
      <c r="AV73" s="405"/>
      <c r="AW73" s="406"/>
      <c r="AX73" s="406"/>
      <c r="AY73" s="407"/>
      <c r="AZ73" s="406"/>
      <c r="BA73" s="408"/>
      <c r="CA73" s="68"/>
    </row>
    <row r="74" spans="1:79" ht="13.5" thickBot="1">
      <c r="A74" s="393"/>
      <c r="B74" s="405"/>
      <c r="C74" s="229"/>
      <c r="D74" s="413"/>
      <c r="E74" s="413"/>
      <c r="F74" s="413"/>
      <c r="G74" s="413"/>
      <c r="H74" s="414"/>
      <c r="I74" s="415"/>
      <c r="J74" s="415"/>
      <c r="K74" s="416" t="s">
        <v>52</v>
      </c>
      <c r="L74" s="417">
        <f>SUM(L71:L73)</f>
        <v>286.14285714285711</v>
      </c>
      <c r="M74" s="418"/>
      <c r="N74" s="419"/>
      <c r="O74" s="420"/>
      <c r="P74" s="420"/>
      <c r="Q74" s="421"/>
      <c r="R74" s="420"/>
      <c r="S74" s="420"/>
      <c r="T74" s="422"/>
      <c r="U74" s="229"/>
      <c r="V74" s="419"/>
      <c r="W74" s="229"/>
      <c r="X74" s="229"/>
      <c r="Y74" s="229"/>
      <c r="Z74" s="229"/>
      <c r="AA74" s="229"/>
      <c r="AB74" s="229"/>
      <c r="AC74" s="229"/>
      <c r="AD74" s="229"/>
      <c r="AE74" s="229"/>
      <c r="AF74" s="229"/>
      <c r="AG74" s="423"/>
      <c r="AH74" s="423"/>
      <c r="AI74" s="423"/>
      <c r="AJ74" s="229"/>
      <c r="AK74" s="229"/>
      <c r="AL74" s="229"/>
      <c r="AM74" s="229"/>
      <c r="AN74" s="229"/>
      <c r="AO74" s="229"/>
      <c r="AP74" s="229"/>
      <c r="AQ74" s="229"/>
      <c r="AR74" s="229"/>
      <c r="AS74" s="229"/>
      <c r="AT74" s="229"/>
      <c r="AU74" s="229"/>
      <c r="AV74" s="229"/>
      <c r="AW74" s="424"/>
      <c r="AX74" s="424"/>
      <c r="AY74" s="424"/>
      <c r="AZ74" s="424"/>
      <c r="BA74" s="164"/>
    </row>
    <row r="75" spans="1:79" s="16" customFormat="1">
      <c r="A75" s="142" t="s">
        <v>45</v>
      </c>
      <c r="B75" s="425" t="s">
        <v>357</v>
      </c>
      <c r="C75" s="168" t="s">
        <v>358</v>
      </c>
      <c r="D75" s="168" t="s">
        <v>239</v>
      </c>
      <c r="E75" s="146">
        <v>2</v>
      </c>
      <c r="F75" s="146"/>
      <c r="G75" s="145" t="s">
        <v>169</v>
      </c>
      <c r="H75" s="146" t="s">
        <v>170</v>
      </c>
      <c r="I75" s="145" t="s">
        <v>59</v>
      </c>
      <c r="J75" s="145" t="s">
        <v>185</v>
      </c>
      <c r="K75" s="147" t="str">
        <f>IF(I75="Rack","No of Racks",(IF(I75="Space","Sq Ft","U Space")))</f>
        <v>Sq Ft</v>
      </c>
      <c r="L75" s="145">
        <v>480</v>
      </c>
      <c r="M75" s="145">
        <v>480</v>
      </c>
      <c r="N75" s="148">
        <f t="shared" ref="N75:N85" si="103">L75-M75</f>
        <v>0</v>
      </c>
      <c r="O75" s="145">
        <v>480</v>
      </c>
      <c r="P75" s="145"/>
      <c r="Q75" s="149">
        <f>2940000/480/12</f>
        <v>510.41666666666669</v>
      </c>
      <c r="R75" s="150" t="str">
        <f t="shared" ref="R75:R81" si="104">G75</f>
        <v>Subscribed</v>
      </c>
      <c r="S75" s="145" t="s">
        <v>123</v>
      </c>
      <c r="T75" s="146">
        <v>42</v>
      </c>
      <c r="U75" s="327">
        <f>Z75</f>
        <v>47.146979166666661</v>
      </c>
      <c r="V75" s="232">
        <f t="shared" ref="V75:V119" si="105">T75-U75</f>
        <v>-5.1469791666666609</v>
      </c>
      <c r="W75" s="146"/>
      <c r="X75" s="146">
        <f>IF(V75&lt;=0,0,(IF(R75="Rated",(V75+W75)*#REF!,(V75+W75))))</f>
        <v>0</v>
      </c>
      <c r="Y75" s="146">
        <f>IF(R75="Rated",T75*#REF!,T75)</f>
        <v>42</v>
      </c>
      <c r="Z75" s="231">
        <f>AG75/28/24</f>
        <v>47.146979166666661</v>
      </c>
      <c r="AA75" s="146">
        <f t="shared" ref="AA75:AA98" si="106">IF((V75*-1)&gt;0, (V75*-1), 0)</f>
        <v>5.1469791666666609</v>
      </c>
      <c r="AB75" s="152">
        <f>75000/12</f>
        <v>6250</v>
      </c>
      <c r="AC75" s="153" t="str">
        <f t="shared" ref="AC75:AC116" si="107">H75</f>
        <v>Metered</v>
      </c>
      <c r="AD75" s="146">
        <v>1</v>
      </c>
      <c r="AE75" s="146" t="s">
        <v>171</v>
      </c>
      <c r="AF75" s="154">
        <v>14.8</v>
      </c>
      <c r="AG75" s="146">
        <v>31682.77</v>
      </c>
      <c r="AH75" s="155" t="s">
        <v>141</v>
      </c>
      <c r="AI75" s="156" t="str">
        <f t="shared" ref="AI75:AI80" si="108">IF(AH75="No of Seats","No of Seats",(IF(AH75="Space","Sq Ft","")))</f>
        <v>No of Seats</v>
      </c>
      <c r="AJ75" s="146">
        <v>2</v>
      </c>
      <c r="AK75" s="146">
        <v>2</v>
      </c>
      <c r="AL75" s="146">
        <f t="shared" ref="AL75:AL81" si="109">AJ75-AK75</f>
        <v>0</v>
      </c>
      <c r="AM75" s="146">
        <v>2</v>
      </c>
      <c r="AN75" s="146"/>
      <c r="AO75" s="149">
        <f>90000/12</f>
        <v>7500</v>
      </c>
      <c r="AP75" s="157">
        <f t="shared" ref="AP75:AP81" si="110">Q75*O75</f>
        <v>245000</v>
      </c>
      <c r="AQ75" s="157">
        <f t="shared" ref="AQ75:AQ81" si="111">AB75*AA75</f>
        <v>32168.619791666631</v>
      </c>
      <c r="AR75" s="158">
        <f t="shared" ref="AR75:AR81" si="112">AG75*AF75*AD75</f>
        <v>468904.99600000004</v>
      </c>
      <c r="AS75" s="157">
        <f t="shared" ref="AS75:AS81" si="113">AO75*AM75</f>
        <v>15000</v>
      </c>
      <c r="AT75" s="159"/>
      <c r="AU75" s="160">
        <f t="shared" ref="AU75:AU81" si="114">SUBTOTAL(9,AP75:AT75)</f>
        <v>761073.61579166667</v>
      </c>
      <c r="AV75" s="160"/>
      <c r="AW75" s="161" t="s">
        <v>359</v>
      </c>
      <c r="AX75" s="162"/>
      <c r="AY75" s="163"/>
      <c r="AZ75" s="162"/>
      <c r="BA75" s="164"/>
      <c r="BC75" s="165">
        <f t="shared" ref="BC75:BC81" si="115">IF(I75="Rack",AU75/L75,0)+IF(I75="U Space",AU75*40/L75,0)+IF(I75="Space",AU75*30/L75,0)</f>
        <v>47567.100986979167</v>
      </c>
      <c r="BD75" s="165">
        <f t="shared" ref="BD75:BD81" si="116">+AU75/Y75</f>
        <v>18120.800375992065</v>
      </c>
      <c r="BE75" s="165" t="e">
        <f t="shared" ref="BE75:BF81" si="117">+($AP75+$AQ75+$AR75-BL75)/$Y75</f>
        <v>#REF!</v>
      </c>
      <c r="BF75" s="165" t="e">
        <f t="shared" si="117"/>
        <v>#REF!</v>
      </c>
      <c r="BG75" s="165" t="e">
        <f t="shared" ref="BG75:BG81" si="118">+($AP75+$AQ75+IF(H75="Bundled",0,Y75*0.85*AD75*AF75*30.5*24)-BN75)/$Y75</f>
        <v>#REF!</v>
      </c>
      <c r="BH75" s="165"/>
      <c r="BI75" s="166">
        <f t="shared" ref="BI75:BI81" si="119">+AP75+AQ75+AR75</f>
        <v>746073.61579166667</v>
      </c>
      <c r="BJ75" s="166">
        <f t="shared" ref="BJ75:BJ81" si="120">+BI75-BK75</f>
        <v>277168.61979166663</v>
      </c>
      <c r="BK75" s="166">
        <f>IF(H75="Bundled",MIN(Y75*#REF!*(1+#REF!),BI75),AR75)</f>
        <v>468904.99600000004</v>
      </c>
      <c r="BL75" s="167" t="e">
        <f>IF($AG75&gt;0,$AG75*#REF!*#REF!*(1+#REF!*(20/#REF!)/732),#REF!*Z75)</f>
        <v>#REF!</v>
      </c>
      <c r="BM75" s="167" t="e">
        <f>IF($AG75&gt;0,$AG75*#REF!*#REF!*(1+#REF!*(20/#REF!)/732),+#REF!*(Z75+X75))</f>
        <v>#REF!</v>
      </c>
      <c r="BN75" s="167" t="e">
        <f>IF(H75="Bundled",#REF!*Y75,#REF!*Y75*0.85)</f>
        <v>#REF!</v>
      </c>
      <c r="BO75" s="167" t="e">
        <f t="shared" ref="BO75:BO81" si="121">+BE75*Y75</f>
        <v>#REF!</v>
      </c>
      <c r="BP75" s="167" t="e">
        <f>+#REF!*Y75</f>
        <v>#REF!</v>
      </c>
      <c r="BQ75" s="167" t="e">
        <f t="shared" ref="BQ75:BQ81" si="122">+BJ75-BP75</f>
        <v>#REF!</v>
      </c>
      <c r="BR75" s="167" t="e">
        <f t="shared" ref="BR75:BR81" si="123">+BK75-BL75</f>
        <v>#REF!</v>
      </c>
      <c r="BS75" s="167" t="e">
        <f t="shared" ref="BS75:BS81" si="124">+BQ75+BR75</f>
        <v>#REF!</v>
      </c>
      <c r="BT75" s="167">
        <f t="shared" ref="BT75:BT81" si="125">+Y75</f>
        <v>42</v>
      </c>
      <c r="BU75" s="167" t="e">
        <f t="shared" ref="BU75:BU81" si="126">+BE75</f>
        <v>#REF!</v>
      </c>
      <c r="BV75" s="167" t="e">
        <f t="shared" ref="BV75:BV81" si="127">IF(H75="Bundled",BN75-BL75,AR75-BL75)</f>
        <v>#REF!</v>
      </c>
      <c r="BW75" s="167" t="e">
        <f>IF(H75="Bundled",+(BG75-#REF!)*Y75,(AP75+AQ75)-Y75*#REF!)</f>
        <v>#REF!</v>
      </c>
      <c r="BX75" s="167" t="e">
        <f t="shared" ref="BX75:BX81" si="128">+BV75+BW75</f>
        <v>#REF!</v>
      </c>
      <c r="BY75" s="167" t="e">
        <f t="shared" ref="BY75:CA81" si="129">+BV75/$BT75</f>
        <v>#REF!</v>
      </c>
      <c r="BZ75" s="167" t="e">
        <f t="shared" si="129"/>
        <v>#REF!</v>
      </c>
      <c r="CA75" s="167" t="e">
        <f t="shared" si="129"/>
        <v>#REF!</v>
      </c>
    </row>
    <row r="76" spans="1:79" s="16" customFormat="1">
      <c r="A76" s="142" t="s">
        <v>45</v>
      </c>
      <c r="B76" s="425"/>
      <c r="C76" s="168" t="s">
        <v>358</v>
      </c>
      <c r="D76" s="168" t="s">
        <v>239</v>
      </c>
      <c r="E76" s="168"/>
      <c r="F76" s="168"/>
      <c r="G76" s="145" t="s">
        <v>169</v>
      </c>
      <c r="H76" s="146" t="s">
        <v>170</v>
      </c>
      <c r="I76" s="145" t="s">
        <v>132</v>
      </c>
      <c r="J76" s="145" t="s">
        <v>133</v>
      </c>
      <c r="K76" s="147" t="s">
        <v>339</v>
      </c>
      <c r="L76" s="145">
        <v>3</v>
      </c>
      <c r="M76" s="145">
        <v>3</v>
      </c>
      <c r="N76" s="148">
        <f t="shared" si="103"/>
        <v>0</v>
      </c>
      <c r="O76" s="145">
        <v>3</v>
      </c>
      <c r="P76" s="145"/>
      <c r="Q76" s="149">
        <f>450000/12</f>
        <v>37500</v>
      </c>
      <c r="R76" s="150" t="str">
        <f t="shared" si="104"/>
        <v>Subscribed</v>
      </c>
      <c r="S76" s="145" t="s">
        <v>123</v>
      </c>
      <c r="T76" s="146">
        <v>18</v>
      </c>
      <c r="U76" s="327">
        <f>Z76</f>
        <v>10.427961309523811</v>
      </c>
      <c r="V76" s="232">
        <f t="shared" si="105"/>
        <v>7.5720386904761892</v>
      </c>
      <c r="W76" s="146"/>
      <c r="X76" s="146">
        <f>IF(V76&lt;=0,0,(IF(R76="Rated",(V76+W76)*#REF!,(V76+W76))))</f>
        <v>7.5720386904761892</v>
      </c>
      <c r="Y76" s="146">
        <f>IF(R76="Rated",T76*#REF!,T76)</f>
        <v>18</v>
      </c>
      <c r="Z76" s="231">
        <f t="shared" ref="Z76:Z85" si="130">AG76/28/24</f>
        <v>10.427961309523811</v>
      </c>
      <c r="AA76" s="146">
        <f t="shared" si="106"/>
        <v>0</v>
      </c>
      <c r="AB76" s="152">
        <f>75000/12</f>
        <v>6250</v>
      </c>
      <c r="AC76" s="153" t="str">
        <f t="shared" si="107"/>
        <v>Metered</v>
      </c>
      <c r="AD76" s="146">
        <v>1</v>
      </c>
      <c r="AE76" s="146" t="s">
        <v>171</v>
      </c>
      <c r="AF76" s="154">
        <v>14.8</v>
      </c>
      <c r="AG76" s="146">
        <v>7007.59</v>
      </c>
      <c r="AH76" s="155"/>
      <c r="AI76" s="156" t="str">
        <f t="shared" si="108"/>
        <v/>
      </c>
      <c r="AJ76" s="146"/>
      <c r="AK76" s="146"/>
      <c r="AL76" s="146">
        <f t="shared" si="109"/>
        <v>0</v>
      </c>
      <c r="AM76" s="146"/>
      <c r="AN76" s="146"/>
      <c r="AO76" s="149"/>
      <c r="AP76" s="157">
        <f t="shared" si="110"/>
        <v>112500</v>
      </c>
      <c r="AQ76" s="157">
        <f t="shared" si="111"/>
        <v>0</v>
      </c>
      <c r="AR76" s="158">
        <f t="shared" si="112"/>
        <v>103712.33200000001</v>
      </c>
      <c r="AS76" s="157">
        <f t="shared" si="113"/>
        <v>0</v>
      </c>
      <c r="AT76" s="159"/>
      <c r="AU76" s="160">
        <f t="shared" si="114"/>
        <v>216212.33199999999</v>
      </c>
      <c r="AV76" s="160"/>
      <c r="AW76" s="161" t="s">
        <v>360</v>
      </c>
      <c r="AX76" s="162"/>
      <c r="AY76" s="163"/>
      <c r="AZ76" s="162"/>
      <c r="BA76" s="164"/>
      <c r="BC76" s="165">
        <f t="shared" si="115"/>
        <v>72070.777333333332</v>
      </c>
      <c r="BD76" s="165">
        <f t="shared" si="116"/>
        <v>12011.796222222221</v>
      </c>
      <c r="BE76" s="165" t="e">
        <f t="shared" si="117"/>
        <v>#REF!</v>
      </c>
      <c r="BF76" s="165" t="e">
        <f t="shared" si="117"/>
        <v>#REF!</v>
      </c>
      <c r="BG76" s="165" t="e">
        <f t="shared" si="118"/>
        <v>#REF!</v>
      </c>
      <c r="BH76" s="165"/>
      <c r="BI76" s="166">
        <f t="shared" si="119"/>
        <v>216212.33199999999</v>
      </c>
      <c r="BJ76" s="166">
        <f t="shared" si="120"/>
        <v>112499.99999999999</v>
      </c>
      <c r="BK76" s="166">
        <f>IF(H76="Bundled",MIN(Y76*#REF!*(1+#REF!),BI76),AR76)</f>
        <v>103712.33200000001</v>
      </c>
      <c r="BL76" s="167" t="e">
        <f>IF($AG76&gt;0,$AG76*#REF!*#REF!*(1+#REF!*(20/#REF!)/732),#REF!*Z76)</f>
        <v>#REF!</v>
      </c>
      <c r="BM76" s="167" t="e">
        <f>IF($AG76&gt;0,$AG76*#REF!*#REF!*(1+#REF!*(20/#REF!)/732),+#REF!*(Z76+X76))</f>
        <v>#REF!</v>
      </c>
      <c r="BN76" s="167" t="e">
        <f>IF(H76="Bundled",#REF!*Y76,#REF!*Y76*0.85)</f>
        <v>#REF!</v>
      </c>
      <c r="BO76" s="167" t="e">
        <f t="shared" si="121"/>
        <v>#REF!</v>
      </c>
      <c r="BP76" s="167" t="e">
        <f>+#REF!*Y76</f>
        <v>#REF!</v>
      </c>
      <c r="BQ76" s="167" t="e">
        <f t="shared" si="122"/>
        <v>#REF!</v>
      </c>
      <c r="BR76" s="167" t="e">
        <f t="shared" si="123"/>
        <v>#REF!</v>
      </c>
      <c r="BS76" s="167" t="e">
        <f t="shared" si="124"/>
        <v>#REF!</v>
      </c>
      <c r="BT76" s="167">
        <f t="shared" si="125"/>
        <v>18</v>
      </c>
      <c r="BU76" s="167" t="e">
        <f t="shared" si="126"/>
        <v>#REF!</v>
      </c>
      <c r="BV76" s="167" t="e">
        <f t="shared" si="127"/>
        <v>#REF!</v>
      </c>
      <c r="BW76" s="167" t="e">
        <f>IF(H76="Bundled",+(BG76-#REF!)*Y76,(AP76+AQ76)-Y76*#REF!)</f>
        <v>#REF!</v>
      </c>
      <c r="BX76" s="167" t="e">
        <f t="shared" si="128"/>
        <v>#REF!</v>
      </c>
      <c r="BY76" s="167" t="e">
        <f t="shared" si="129"/>
        <v>#REF!</v>
      </c>
      <c r="BZ76" s="167" t="e">
        <f t="shared" si="129"/>
        <v>#REF!</v>
      </c>
      <c r="CA76" s="167" t="e">
        <f t="shared" si="129"/>
        <v>#REF!</v>
      </c>
    </row>
    <row r="77" spans="1:79" s="16" customFormat="1">
      <c r="A77" s="142" t="s">
        <v>45</v>
      </c>
      <c r="B77" s="321" t="s">
        <v>361</v>
      </c>
      <c r="C77" s="168" t="s">
        <v>180</v>
      </c>
      <c r="D77" s="168" t="s">
        <v>235</v>
      </c>
      <c r="E77" s="168"/>
      <c r="F77" s="168"/>
      <c r="G77" s="145" t="s">
        <v>130</v>
      </c>
      <c r="H77" s="146" t="s">
        <v>170</v>
      </c>
      <c r="I77" s="145" t="s">
        <v>132</v>
      </c>
      <c r="J77" s="145" t="s">
        <v>133</v>
      </c>
      <c r="K77" s="147" t="str">
        <f t="shared" ref="K77:K87" si="131">IF(I77="Rack","No of Racks",(IF(I77="Space","Sq Ft","U Space")))</f>
        <v>No of Racks</v>
      </c>
      <c r="L77" s="145">
        <v>1</v>
      </c>
      <c r="M77" s="145">
        <v>1</v>
      </c>
      <c r="N77" s="148">
        <f t="shared" si="103"/>
        <v>0</v>
      </c>
      <c r="O77" s="145">
        <v>1</v>
      </c>
      <c r="P77" s="145"/>
      <c r="Q77" s="149">
        <f>(750000+320000+225000)/12/3</f>
        <v>35972.222222222226</v>
      </c>
      <c r="R77" s="150" t="str">
        <f t="shared" si="104"/>
        <v>Rated</v>
      </c>
      <c r="S77" s="145" t="s">
        <v>134</v>
      </c>
      <c r="T77" s="146">
        <v>6</v>
      </c>
      <c r="U77" s="151">
        <v>16.16</v>
      </c>
      <c r="V77" s="232">
        <f t="shared" si="105"/>
        <v>-10.16</v>
      </c>
      <c r="W77" s="146"/>
      <c r="X77" s="146">
        <f>IF(V77&lt;=0,0,(IF(R77="Rated",(V77+W77)*#REF!,(V77+W77))))</f>
        <v>0</v>
      </c>
      <c r="Y77" s="146" t="e">
        <f>IF(R77="Rated",T77*#REF!,T77)</f>
        <v>#REF!</v>
      </c>
      <c r="Z77" s="231">
        <f t="shared" si="130"/>
        <v>3.1191815476190481</v>
      </c>
      <c r="AA77" s="146">
        <f t="shared" si="106"/>
        <v>10.16</v>
      </c>
      <c r="AB77" s="152">
        <f>90000/12</f>
        <v>7500</v>
      </c>
      <c r="AC77" s="153" t="str">
        <f t="shared" si="107"/>
        <v>Metered</v>
      </c>
      <c r="AD77" s="146">
        <v>1</v>
      </c>
      <c r="AE77" s="146" t="s">
        <v>171</v>
      </c>
      <c r="AF77" s="154">
        <v>15.75</v>
      </c>
      <c r="AG77" s="146">
        <v>2096.09</v>
      </c>
      <c r="AH77" s="155"/>
      <c r="AI77" s="156" t="str">
        <f t="shared" si="108"/>
        <v/>
      </c>
      <c r="AJ77" s="146"/>
      <c r="AK77" s="146"/>
      <c r="AL77" s="146">
        <f t="shared" si="109"/>
        <v>0</v>
      </c>
      <c r="AM77" s="146"/>
      <c r="AN77" s="146"/>
      <c r="AO77" s="149"/>
      <c r="AP77" s="157">
        <f t="shared" si="110"/>
        <v>35972.222222222226</v>
      </c>
      <c r="AQ77" s="157">
        <f t="shared" si="111"/>
        <v>76200</v>
      </c>
      <c r="AR77" s="158">
        <f t="shared" si="112"/>
        <v>33013.417500000003</v>
      </c>
      <c r="AS77" s="157">
        <f t="shared" si="113"/>
        <v>0</v>
      </c>
      <c r="AT77" s="159">
        <f>600000/12</f>
        <v>50000</v>
      </c>
      <c r="AU77" s="160">
        <f t="shared" si="114"/>
        <v>195185.63972222223</v>
      </c>
      <c r="AV77" s="160"/>
      <c r="AW77" s="161" t="s">
        <v>181</v>
      </c>
      <c r="AX77" s="162"/>
      <c r="AY77" s="163"/>
      <c r="AZ77" s="162"/>
      <c r="BA77" s="164"/>
      <c r="BC77" s="165">
        <f t="shared" si="115"/>
        <v>195185.63972222223</v>
      </c>
      <c r="BD77" s="165" t="e">
        <f t="shared" si="116"/>
        <v>#REF!</v>
      </c>
      <c r="BE77" s="165" t="e">
        <f t="shared" si="117"/>
        <v>#REF!</v>
      </c>
      <c r="BF77" s="165" t="e">
        <f t="shared" si="117"/>
        <v>#REF!</v>
      </c>
      <c r="BG77" s="165" t="e">
        <f t="shared" si="118"/>
        <v>#REF!</v>
      </c>
      <c r="BH77" s="165"/>
      <c r="BI77" s="166">
        <f t="shared" si="119"/>
        <v>145185.63972222223</v>
      </c>
      <c r="BJ77" s="166">
        <f t="shared" si="120"/>
        <v>112172.22222222222</v>
      </c>
      <c r="BK77" s="166">
        <f>IF(H77="Bundled",MIN(Y77*#REF!*(1+#REF!),BI77),AR77)</f>
        <v>33013.417500000003</v>
      </c>
      <c r="BL77" s="167" t="e">
        <f>IF($AG77&gt;0,$AG77*#REF!*#REF!*(1+#REF!*(20/#REF!)/732),#REF!*Z77)</f>
        <v>#REF!</v>
      </c>
      <c r="BM77" s="167" t="e">
        <f>IF($AG77&gt;0,$AG77*#REF!*#REF!*(1+#REF!*(20/#REF!)/732),+#REF!*(Z77+X77))</f>
        <v>#REF!</v>
      </c>
      <c r="BN77" s="167" t="e">
        <f>IF(H77="Bundled",#REF!*Y77,#REF!*Y77*0.85)</f>
        <v>#REF!</v>
      </c>
      <c r="BO77" s="167" t="e">
        <f t="shared" si="121"/>
        <v>#REF!</v>
      </c>
      <c r="BP77" s="167" t="e">
        <f>+#REF!*Y77</f>
        <v>#REF!</v>
      </c>
      <c r="BQ77" s="167" t="e">
        <f t="shared" si="122"/>
        <v>#REF!</v>
      </c>
      <c r="BR77" s="167" t="e">
        <f t="shared" si="123"/>
        <v>#REF!</v>
      </c>
      <c r="BS77" s="167" t="e">
        <f t="shared" si="124"/>
        <v>#REF!</v>
      </c>
      <c r="BT77" s="167" t="e">
        <f t="shared" si="125"/>
        <v>#REF!</v>
      </c>
      <c r="BU77" s="167" t="e">
        <f t="shared" si="126"/>
        <v>#REF!</v>
      </c>
      <c r="BV77" s="167" t="e">
        <f t="shared" si="127"/>
        <v>#REF!</v>
      </c>
      <c r="BW77" s="167" t="e">
        <f>IF(H77="Bundled",+(BG77-#REF!)*Y77,(AP77+AQ77)-Y77*#REF!)</f>
        <v>#REF!</v>
      </c>
      <c r="BX77" s="167" t="e">
        <f t="shared" si="128"/>
        <v>#REF!</v>
      </c>
      <c r="BY77" s="167" t="e">
        <f t="shared" si="129"/>
        <v>#REF!</v>
      </c>
      <c r="BZ77" s="167" t="e">
        <f t="shared" si="129"/>
        <v>#REF!</v>
      </c>
      <c r="CA77" s="167" t="e">
        <f t="shared" si="129"/>
        <v>#REF!</v>
      </c>
    </row>
    <row r="78" spans="1:79" s="16" customFormat="1">
      <c r="A78" s="142" t="s">
        <v>45</v>
      </c>
      <c r="B78" s="321" t="s">
        <v>362</v>
      </c>
      <c r="C78" s="168" t="s">
        <v>180</v>
      </c>
      <c r="D78" s="168" t="s">
        <v>235</v>
      </c>
      <c r="E78" s="168"/>
      <c r="F78" s="168"/>
      <c r="G78" s="145" t="s">
        <v>130</v>
      </c>
      <c r="H78" s="146" t="s">
        <v>170</v>
      </c>
      <c r="I78" s="145" t="s">
        <v>132</v>
      </c>
      <c r="J78" s="145" t="s">
        <v>133</v>
      </c>
      <c r="K78" s="147" t="str">
        <f t="shared" si="131"/>
        <v>No of Racks</v>
      </c>
      <c r="L78" s="145">
        <v>1</v>
      </c>
      <c r="M78" s="145">
        <v>1</v>
      </c>
      <c r="N78" s="148">
        <f t="shared" si="103"/>
        <v>0</v>
      </c>
      <c r="O78" s="145">
        <v>1</v>
      </c>
      <c r="P78" s="145"/>
      <c r="Q78" s="149"/>
      <c r="R78" s="150" t="str">
        <f t="shared" si="104"/>
        <v>Rated</v>
      </c>
      <c r="S78" s="145" t="s">
        <v>134</v>
      </c>
      <c r="T78" s="146">
        <v>0</v>
      </c>
      <c r="U78" s="151">
        <v>0</v>
      </c>
      <c r="V78" s="232">
        <f t="shared" si="105"/>
        <v>0</v>
      </c>
      <c r="W78" s="146"/>
      <c r="X78" s="146">
        <f>IF(V78&lt;=0,0,(IF(R78="Rated",(V78+W78)*#REF!,(V78+W78))))</f>
        <v>0</v>
      </c>
      <c r="Y78" s="146" t="e">
        <f>IF(R78="Rated",T78*#REF!,T78)</f>
        <v>#REF!</v>
      </c>
      <c r="Z78" s="231">
        <f t="shared" si="130"/>
        <v>0</v>
      </c>
      <c r="AA78" s="146">
        <f t="shared" si="106"/>
        <v>0</v>
      </c>
      <c r="AB78" s="152">
        <v>0</v>
      </c>
      <c r="AC78" s="153" t="str">
        <f t="shared" si="107"/>
        <v>Metered</v>
      </c>
      <c r="AD78" s="146">
        <v>1</v>
      </c>
      <c r="AE78" s="146" t="s">
        <v>171</v>
      </c>
      <c r="AF78" s="154">
        <v>17</v>
      </c>
      <c r="AG78" s="146"/>
      <c r="AH78" s="155"/>
      <c r="AI78" s="156" t="str">
        <f t="shared" si="108"/>
        <v/>
      </c>
      <c r="AJ78" s="146"/>
      <c r="AK78" s="146"/>
      <c r="AL78" s="146">
        <f t="shared" si="109"/>
        <v>0</v>
      </c>
      <c r="AM78" s="146"/>
      <c r="AN78" s="146"/>
      <c r="AO78" s="149"/>
      <c r="AP78" s="157">
        <f t="shared" si="110"/>
        <v>0</v>
      </c>
      <c r="AQ78" s="157">
        <f t="shared" si="111"/>
        <v>0</v>
      </c>
      <c r="AR78" s="158">
        <f t="shared" si="112"/>
        <v>0</v>
      </c>
      <c r="AS78" s="157">
        <f t="shared" si="113"/>
        <v>0</v>
      </c>
      <c r="AT78" s="159">
        <f>600000/12</f>
        <v>50000</v>
      </c>
      <c r="AU78" s="160">
        <f t="shared" si="114"/>
        <v>50000</v>
      </c>
      <c r="AV78" s="160"/>
      <c r="AW78" s="161" t="s">
        <v>181</v>
      </c>
      <c r="AX78" s="162"/>
      <c r="AY78" s="163"/>
      <c r="AZ78" s="162"/>
      <c r="BA78" s="164"/>
      <c r="BC78" s="165">
        <f t="shared" si="115"/>
        <v>50000</v>
      </c>
      <c r="BD78" s="165" t="e">
        <f t="shared" si="116"/>
        <v>#REF!</v>
      </c>
      <c r="BE78" s="165" t="e">
        <f t="shared" si="117"/>
        <v>#REF!</v>
      </c>
      <c r="BF78" s="165" t="e">
        <f t="shared" si="117"/>
        <v>#REF!</v>
      </c>
      <c r="BG78" s="165" t="e">
        <f t="shared" si="118"/>
        <v>#REF!</v>
      </c>
      <c r="BH78" s="165"/>
      <c r="BI78" s="166">
        <f t="shared" si="119"/>
        <v>0</v>
      </c>
      <c r="BJ78" s="166">
        <f t="shared" si="120"/>
        <v>0</v>
      </c>
      <c r="BK78" s="166">
        <f>IF(H78="Bundled",MIN(Y78*#REF!*(1+#REF!),BI78),AR78)</f>
        <v>0</v>
      </c>
      <c r="BL78" s="167" t="e">
        <f>IF($AG78&gt;0,$AG78*#REF!*#REF!*(1+#REF!*(20/#REF!)/732),#REF!*Z78)</f>
        <v>#REF!</v>
      </c>
      <c r="BM78" s="167" t="e">
        <f>IF($AG78&gt;0,$AG78*#REF!*#REF!*(1+#REF!*(20/#REF!)/732),+#REF!*(Z78+X78))</f>
        <v>#REF!</v>
      </c>
      <c r="BN78" s="167" t="e">
        <f>IF(H78="Bundled",#REF!*Y78,#REF!*Y78*0.85)</f>
        <v>#REF!</v>
      </c>
      <c r="BO78" s="167" t="e">
        <f t="shared" si="121"/>
        <v>#REF!</v>
      </c>
      <c r="BP78" s="167" t="e">
        <f>+#REF!*Y78</f>
        <v>#REF!</v>
      </c>
      <c r="BQ78" s="167" t="e">
        <f t="shared" si="122"/>
        <v>#REF!</v>
      </c>
      <c r="BR78" s="167" t="e">
        <f t="shared" si="123"/>
        <v>#REF!</v>
      </c>
      <c r="BS78" s="167" t="e">
        <f t="shared" si="124"/>
        <v>#REF!</v>
      </c>
      <c r="BT78" s="167" t="e">
        <f t="shared" si="125"/>
        <v>#REF!</v>
      </c>
      <c r="BU78" s="167" t="e">
        <f t="shared" si="126"/>
        <v>#REF!</v>
      </c>
      <c r="BV78" s="167" t="e">
        <f t="shared" si="127"/>
        <v>#REF!</v>
      </c>
      <c r="BW78" s="167" t="e">
        <f>IF(H78="Bundled",+(BG78-#REF!)*Y78,(AP78+AQ78)-Y78*#REF!)</f>
        <v>#REF!</v>
      </c>
      <c r="BX78" s="167" t="e">
        <f t="shared" si="128"/>
        <v>#REF!</v>
      </c>
      <c r="BY78" s="167" t="e">
        <f t="shared" si="129"/>
        <v>#REF!</v>
      </c>
      <c r="BZ78" s="167" t="e">
        <f t="shared" si="129"/>
        <v>#REF!</v>
      </c>
      <c r="CA78" s="167" t="e">
        <f t="shared" si="129"/>
        <v>#REF!</v>
      </c>
    </row>
    <row r="79" spans="1:79" s="16" customFormat="1">
      <c r="A79" s="142" t="s">
        <v>45</v>
      </c>
      <c r="B79" s="321" t="s">
        <v>363</v>
      </c>
      <c r="C79" s="196" t="s">
        <v>364</v>
      </c>
      <c r="D79" s="196" t="s">
        <v>235</v>
      </c>
      <c r="E79" s="196"/>
      <c r="F79" s="196"/>
      <c r="G79" s="145" t="s">
        <v>130</v>
      </c>
      <c r="H79" s="146" t="s">
        <v>131</v>
      </c>
      <c r="I79" s="145" t="s">
        <v>132</v>
      </c>
      <c r="J79" s="145" t="s">
        <v>133</v>
      </c>
      <c r="K79" s="147" t="str">
        <f t="shared" si="131"/>
        <v>No of Racks</v>
      </c>
      <c r="L79" s="145">
        <v>6</v>
      </c>
      <c r="M79" s="145">
        <v>6</v>
      </c>
      <c r="N79" s="148">
        <f t="shared" si="103"/>
        <v>0</v>
      </c>
      <c r="O79" s="145">
        <v>0</v>
      </c>
      <c r="P79" s="145"/>
      <c r="Q79" s="149">
        <f>(0)/12</f>
        <v>0</v>
      </c>
      <c r="R79" s="150" t="str">
        <f t="shared" si="104"/>
        <v>Rated</v>
      </c>
      <c r="S79" s="145" t="s">
        <v>134</v>
      </c>
      <c r="T79" s="146">
        <v>24</v>
      </c>
      <c r="U79" s="151">
        <v>16.239999999999998</v>
      </c>
      <c r="V79" s="232">
        <f t="shared" si="105"/>
        <v>7.7600000000000016</v>
      </c>
      <c r="W79" s="146"/>
      <c r="X79" s="146" t="e">
        <f>IF(V79&lt;=0,0,(IF(R79="Rated",(V79+W79)*#REF!,(V79+W79))))</f>
        <v>#REF!</v>
      </c>
      <c r="Y79" s="146" t="e">
        <f>IF(R79="Rated",T79*#REF!,T79)</f>
        <v>#REF!</v>
      </c>
      <c r="Z79" s="231">
        <f t="shared" si="130"/>
        <v>0</v>
      </c>
      <c r="AA79" s="146">
        <f t="shared" si="106"/>
        <v>0</v>
      </c>
      <c r="AB79" s="152">
        <v>0</v>
      </c>
      <c r="AC79" s="153" t="str">
        <f t="shared" si="107"/>
        <v>Bundled</v>
      </c>
      <c r="AD79" s="146"/>
      <c r="AE79" s="146"/>
      <c r="AF79" s="154"/>
      <c r="AG79" s="146"/>
      <c r="AH79" s="155"/>
      <c r="AI79" s="156" t="str">
        <f t="shared" si="108"/>
        <v/>
      </c>
      <c r="AJ79" s="146"/>
      <c r="AK79" s="146"/>
      <c r="AL79" s="146">
        <f t="shared" si="109"/>
        <v>0</v>
      </c>
      <c r="AM79" s="146"/>
      <c r="AN79" s="146"/>
      <c r="AO79" s="149"/>
      <c r="AP79" s="157">
        <f t="shared" si="110"/>
        <v>0</v>
      </c>
      <c r="AQ79" s="157">
        <f t="shared" si="111"/>
        <v>0</v>
      </c>
      <c r="AR79" s="158">
        <f t="shared" si="112"/>
        <v>0</v>
      </c>
      <c r="AS79" s="157">
        <f t="shared" si="113"/>
        <v>0</v>
      </c>
      <c r="AT79" s="159">
        <v>0</v>
      </c>
      <c r="AU79" s="160">
        <f t="shared" si="114"/>
        <v>0</v>
      </c>
      <c r="AV79" s="160"/>
      <c r="AW79" s="161" t="s">
        <v>319</v>
      </c>
      <c r="AX79" s="162"/>
      <c r="AY79" s="163"/>
      <c r="AZ79" s="162"/>
      <c r="BA79" s="164"/>
      <c r="BB79" s="5"/>
      <c r="BC79" s="165">
        <f t="shared" si="115"/>
        <v>0</v>
      </c>
      <c r="BD79" s="165" t="e">
        <f t="shared" si="116"/>
        <v>#REF!</v>
      </c>
      <c r="BE79" s="165" t="e">
        <f t="shared" si="117"/>
        <v>#REF!</v>
      </c>
      <c r="BF79" s="165" t="e">
        <f t="shared" si="117"/>
        <v>#REF!</v>
      </c>
      <c r="BG79" s="165" t="e">
        <f t="shared" si="118"/>
        <v>#REF!</v>
      </c>
      <c r="BH79" s="165"/>
      <c r="BI79" s="166">
        <f t="shared" si="119"/>
        <v>0</v>
      </c>
      <c r="BJ79" s="166" t="e">
        <f t="shared" si="120"/>
        <v>#REF!</v>
      </c>
      <c r="BK79" s="166" t="e">
        <f>IF(H79="Bundled",MIN(Y79*#REF!*(1+#REF!),BI79),AR79)</f>
        <v>#REF!</v>
      </c>
      <c r="BL79" s="167" t="e">
        <f>IF($AG79&gt;0,$AG79*#REF!*#REF!*(1+#REF!*(20/#REF!)/732),#REF!*Z79)</f>
        <v>#REF!</v>
      </c>
      <c r="BM79" s="167" t="e">
        <f>IF($AG79&gt;0,$AG79*#REF!*#REF!*(1+#REF!*(20/#REF!)/732),+#REF!*(Z79+X79))</f>
        <v>#REF!</v>
      </c>
      <c r="BN79" s="167" t="e">
        <f>IF(H79="Bundled",#REF!*Y79,#REF!*Y79*0.85)</f>
        <v>#REF!</v>
      </c>
      <c r="BO79" s="167" t="e">
        <f t="shared" si="121"/>
        <v>#REF!</v>
      </c>
      <c r="BP79" s="167" t="e">
        <f>+#REF!*Y79</f>
        <v>#REF!</v>
      </c>
      <c r="BQ79" s="167" t="e">
        <f t="shared" si="122"/>
        <v>#REF!</v>
      </c>
      <c r="BR79" s="167" t="e">
        <f t="shared" si="123"/>
        <v>#REF!</v>
      </c>
      <c r="BS79" s="167" t="e">
        <f t="shared" si="124"/>
        <v>#REF!</v>
      </c>
      <c r="BT79" s="167" t="e">
        <f t="shared" si="125"/>
        <v>#REF!</v>
      </c>
      <c r="BU79" s="167" t="e">
        <f t="shared" si="126"/>
        <v>#REF!</v>
      </c>
      <c r="BV79" s="167" t="e">
        <f t="shared" si="127"/>
        <v>#REF!</v>
      </c>
      <c r="BW79" s="167" t="e">
        <f>IF(H79="Bundled",+(BG79-#REF!)*Y79,(AP79+AQ79)-Y79*#REF!)</f>
        <v>#REF!</v>
      </c>
      <c r="BX79" s="167" t="e">
        <f t="shared" si="128"/>
        <v>#REF!</v>
      </c>
      <c r="BY79" s="167" t="e">
        <f t="shared" si="129"/>
        <v>#REF!</v>
      </c>
      <c r="BZ79" s="167" t="e">
        <f t="shared" si="129"/>
        <v>#REF!</v>
      </c>
      <c r="CA79" s="167" t="e">
        <f t="shared" si="129"/>
        <v>#REF!</v>
      </c>
    </row>
    <row r="80" spans="1:79" s="16" customFormat="1">
      <c r="A80" s="142" t="s">
        <v>45</v>
      </c>
      <c r="B80" s="425" t="s">
        <v>365</v>
      </c>
      <c r="C80" s="196" t="s">
        <v>366</v>
      </c>
      <c r="D80" s="196" t="s">
        <v>239</v>
      </c>
      <c r="E80" s="146">
        <v>5</v>
      </c>
      <c r="F80" s="146"/>
      <c r="G80" s="145" t="s">
        <v>130</v>
      </c>
      <c r="H80" s="146" t="s">
        <v>170</v>
      </c>
      <c r="I80" s="145" t="s">
        <v>59</v>
      </c>
      <c r="J80" s="145" t="s">
        <v>185</v>
      </c>
      <c r="K80" s="147" t="str">
        <f t="shared" si="131"/>
        <v>Sq Ft</v>
      </c>
      <c r="L80" s="145">
        <v>128</v>
      </c>
      <c r="M80" s="145">
        <v>128</v>
      </c>
      <c r="N80" s="148">
        <f t="shared" si="103"/>
        <v>0</v>
      </c>
      <c r="O80" s="145">
        <v>4</v>
      </c>
      <c r="P80" s="145"/>
      <c r="Q80" s="149">
        <f>(400000)/12</f>
        <v>33333.333333333336</v>
      </c>
      <c r="R80" s="150" t="str">
        <f t="shared" si="104"/>
        <v>Rated</v>
      </c>
      <c r="S80" s="145" t="s">
        <v>134</v>
      </c>
      <c r="T80" s="146">
        <v>32</v>
      </c>
      <c r="U80" s="151">
        <v>41.72</v>
      </c>
      <c r="V80" s="232">
        <f t="shared" si="105"/>
        <v>-9.7199999999999989</v>
      </c>
      <c r="W80" s="146"/>
      <c r="X80" s="146">
        <f>IF(V80&lt;=0,0,(IF(R80="Rated",(V80+W80)*#REF!,(V80+W80))))</f>
        <v>0</v>
      </c>
      <c r="Y80" s="146" t="e">
        <f>IF(R80="Rated",T80*#REF!,T80)</f>
        <v>#REF!</v>
      </c>
      <c r="Z80" s="231">
        <f t="shared" si="130"/>
        <v>14.152559523809524</v>
      </c>
      <c r="AA80" s="146">
        <f t="shared" si="106"/>
        <v>9.7199999999999989</v>
      </c>
      <c r="AB80" s="152">
        <v>0</v>
      </c>
      <c r="AC80" s="153" t="str">
        <f t="shared" si="107"/>
        <v>Metered</v>
      </c>
      <c r="AD80" s="146">
        <v>1</v>
      </c>
      <c r="AE80" s="146" t="s">
        <v>171</v>
      </c>
      <c r="AF80" s="154">
        <v>16.5</v>
      </c>
      <c r="AG80" s="146">
        <v>9510.52</v>
      </c>
      <c r="AH80" s="155" t="s">
        <v>141</v>
      </c>
      <c r="AI80" s="156" t="str">
        <f t="shared" si="108"/>
        <v>No of Seats</v>
      </c>
      <c r="AJ80" s="146">
        <v>5</v>
      </c>
      <c r="AK80" s="146">
        <v>5</v>
      </c>
      <c r="AL80" s="146">
        <f t="shared" si="109"/>
        <v>0</v>
      </c>
      <c r="AM80" s="146">
        <v>5</v>
      </c>
      <c r="AN80" s="146"/>
      <c r="AO80" s="149">
        <f>95000/12</f>
        <v>7916.666666666667</v>
      </c>
      <c r="AP80" s="157">
        <f t="shared" si="110"/>
        <v>133333.33333333334</v>
      </c>
      <c r="AQ80" s="157">
        <f t="shared" si="111"/>
        <v>0</v>
      </c>
      <c r="AR80" s="158">
        <f t="shared" si="112"/>
        <v>156923.58000000002</v>
      </c>
      <c r="AS80" s="157">
        <f t="shared" si="113"/>
        <v>39583.333333333336</v>
      </c>
      <c r="AT80" s="159">
        <f>(20000+80000+25000+124000+63000)/12</f>
        <v>26000</v>
      </c>
      <c r="AU80" s="160">
        <f t="shared" si="114"/>
        <v>355840.24666666664</v>
      </c>
      <c r="AV80" s="160"/>
      <c r="AW80" s="161" t="s">
        <v>367</v>
      </c>
      <c r="AX80" s="162">
        <v>43169</v>
      </c>
      <c r="AY80" s="163"/>
      <c r="AZ80" s="162"/>
      <c r="BA80" s="164"/>
      <c r="BB80" s="5"/>
      <c r="BC80" s="165">
        <f t="shared" si="115"/>
        <v>83400.057812499988</v>
      </c>
      <c r="BD80" s="165" t="e">
        <f t="shared" si="116"/>
        <v>#REF!</v>
      </c>
      <c r="BE80" s="165" t="e">
        <f t="shared" si="117"/>
        <v>#REF!</v>
      </c>
      <c r="BF80" s="165" t="e">
        <f t="shared" si="117"/>
        <v>#REF!</v>
      </c>
      <c r="BG80" s="165" t="e">
        <f t="shared" si="118"/>
        <v>#REF!</v>
      </c>
      <c r="BH80" s="165"/>
      <c r="BI80" s="166">
        <f t="shared" si="119"/>
        <v>290256.91333333333</v>
      </c>
      <c r="BJ80" s="166">
        <f t="shared" si="120"/>
        <v>133333.33333333331</v>
      </c>
      <c r="BK80" s="166">
        <f>IF(H80="Bundled",MIN(Y80*#REF!*(1+#REF!),BI80),AR80)</f>
        <v>156923.58000000002</v>
      </c>
      <c r="BL80" s="167" t="e">
        <f>IF($AG80&gt;0,$AG80*#REF!*#REF!*(1+#REF!*(20/#REF!)/732),#REF!*Z80)</f>
        <v>#REF!</v>
      </c>
      <c r="BM80" s="167" t="e">
        <f>IF($AG80&gt;0,$AG80*#REF!*#REF!*(1+#REF!*(20/#REF!)/732),+#REF!*(Z80+X80))</f>
        <v>#REF!</v>
      </c>
      <c r="BN80" s="167" t="e">
        <f>IF(H80="Bundled",#REF!*Y80,#REF!*Y80*0.85)</f>
        <v>#REF!</v>
      </c>
      <c r="BO80" s="167" t="e">
        <f t="shared" si="121"/>
        <v>#REF!</v>
      </c>
      <c r="BP80" s="167" t="e">
        <f>+#REF!*Y80</f>
        <v>#REF!</v>
      </c>
      <c r="BQ80" s="167" t="e">
        <f t="shared" si="122"/>
        <v>#REF!</v>
      </c>
      <c r="BR80" s="167" t="e">
        <f t="shared" si="123"/>
        <v>#REF!</v>
      </c>
      <c r="BS80" s="167" t="e">
        <f t="shared" si="124"/>
        <v>#REF!</v>
      </c>
      <c r="BT80" s="167" t="e">
        <f t="shared" si="125"/>
        <v>#REF!</v>
      </c>
      <c r="BU80" s="167" t="e">
        <f t="shared" si="126"/>
        <v>#REF!</v>
      </c>
      <c r="BV80" s="167" t="e">
        <f t="shared" si="127"/>
        <v>#REF!</v>
      </c>
      <c r="BW80" s="167" t="e">
        <f>IF(H80="Bundled",+(BG80-#REF!)*Y80,(AP80+AQ80)-Y80*#REF!)</f>
        <v>#REF!</v>
      </c>
      <c r="BX80" s="167" t="e">
        <f t="shared" si="128"/>
        <v>#REF!</v>
      </c>
      <c r="BY80" s="167" t="e">
        <f t="shared" si="129"/>
        <v>#REF!</v>
      </c>
      <c r="BZ80" s="167" t="e">
        <f t="shared" si="129"/>
        <v>#REF!</v>
      </c>
      <c r="CA80" s="167" t="e">
        <f t="shared" si="129"/>
        <v>#REF!</v>
      </c>
    </row>
    <row r="81" spans="1:79" s="16" customFormat="1">
      <c r="A81" s="142" t="s">
        <v>45</v>
      </c>
      <c r="B81" s="425"/>
      <c r="C81" s="196" t="s">
        <v>366</v>
      </c>
      <c r="D81" s="196" t="s">
        <v>239</v>
      </c>
      <c r="E81" s="196"/>
      <c r="F81" s="196"/>
      <c r="G81" s="145" t="s">
        <v>169</v>
      </c>
      <c r="H81" s="146" t="s">
        <v>170</v>
      </c>
      <c r="I81" s="145" t="s">
        <v>59</v>
      </c>
      <c r="J81" s="145" t="s">
        <v>185</v>
      </c>
      <c r="K81" s="147" t="str">
        <f t="shared" si="131"/>
        <v>Sq Ft</v>
      </c>
      <c r="L81" s="145">
        <v>64</v>
      </c>
      <c r="M81" s="145">
        <v>64</v>
      </c>
      <c r="N81" s="148">
        <f t="shared" si="103"/>
        <v>0</v>
      </c>
      <c r="O81" s="145">
        <v>2</v>
      </c>
      <c r="P81" s="145"/>
      <c r="Q81" s="149">
        <f>(400000)/12</f>
        <v>33333.333333333336</v>
      </c>
      <c r="R81" s="150" t="str">
        <f t="shared" si="104"/>
        <v>Subscribed</v>
      </c>
      <c r="S81" s="145" t="s">
        <v>123</v>
      </c>
      <c r="T81" s="146">
        <v>5</v>
      </c>
      <c r="U81" s="327">
        <f>Z81</f>
        <v>4.9006696428571432</v>
      </c>
      <c r="V81" s="232">
        <f t="shared" si="105"/>
        <v>9.9330357142856762E-2</v>
      </c>
      <c r="W81" s="146"/>
      <c r="X81" s="146">
        <f>IF(V81&lt;=0,0,(IF(R81="Rated",(V81+W81)*#REF!,(V81+W81))))</f>
        <v>9.9330357142856762E-2</v>
      </c>
      <c r="Y81" s="146">
        <f>IF(R81="Rated",T81*#REF!,T81)</f>
        <v>5</v>
      </c>
      <c r="Z81" s="231">
        <f t="shared" si="130"/>
        <v>4.9006696428571432</v>
      </c>
      <c r="AA81" s="146">
        <f t="shared" si="106"/>
        <v>0</v>
      </c>
      <c r="AB81" s="152">
        <v>0</v>
      </c>
      <c r="AC81" s="153" t="str">
        <f t="shared" si="107"/>
        <v>Metered</v>
      </c>
      <c r="AD81" s="146">
        <v>1</v>
      </c>
      <c r="AE81" s="146" t="s">
        <v>171</v>
      </c>
      <c r="AF81" s="154">
        <v>19.5</v>
      </c>
      <c r="AG81" s="146">
        <v>3293.25</v>
      </c>
      <c r="AH81" s="155"/>
      <c r="AI81" s="156"/>
      <c r="AJ81" s="146"/>
      <c r="AK81" s="146"/>
      <c r="AL81" s="146">
        <f t="shared" si="109"/>
        <v>0</v>
      </c>
      <c r="AM81" s="146"/>
      <c r="AN81" s="146"/>
      <c r="AO81" s="149"/>
      <c r="AP81" s="157">
        <f t="shared" si="110"/>
        <v>66666.666666666672</v>
      </c>
      <c r="AQ81" s="157">
        <f t="shared" si="111"/>
        <v>0</v>
      </c>
      <c r="AR81" s="158">
        <f t="shared" si="112"/>
        <v>64218.375</v>
      </c>
      <c r="AS81" s="157">
        <f t="shared" si="113"/>
        <v>0</v>
      </c>
      <c r="AT81" s="159">
        <v>0</v>
      </c>
      <c r="AU81" s="160">
        <f t="shared" si="114"/>
        <v>130885.04166666667</v>
      </c>
      <c r="AV81" s="160"/>
      <c r="AW81" s="161">
        <v>121001447</v>
      </c>
      <c r="AX81" s="162">
        <v>43169</v>
      </c>
      <c r="AY81" s="163"/>
      <c r="AZ81" s="162"/>
      <c r="BA81" s="164"/>
      <c r="BB81" s="5"/>
      <c r="BC81" s="165">
        <f t="shared" si="115"/>
        <v>61352.36328125</v>
      </c>
      <c r="BD81" s="165">
        <f t="shared" si="116"/>
        <v>26177.008333333335</v>
      </c>
      <c r="BE81" s="165" t="e">
        <f t="shared" si="117"/>
        <v>#REF!</v>
      </c>
      <c r="BF81" s="165" t="e">
        <f t="shared" si="117"/>
        <v>#REF!</v>
      </c>
      <c r="BG81" s="165" t="e">
        <f t="shared" si="118"/>
        <v>#REF!</v>
      </c>
      <c r="BH81" s="165"/>
      <c r="BI81" s="166">
        <f t="shared" si="119"/>
        <v>130885.04166666667</v>
      </c>
      <c r="BJ81" s="166">
        <f t="shared" si="120"/>
        <v>66666.666666666672</v>
      </c>
      <c r="BK81" s="166">
        <f>IF(H81="Bundled",MIN(Y81*#REF!*(1+#REF!),BI81),AR81)</f>
        <v>64218.375</v>
      </c>
      <c r="BL81" s="167" t="e">
        <f>IF($AG81&gt;0,$AG81*#REF!*#REF!*(1+#REF!*(20/#REF!)/732),#REF!*Z81)</f>
        <v>#REF!</v>
      </c>
      <c r="BM81" s="167" t="e">
        <f>IF($AG81&gt;0,$AG81*#REF!*#REF!*(1+#REF!*(20/#REF!)/732),+#REF!*(Z81+X81))</f>
        <v>#REF!</v>
      </c>
      <c r="BN81" s="167" t="e">
        <f>IF(H81="Bundled",#REF!*Y81,#REF!*Y81*0.85)</f>
        <v>#REF!</v>
      </c>
      <c r="BO81" s="167" t="e">
        <f t="shared" si="121"/>
        <v>#REF!</v>
      </c>
      <c r="BP81" s="167" t="e">
        <f>+#REF!*Y81</f>
        <v>#REF!</v>
      </c>
      <c r="BQ81" s="167" t="e">
        <f t="shared" si="122"/>
        <v>#REF!</v>
      </c>
      <c r="BR81" s="167" t="e">
        <f t="shared" si="123"/>
        <v>#REF!</v>
      </c>
      <c r="BS81" s="167" t="e">
        <f t="shared" si="124"/>
        <v>#REF!</v>
      </c>
      <c r="BT81" s="167">
        <f t="shared" si="125"/>
        <v>5</v>
      </c>
      <c r="BU81" s="167" t="e">
        <f t="shared" si="126"/>
        <v>#REF!</v>
      </c>
      <c r="BV81" s="167" t="e">
        <f t="shared" si="127"/>
        <v>#REF!</v>
      </c>
      <c r="BW81" s="167" t="e">
        <f>IF(H81="Bundled",+(BG81-#REF!)*Y81,(AP81+AQ81)-Y81*#REF!)</f>
        <v>#REF!</v>
      </c>
      <c r="BX81" s="167" t="e">
        <f t="shared" si="128"/>
        <v>#REF!</v>
      </c>
      <c r="BY81" s="167" t="e">
        <f t="shared" si="129"/>
        <v>#REF!</v>
      </c>
      <c r="BZ81" s="167" t="e">
        <f t="shared" si="129"/>
        <v>#REF!</v>
      </c>
      <c r="CA81" s="167" t="e">
        <f t="shared" si="129"/>
        <v>#REF!</v>
      </c>
    </row>
    <row r="82" spans="1:79" s="16" customFormat="1">
      <c r="A82" s="142" t="s">
        <v>45</v>
      </c>
      <c r="B82" s="321" t="s">
        <v>368</v>
      </c>
      <c r="C82" s="196" t="s">
        <v>366</v>
      </c>
      <c r="D82" s="196" t="s">
        <v>239</v>
      </c>
      <c r="E82" s="196"/>
      <c r="F82" s="196"/>
      <c r="G82" s="145" t="s">
        <v>169</v>
      </c>
      <c r="H82" s="146" t="s">
        <v>170</v>
      </c>
      <c r="I82" s="145" t="s">
        <v>132</v>
      </c>
      <c r="J82" s="145" t="s">
        <v>133</v>
      </c>
      <c r="K82" s="147" t="str">
        <f t="shared" si="131"/>
        <v>No of Racks</v>
      </c>
      <c r="L82" s="145">
        <v>1</v>
      </c>
      <c r="M82" s="145">
        <v>1</v>
      </c>
      <c r="N82" s="148">
        <f t="shared" si="103"/>
        <v>0</v>
      </c>
      <c r="O82" s="145">
        <v>1</v>
      </c>
      <c r="P82" s="145"/>
      <c r="Q82" s="149"/>
      <c r="R82" s="150" t="s">
        <v>169</v>
      </c>
      <c r="S82" s="145" t="s">
        <v>123</v>
      </c>
      <c r="T82" s="146">
        <v>4</v>
      </c>
      <c r="U82" s="327">
        <f>Z82</f>
        <v>5.9017857142857144</v>
      </c>
      <c r="V82" s="232">
        <f t="shared" si="105"/>
        <v>-1.9017857142857144</v>
      </c>
      <c r="W82" s="146"/>
      <c r="X82" s="146">
        <f>IF(V82&lt;=0,0,(IF(R82="Rated",(V82+W82)*#REF!,(V82+W82))))</f>
        <v>0</v>
      </c>
      <c r="Y82" s="146">
        <f>IF(R82="Rated",T82*#REF!,T82)</f>
        <v>4</v>
      </c>
      <c r="Z82" s="231">
        <f t="shared" si="130"/>
        <v>5.9017857142857144</v>
      </c>
      <c r="AA82" s="146">
        <f t="shared" si="106"/>
        <v>1.9017857142857144</v>
      </c>
      <c r="AB82" s="152"/>
      <c r="AC82" s="153" t="str">
        <f t="shared" si="107"/>
        <v>Metered</v>
      </c>
      <c r="AD82" s="146"/>
      <c r="AE82" s="146"/>
      <c r="AF82" s="154"/>
      <c r="AG82" s="146">
        <v>3966</v>
      </c>
      <c r="AH82" s="155"/>
      <c r="AI82" s="156"/>
      <c r="AJ82" s="146"/>
      <c r="AK82" s="146"/>
      <c r="AL82" s="146"/>
      <c r="AM82" s="146"/>
      <c r="AN82" s="146"/>
      <c r="AO82" s="149"/>
      <c r="AP82" s="157"/>
      <c r="AQ82" s="157"/>
      <c r="AR82" s="158"/>
      <c r="AS82" s="157"/>
      <c r="AT82" s="159"/>
      <c r="AU82" s="160"/>
      <c r="AV82" s="160"/>
      <c r="AW82" s="161"/>
      <c r="AX82" s="162"/>
      <c r="AY82" s="163"/>
      <c r="AZ82" s="162"/>
      <c r="BA82" s="164"/>
      <c r="BB82" s="5"/>
      <c r="BC82" s="165"/>
      <c r="BD82" s="165"/>
      <c r="BE82" s="165"/>
      <c r="BF82" s="165"/>
      <c r="BG82" s="165"/>
      <c r="BH82" s="165"/>
      <c r="BI82" s="166"/>
      <c r="BJ82" s="166"/>
      <c r="BK82" s="166"/>
      <c r="BL82" s="167" t="e">
        <f>IF($AG82&gt;0,$AG82*#REF!*#REF!*(1+#REF!*(20/#REF!)/732),#REF!*Z82)</f>
        <v>#REF!</v>
      </c>
      <c r="BM82" s="167"/>
      <c r="BN82" s="167"/>
      <c r="BO82" s="167"/>
      <c r="BP82" s="167"/>
      <c r="BQ82" s="167"/>
      <c r="BR82" s="167"/>
      <c r="BS82" s="167"/>
      <c r="BT82" s="167"/>
      <c r="BU82" s="167"/>
      <c r="BV82" s="167"/>
      <c r="BW82" s="167"/>
      <c r="BX82" s="167"/>
      <c r="BY82" s="167"/>
      <c r="BZ82" s="167"/>
      <c r="CA82" s="167"/>
    </row>
    <row r="83" spans="1:79" s="16" customFormat="1" ht="26.1">
      <c r="A83" s="142" t="s">
        <v>45</v>
      </c>
      <c r="B83" s="321" t="s">
        <v>369</v>
      </c>
      <c r="C83" s="168" t="s">
        <v>370</v>
      </c>
      <c r="D83" s="168" t="s">
        <v>235</v>
      </c>
      <c r="E83" s="168"/>
      <c r="F83" s="168"/>
      <c r="G83" s="145" t="s">
        <v>169</v>
      </c>
      <c r="H83" s="146" t="s">
        <v>170</v>
      </c>
      <c r="I83" s="145" t="s">
        <v>132</v>
      </c>
      <c r="J83" s="145" t="s">
        <v>133</v>
      </c>
      <c r="K83" s="147" t="str">
        <f t="shared" si="131"/>
        <v>No of Racks</v>
      </c>
      <c r="L83" s="145">
        <v>5</v>
      </c>
      <c r="M83" s="145">
        <v>5</v>
      </c>
      <c r="N83" s="148">
        <f t="shared" si="103"/>
        <v>0</v>
      </c>
      <c r="O83" s="145">
        <v>5</v>
      </c>
      <c r="P83" s="145"/>
      <c r="Q83" s="149">
        <f>(133940+259400)/12</f>
        <v>32778.333333333336</v>
      </c>
      <c r="R83" s="150" t="str">
        <f t="shared" ref="R83:R102" si="132">G83</f>
        <v>Subscribed</v>
      </c>
      <c r="S83" s="145" t="s">
        <v>123</v>
      </c>
      <c r="T83" s="146">
        <v>17.5</v>
      </c>
      <c r="U83" s="327">
        <f>Z83</f>
        <v>16.265193452380952</v>
      </c>
      <c r="V83" s="232">
        <f t="shared" si="105"/>
        <v>1.2348065476190477</v>
      </c>
      <c r="W83" s="146"/>
      <c r="X83" s="146">
        <f>IF(V83&lt;=0,0,(IF(R83="Rated",(V83+W83)*#REF!,(V83+W83))))</f>
        <v>1.2348065476190477</v>
      </c>
      <c r="Y83" s="146">
        <f>IF(R83="Rated",T83*#REF!,T83)</f>
        <v>17.5</v>
      </c>
      <c r="Z83" s="231">
        <f t="shared" si="130"/>
        <v>16.265193452380952</v>
      </c>
      <c r="AA83" s="146">
        <f t="shared" si="106"/>
        <v>0</v>
      </c>
      <c r="AB83" s="152">
        <f>90000/12</f>
        <v>7500</v>
      </c>
      <c r="AC83" s="153" t="str">
        <f t="shared" si="107"/>
        <v>Metered</v>
      </c>
      <c r="AD83" s="146">
        <v>1</v>
      </c>
      <c r="AE83" s="146" t="s">
        <v>171</v>
      </c>
      <c r="AF83" s="154">
        <f>1.7*10.2</f>
        <v>17.34</v>
      </c>
      <c r="AG83" s="146">
        <v>10930.21</v>
      </c>
      <c r="AH83" s="155"/>
      <c r="AI83" s="156" t="str">
        <f>IF(AH83="No of Seats","No of Seats",(IF(AH83="Space","Sq Ft","")))</f>
        <v/>
      </c>
      <c r="AJ83" s="146"/>
      <c r="AK83" s="146"/>
      <c r="AL83" s="146">
        <f>AJ83-AK83</f>
        <v>0</v>
      </c>
      <c r="AM83" s="146"/>
      <c r="AN83" s="146"/>
      <c r="AO83" s="149"/>
      <c r="AP83" s="157">
        <f t="shared" ref="AP83:AP102" si="133">Q83*O83</f>
        <v>163891.66666666669</v>
      </c>
      <c r="AQ83" s="157">
        <f t="shared" ref="AQ83:AQ102" si="134">AB83*AA83</f>
        <v>0</v>
      </c>
      <c r="AR83" s="158">
        <f t="shared" ref="AR83:AR102" si="135">AG83*AF83*AD83</f>
        <v>189529.84139999998</v>
      </c>
      <c r="AS83" s="157">
        <f t="shared" ref="AS83:AS102" si="136">AO83*AM83</f>
        <v>0</v>
      </c>
      <c r="AT83" s="159">
        <f>(60000)/12</f>
        <v>5000</v>
      </c>
      <c r="AU83" s="160">
        <f t="shared" ref="AU83:AU102" si="137">SUBTOTAL(9,AP83:AT83)</f>
        <v>358421.50806666666</v>
      </c>
      <c r="AV83" s="160"/>
      <c r="AW83" s="161">
        <v>721006088</v>
      </c>
      <c r="AX83" s="162">
        <v>43181</v>
      </c>
      <c r="AY83" s="163">
        <v>3</v>
      </c>
      <c r="AZ83" s="162">
        <v>44276</v>
      </c>
      <c r="BA83" s="164"/>
      <c r="BB83" s="5"/>
      <c r="BC83" s="165">
        <f t="shared" ref="BC83:BC102" si="138">IF(I83="Rack",AU83/L83,0)+IF(I83="U Space",AU83*40/L83,0)+IF(I83="Space",AU83*30/L83,0)</f>
        <v>71684.301613333329</v>
      </c>
      <c r="BD83" s="165">
        <f t="shared" ref="BD83:BD102" si="139">+AU83/Y83</f>
        <v>20481.229032380954</v>
      </c>
      <c r="BE83" s="165" t="e">
        <f t="shared" ref="BE83:BE102" si="140">+($AP83+$AQ83+$AR83-BL83)/$Y83</f>
        <v>#REF!</v>
      </c>
      <c r="BF83" s="165" t="e">
        <f t="shared" ref="BF83:BF102" si="141">+($AP83+$AQ83+$AR83-BM83)/$Y83</f>
        <v>#REF!</v>
      </c>
      <c r="BG83" s="165" t="e">
        <f t="shared" ref="BG83:BG102" si="142">+($AP83+$AQ83+IF(H83="Bundled",0,Y83*0.85*AD83*AF83*30.5*24)-BN83)/$Y83</f>
        <v>#REF!</v>
      </c>
      <c r="BH83" s="165"/>
      <c r="BI83" s="166">
        <f t="shared" ref="BI83:BI102" si="143">+AP83+AQ83+AR83</f>
        <v>353421.50806666666</v>
      </c>
      <c r="BJ83" s="166">
        <f t="shared" ref="BJ83:BJ102" si="144">+BI83-BK83</f>
        <v>163891.66666666669</v>
      </c>
      <c r="BK83" s="166">
        <f>IF(H83="Bundled",MIN(Y83*#REF!*(1+#REF!),BI83),AR83)</f>
        <v>189529.84139999998</v>
      </c>
      <c r="BL83" s="167" t="e">
        <f>IF($AG83&gt;0,$AG83*#REF!*#REF!*(1+#REF!*(20/#REF!)/732),#REF!*Z83)</f>
        <v>#REF!</v>
      </c>
      <c r="BM83" s="167" t="e">
        <f>IF($AG83&gt;0,$AG83*#REF!*#REF!*(1+#REF!*(20/#REF!)/732),+#REF!*(Z83+X83))</f>
        <v>#REF!</v>
      </c>
      <c r="BN83" s="167" t="e">
        <f>IF(H83="Bundled",#REF!*Y83,#REF!*Y83*0.85)</f>
        <v>#REF!</v>
      </c>
      <c r="BO83" s="167" t="e">
        <f t="shared" ref="BO83:BO102" si="145">+BE83*Y83</f>
        <v>#REF!</v>
      </c>
      <c r="BP83" s="167" t="e">
        <f>+#REF!*Y83</f>
        <v>#REF!</v>
      </c>
      <c r="BQ83" s="167" t="e">
        <f t="shared" ref="BQ83:BQ102" si="146">+BJ83-BP83</f>
        <v>#REF!</v>
      </c>
      <c r="BR83" s="167" t="e">
        <f t="shared" ref="BR83:BR102" si="147">+BK83-BL83</f>
        <v>#REF!</v>
      </c>
      <c r="BS83" s="167" t="e">
        <f t="shared" ref="BS83:BS102" si="148">+BQ83+BR83</f>
        <v>#REF!</v>
      </c>
      <c r="BT83" s="167">
        <f t="shared" ref="BT83:BT102" si="149">+Y83</f>
        <v>17.5</v>
      </c>
      <c r="BU83" s="167" t="e">
        <f t="shared" ref="BU83:BU102" si="150">+BE83</f>
        <v>#REF!</v>
      </c>
      <c r="BV83" s="167" t="e">
        <f t="shared" ref="BV83:BV102" si="151">IF(H83="Bundled",BN83-BL83,AR83-BL83)</f>
        <v>#REF!</v>
      </c>
      <c r="BW83" s="167" t="e">
        <f>IF(H83="Bundled",+(BG83-#REF!)*Y83,(AP83+AQ83)-Y83*#REF!)</f>
        <v>#REF!</v>
      </c>
      <c r="BX83" s="167" t="e">
        <f t="shared" ref="BX83:BX102" si="152">+BV83+BW83</f>
        <v>#REF!</v>
      </c>
      <c r="BY83" s="167" t="e">
        <f t="shared" ref="BY83:BY102" si="153">+BV83/$BT83</f>
        <v>#REF!</v>
      </c>
      <c r="BZ83" s="167" t="e">
        <f t="shared" ref="BZ83:BZ102" si="154">+BW83/$BT83</f>
        <v>#REF!</v>
      </c>
      <c r="CA83" s="167" t="e">
        <f t="shared" ref="CA83:CA102" si="155">+BX83/$BT83</f>
        <v>#REF!</v>
      </c>
    </row>
    <row r="84" spans="1:79" s="16" customFormat="1">
      <c r="A84" s="142" t="s">
        <v>45</v>
      </c>
      <c r="B84" s="321" t="s">
        <v>371</v>
      </c>
      <c r="C84" s="168" t="s">
        <v>372</v>
      </c>
      <c r="D84" s="168" t="s">
        <v>239</v>
      </c>
      <c r="E84" s="168"/>
      <c r="F84" s="168"/>
      <c r="G84" s="145" t="s">
        <v>169</v>
      </c>
      <c r="H84" s="146" t="s">
        <v>170</v>
      </c>
      <c r="I84" s="145" t="s">
        <v>59</v>
      </c>
      <c r="J84" s="145" t="s">
        <v>185</v>
      </c>
      <c r="K84" s="147" t="str">
        <f t="shared" si="131"/>
        <v>Sq Ft</v>
      </c>
      <c r="L84" s="145">
        <v>288</v>
      </c>
      <c r="M84" s="145">
        <v>288</v>
      </c>
      <c r="N84" s="148">
        <f t="shared" si="103"/>
        <v>0</v>
      </c>
      <c r="O84" s="145">
        <v>12</v>
      </c>
      <c r="P84" s="145"/>
      <c r="Q84" s="149">
        <f>(130000)/12</f>
        <v>10833.333333333334</v>
      </c>
      <c r="R84" s="150" t="str">
        <f t="shared" si="132"/>
        <v>Subscribed</v>
      </c>
      <c r="S84" s="145" t="s">
        <v>123</v>
      </c>
      <c r="T84" s="146">
        <v>36</v>
      </c>
      <c r="U84" s="327">
        <f>Z84</f>
        <v>17.010372023809524</v>
      </c>
      <c r="V84" s="232">
        <f t="shared" si="105"/>
        <v>18.989627976190476</v>
      </c>
      <c r="W84" s="146"/>
      <c r="X84" s="146">
        <f>IF(V84&lt;=0,0,(IF(R84="Rated",(V84+W84)*#REF!,(V84+W84))))</f>
        <v>18.989627976190476</v>
      </c>
      <c r="Y84" s="146">
        <f>IF(R84="Rated",T84*#REF!,T84)</f>
        <v>36</v>
      </c>
      <c r="Z84" s="231">
        <f t="shared" si="130"/>
        <v>17.010372023809524</v>
      </c>
      <c r="AA84" s="146">
        <f t="shared" si="106"/>
        <v>0</v>
      </c>
      <c r="AB84" s="152">
        <f>90000/12</f>
        <v>7500</v>
      </c>
      <c r="AC84" s="153" t="str">
        <f t="shared" si="107"/>
        <v>Metered</v>
      </c>
      <c r="AD84" s="146">
        <v>1.7</v>
      </c>
      <c r="AE84" s="146" t="s">
        <v>333</v>
      </c>
      <c r="AF84" s="154">
        <v>9.5299999999999994</v>
      </c>
      <c r="AG84" s="426">
        <v>11430.97</v>
      </c>
      <c r="AH84" s="155"/>
      <c r="AI84" s="156" t="str">
        <f>IF(AH84="No of Seats","No of Seats",(IF(AH84="Space","Sq Ft","")))</f>
        <v/>
      </c>
      <c r="AJ84" s="146"/>
      <c r="AK84" s="146"/>
      <c r="AL84" s="146">
        <f>AJ84-AK84</f>
        <v>0</v>
      </c>
      <c r="AM84" s="146"/>
      <c r="AN84" s="146"/>
      <c r="AO84" s="149"/>
      <c r="AP84" s="157">
        <f t="shared" si="133"/>
        <v>130000</v>
      </c>
      <c r="AQ84" s="157">
        <f t="shared" si="134"/>
        <v>0</v>
      </c>
      <c r="AR84" s="158">
        <f t="shared" si="135"/>
        <v>185193.14496999996</v>
      </c>
      <c r="AS84" s="157">
        <f t="shared" si="136"/>
        <v>0</v>
      </c>
      <c r="AT84" s="159">
        <f>(112000)/12</f>
        <v>9333.3333333333339</v>
      </c>
      <c r="AU84" s="160">
        <f t="shared" si="137"/>
        <v>324526.47830333328</v>
      </c>
      <c r="AV84" s="160"/>
      <c r="AW84" s="161">
        <v>721006426</v>
      </c>
      <c r="AX84" s="162">
        <v>43296</v>
      </c>
      <c r="AY84" s="163">
        <v>3</v>
      </c>
      <c r="AZ84" s="162">
        <v>44391</v>
      </c>
      <c r="BA84" s="164"/>
      <c r="BB84" s="5"/>
      <c r="BC84" s="165">
        <f t="shared" si="138"/>
        <v>33804.84148993055</v>
      </c>
      <c r="BD84" s="165">
        <f t="shared" si="139"/>
        <v>9014.6243973148139</v>
      </c>
      <c r="BE84" s="165" t="e">
        <f t="shared" si="140"/>
        <v>#REF!</v>
      </c>
      <c r="BF84" s="165" t="e">
        <f t="shared" si="141"/>
        <v>#REF!</v>
      </c>
      <c r="BG84" s="165" t="e">
        <f t="shared" si="142"/>
        <v>#REF!</v>
      </c>
      <c r="BH84" s="165"/>
      <c r="BI84" s="166">
        <f t="shared" si="143"/>
        <v>315193.14496999996</v>
      </c>
      <c r="BJ84" s="166">
        <f t="shared" si="144"/>
        <v>130000</v>
      </c>
      <c r="BK84" s="166">
        <f>IF(H84="Bundled",MIN(Y84*#REF!*(1+#REF!),BI84),AR84)</f>
        <v>185193.14496999996</v>
      </c>
      <c r="BL84" s="167" t="e">
        <f>IF($AG84&gt;0,$AG84*#REF!*#REF!*(1+#REF!*(20/#REF!)/732),#REF!*Z84)</f>
        <v>#REF!</v>
      </c>
      <c r="BM84" s="167" t="e">
        <f>IF($AG84&gt;0,$AG84*#REF!*#REF!*(1+#REF!*(20/#REF!)/732),+#REF!*(Z84+X84))</f>
        <v>#REF!</v>
      </c>
      <c r="BN84" s="167" t="e">
        <f>IF(H84="Bundled",#REF!*Y84,#REF!*Y84*0.85)</f>
        <v>#REF!</v>
      </c>
      <c r="BO84" s="167" t="e">
        <f t="shared" si="145"/>
        <v>#REF!</v>
      </c>
      <c r="BP84" s="167" t="e">
        <f>+#REF!*Y84</f>
        <v>#REF!</v>
      </c>
      <c r="BQ84" s="167" t="e">
        <f t="shared" si="146"/>
        <v>#REF!</v>
      </c>
      <c r="BR84" s="167" t="e">
        <f t="shared" si="147"/>
        <v>#REF!</v>
      </c>
      <c r="BS84" s="167" t="e">
        <f t="shared" si="148"/>
        <v>#REF!</v>
      </c>
      <c r="BT84" s="167">
        <f t="shared" si="149"/>
        <v>36</v>
      </c>
      <c r="BU84" s="167" t="e">
        <f t="shared" si="150"/>
        <v>#REF!</v>
      </c>
      <c r="BV84" s="167" t="e">
        <f t="shared" si="151"/>
        <v>#REF!</v>
      </c>
      <c r="BW84" s="167" t="e">
        <f>IF(H84="Bundled",+(BG84-#REF!)*Y84,(AP84+AQ84)-Y84*#REF!)</f>
        <v>#REF!</v>
      </c>
      <c r="BX84" s="167" t="e">
        <f t="shared" si="152"/>
        <v>#REF!</v>
      </c>
      <c r="BY84" s="167" t="e">
        <f t="shared" si="153"/>
        <v>#REF!</v>
      </c>
      <c r="BZ84" s="167" t="e">
        <f t="shared" si="154"/>
        <v>#REF!</v>
      </c>
      <c r="CA84" s="167" t="e">
        <f t="shared" si="155"/>
        <v>#REF!</v>
      </c>
    </row>
    <row r="85" spans="1:79" s="16" customFormat="1" ht="26.1">
      <c r="A85" s="142" t="s">
        <v>45</v>
      </c>
      <c r="B85" s="321" t="s">
        <v>373</v>
      </c>
      <c r="C85" s="168" t="s">
        <v>374</v>
      </c>
      <c r="D85" s="168" t="s">
        <v>239</v>
      </c>
      <c r="E85" s="168"/>
      <c r="F85" s="168"/>
      <c r="G85" s="145" t="s">
        <v>169</v>
      </c>
      <c r="H85" s="146" t="s">
        <v>131</v>
      </c>
      <c r="I85" s="145" t="s">
        <v>132</v>
      </c>
      <c r="J85" s="145" t="s">
        <v>133</v>
      </c>
      <c r="K85" s="147" t="str">
        <f t="shared" si="131"/>
        <v>No of Racks</v>
      </c>
      <c r="L85" s="145">
        <v>2</v>
      </c>
      <c r="M85" s="145">
        <v>2</v>
      </c>
      <c r="N85" s="148">
        <f t="shared" si="103"/>
        <v>0</v>
      </c>
      <c r="O85" s="145">
        <v>2</v>
      </c>
      <c r="P85" s="145"/>
      <c r="Q85" s="149">
        <f>(896*70)</f>
        <v>62720</v>
      </c>
      <c r="R85" s="150" t="str">
        <f t="shared" si="132"/>
        <v>Subscribed</v>
      </c>
      <c r="S85" s="145" t="s">
        <v>123</v>
      </c>
      <c r="T85" s="146">
        <v>10</v>
      </c>
      <c r="U85" s="327">
        <f>Z85</f>
        <v>9.7372023809523807</v>
      </c>
      <c r="V85" s="232">
        <f t="shared" si="105"/>
        <v>0.26279761904761934</v>
      </c>
      <c r="W85" s="146"/>
      <c r="X85" s="146">
        <f>IF(V85&lt;=0,0,(IF(R85="Rated",(V85+W85)*#REF!,(V85+W85))))</f>
        <v>0.26279761904761934</v>
      </c>
      <c r="Y85" s="146">
        <f>IF(R85="Rated",T85*#REF!,T85)</f>
        <v>10</v>
      </c>
      <c r="Z85" s="231">
        <f t="shared" si="130"/>
        <v>9.7372023809523807</v>
      </c>
      <c r="AA85" s="146">
        <f t="shared" si="106"/>
        <v>0</v>
      </c>
      <c r="AB85" s="152">
        <f>90000/12</f>
        <v>7500</v>
      </c>
      <c r="AC85" s="153" t="str">
        <f t="shared" si="107"/>
        <v>Bundled</v>
      </c>
      <c r="AD85" s="146">
        <v>1</v>
      </c>
      <c r="AE85" s="146" t="s">
        <v>171</v>
      </c>
      <c r="AF85" s="154">
        <v>0</v>
      </c>
      <c r="AG85" s="146">
        <v>6543.4</v>
      </c>
      <c r="AH85" s="155"/>
      <c r="AI85" s="156" t="str">
        <f>IF(AH85="No of Seats","No of Seats",(IF(AH85="Space","Sq Ft","")))</f>
        <v/>
      </c>
      <c r="AJ85" s="146"/>
      <c r="AK85" s="146"/>
      <c r="AL85" s="146">
        <f>AJ85-AK85</f>
        <v>0</v>
      </c>
      <c r="AM85" s="146"/>
      <c r="AN85" s="146"/>
      <c r="AO85" s="149"/>
      <c r="AP85" s="157">
        <f t="shared" si="133"/>
        <v>125440</v>
      </c>
      <c r="AQ85" s="157">
        <f t="shared" si="134"/>
        <v>0</v>
      </c>
      <c r="AR85" s="157">
        <f t="shared" si="135"/>
        <v>0</v>
      </c>
      <c r="AS85" s="157">
        <f t="shared" si="136"/>
        <v>0</v>
      </c>
      <c r="AT85" s="157">
        <f>(0)/12</f>
        <v>0</v>
      </c>
      <c r="AU85" s="160">
        <f t="shared" si="137"/>
        <v>125440</v>
      </c>
      <c r="AV85" s="160"/>
      <c r="AW85" s="161" t="s">
        <v>375</v>
      </c>
      <c r="AX85" s="427" t="s">
        <v>376</v>
      </c>
      <c r="AY85" s="163"/>
      <c r="AZ85" s="162"/>
      <c r="BA85" s="164"/>
      <c r="BB85" s="5"/>
      <c r="BC85" s="165">
        <f t="shared" si="138"/>
        <v>62720</v>
      </c>
      <c r="BD85" s="165">
        <f t="shared" si="139"/>
        <v>12544</v>
      </c>
      <c r="BE85" s="165" t="e">
        <f t="shared" si="140"/>
        <v>#REF!</v>
      </c>
      <c r="BF85" s="165" t="e">
        <f t="shared" si="141"/>
        <v>#REF!</v>
      </c>
      <c r="BG85" s="165" t="e">
        <f t="shared" si="142"/>
        <v>#REF!</v>
      </c>
      <c r="BH85" s="165"/>
      <c r="BI85" s="166">
        <f t="shared" si="143"/>
        <v>125440</v>
      </c>
      <c r="BJ85" s="166" t="e">
        <f t="shared" si="144"/>
        <v>#REF!</v>
      </c>
      <c r="BK85" s="166" t="e">
        <f>IF(H85="Bundled",MIN(Y85*#REF!*(1+#REF!),BI85),AR85)</f>
        <v>#REF!</v>
      </c>
      <c r="BL85" s="167" t="e">
        <f>IF($AG85&gt;0,$AG85*#REF!*#REF!*(1+#REF!*(20/#REF!)/732),#REF!*Z85)</f>
        <v>#REF!</v>
      </c>
      <c r="BM85" s="167" t="e">
        <f>IF($AG85&gt;0,$AG85*#REF!*#REF!*(1+#REF!*(20/#REF!)/732),+#REF!*(Z85+X85))</f>
        <v>#REF!</v>
      </c>
      <c r="BN85" s="167" t="e">
        <f>IF(H85="Bundled",#REF!*Y85,#REF!*Y85*0.85)</f>
        <v>#REF!</v>
      </c>
      <c r="BO85" s="167" t="e">
        <f t="shared" si="145"/>
        <v>#REF!</v>
      </c>
      <c r="BP85" s="167" t="e">
        <f>+#REF!*Y85</f>
        <v>#REF!</v>
      </c>
      <c r="BQ85" s="167" t="e">
        <f t="shared" si="146"/>
        <v>#REF!</v>
      </c>
      <c r="BR85" s="167" t="e">
        <f t="shared" si="147"/>
        <v>#REF!</v>
      </c>
      <c r="BS85" s="167" t="e">
        <f t="shared" si="148"/>
        <v>#REF!</v>
      </c>
      <c r="BT85" s="167">
        <f t="shared" si="149"/>
        <v>10</v>
      </c>
      <c r="BU85" s="167" t="e">
        <f t="shared" si="150"/>
        <v>#REF!</v>
      </c>
      <c r="BV85" s="167" t="e">
        <f t="shared" si="151"/>
        <v>#REF!</v>
      </c>
      <c r="BW85" s="167" t="e">
        <f>IF(H85="Bundled",+(BG85-#REF!)*Y85,(AP85+AQ85)-Y85*#REF!)</f>
        <v>#REF!</v>
      </c>
      <c r="BX85" s="167" t="e">
        <f t="shared" si="152"/>
        <v>#REF!</v>
      </c>
      <c r="BY85" s="167" t="e">
        <f t="shared" si="153"/>
        <v>#REF!</v>
      </c>
      <c r="BZ85" s="167" t="e">
        <f t="shared" si="154"/>
        <v>#REF!</v>
      </c>
      <c r="CA85" s="167" t="e">
        <f t="shared" si="155"/>
        <v>#REF!</v>
      </c>
    </row>
    <row r="86" spans="1:79" s="16" customFormat="1">
      <c r="A86" s="142" t="s">
        <v>45</v>
      </c>
      <c r="B86" s="321" t="s">
        <v>377</v>
      </c>
      <c r="C86" s="196" t="s">
        <v>86</v>
      </c>
      <c r="D86" s="196" t="s">
        <v>235</v>
      </c>
      <c r="E86" s="196"/>
      <c r="F86" s="196"/>
      <c r="G86" s="145" t="s">
        <v>130</v>
      </c>
      <c r="H86" s="146" t="s">
        <v>131</v>
      </c>
      <c r="I86" s="145" t="s">
        <v>132</v>
      </c>
      <c r="J86" s="145" t="s">
        <v>133</v>
      </c>
      <c r="K86" s="147" t="str">
        <f t="shared" si="131"/>
        <v>No of Racks</v>
      </c>
      <c r="L86" s="145">
        <v>7</v>
      </c>
      <c r="M86" s="145">
        <v>7</v>
      </c>
      <c r="N86" s="148">
        <v>0</v>
      </c>
      <c r="O86" s="145">
        <v>0</v>
      </c>
      <c r="P86" s="145"/>
      <c r="Q86" s="149">
        <f>(0)/12</f>
        <v>0</v>
      </c>
      <c r="R86" s="150" t="str">
        <f t="shared" si="132"/>
        <v>Rated</v>
      </c>
      <c r="S86" s="145" t="s">
        <v>134</v>
      </c>
      <c r="T86" s="146">
        <v>21</v>
      </c>
      <c r="U86" s="151">
        <v>10</v>
      </c>
      <c r="V86" s="232">
        <f t="shared" si="105"/>
        <v>11</v>
      </c>
      <c r="W86" s="146"/>
      <c r="X86" s="146" t="e">
        <f>IF(V86&lt;=0,0,(IF(R86="Rated",(V86+W86)*#REF!,(V86+W86))))</f>
        <v>#REF!</v>
      </c>
      <c r="Y86" s="146" t="e">
        <f>IF(R86="Rated",T86*#REF!,T86)</f>
        <v>#REF!</v>
      </c>
      <c r="Z86" s="231">
        <v>16</v>
      </c>
      <c r="AA86" s="146">
        <f t="shared" si="106"/>
        <v>0</v>
      </c>
      <c r="AB86" s="152">
        <v>0</v>
      </c>
      <c r="AC86" s="153" t="str">
        <f t="shared" si="107"/>
        <v>Bundled</v>
      </c>
      <c r="AD86" s="146"/>
      <c r="AE86" s="146"/>
      <c r="AF86" s="154"/>
      <c r="AG86" s="146"/>
      <c r="AH86" s="155"/>
      <c r="AI86" s="156"/>
      <c r="AJ86" s="146"/>
      <c r="AK86" s="146"/>
      <c r="AL86" s="146">
        <f>AJ86-AK86</f>
        <v>0</v>
      </c>
      <c r="AM86" s="146"/>
      <c r="AN86" s="146"/>
      <c r="AO86" s="149">
        <f>(0)/12</f>
        <v>0</v>
      </c>
      <c r="AP86" s="157">
        <f t="shared" si="133"/>
        <v>0</v>
      </c>
      <c r="AQ86" s="157">
        <f t="shared" si="134"/>
        <v>0</v>
      </c>
      <c r="AR86" s="158">
        <f t="shared" si="135"/>
        <v>0</v>
      </c>
      <c r="AS86" s="157">
        <f t="shared" si="136"/>
        <v>0</v>
      </c>
      <c r="AT86" s="159">
        <f>0/12</f>
        <v>0</v>
      </c>
      <c r="AU86" s="160">
        <f t="shared" si="137"/>
        <v>0</v>
      </c>
      <c r="AV86" s="160"/>
      <c r="AW86" s="161" t="s">
        <v>319</v>
      </c>
      <c r="AX86" s="162"/>
      <c r="AY86" s="163"/>
      <c r="AZ86" s="162"/>
      <c r="BA86" s="164"/>
      <c r="BB86" s="5"/>
      <c r="BC86" s="165">
        <f t="shared" si="138"/>
        <v>0</v>
      </c>
      <c r="BD86" s="165" t="e">
        <f t="shared" si="139"/>
        <v>#REF!</v>
      </c>
      <c r="BE86" s="165" t="e">
        <f t="shared" si="140"/>
        <v>#REF!</v>
      </c>
      <c r="BF86" s="165" t="e">
        <f t="shared" si="141"/>
        <v>#REF!</v>
      </c>
      <c r="BG86" s="165" t="e">
        <f t="shared" si="142"/>
        <v>#REF!</v>
      </c>
      <c r="BH86" s="165"/>
      <c r="BI86" s="166">
        <f t="shared" si="143"/>
        <v>0</v>
      </c>
      <c r="BJ86" s="166" t="e">
        <f t="shared" si="144"/>
        <v>#REF!</v>
      </c>
      <c r="BK86" s="166" t="e">
        <f>IF(H86="Bundled",MIN(Y86*#REF!*(1+#REF!),BI86),AR86)</f>
        <v>#REF!</v>
      </c>
      <c r="BL86" s="167" t="e">
        <f>IF($AG86&gt;0,$AG86*#REF!*#REF!*(1+#REF!*(20/#REF!)/732),#REF!*Z86)</f>
        <v>#REF!</v>
      </c>
      <c r="BM86" s="167" t="e">
        <f>IF($AG86&gt;0,$AG86*#REF!*#REF!*(1+#REF!*(20/#REF!)/732),+#REF!*(Z86+X86))</f>
        <v>#REF!</v>
      </c>
      <c r="BN86" s="167" t="e">
        <f>IF(H86="Bundled",#REF!*Y86,#REF!*Y86*0.85)</f>
        <v>#REF!</v>
      </c>
      <c r="BO86" s="167" t="e">
        <f t="shared" si="145"/>
        <v>#REF!</v>
      </c>
      <c r="BP86" s="167" t="e">
        <f>+#REF!*Y86</f>
        <v>#REF!</v>
      </c>
      <c r="BQ86" s="167" t="e">
        <f t="shared" si="146"/>
        <v>#REF!</v>
      </c>
      <c r="BR86" s="167" t="e">
        <f t="shared" si="147"/>
        <v>#REF!</v>
      </c>
      <c r="BS86" s="167" t="e">
        <f t="shared" si="148"/>
        <v>#REF!</v>
      </c>
      <c r="BT86" s="167" t="e">
        <f t="shared" si="149"/>
        <v>#REF!</v>
      </c>
      <c r="BU86" s="167" t="e">
        <f t="shared" si="150"/>
        <v>#REF!</v>
      </c>
      <c r="BV86" s="167" t="e">
        <f t="shared" si="151"/>
        <v>#REF!</v>
      </c>
      <c r="BW86" s="167" t="e">
        <f>IF(H86="Bundled",+(BG86-#REF!)*Y86,(AP86+AQ86)-Y86*#REF!)</f>
        <v>#REF!</v>
      </c>
      <c r="BX86" s="167" t="e">
        <f t="shared" si="152"/>
        <v>#REF!</v>
      </c>
      <c r="BY86" s="167" t="e">
        <f t="shared" si="153"/>
        <v>#REF!</v>
      </c>
      <c r="BZ86" s="167" t="e">
        <f t="shared" si="154"/>
        <v>#REF!</v>
      </c>
      <c r="CA86" s="167" t="e">
        <f t="shared" si="155"/>
        <v>#REF!</v>
      </c>
    </row>
    <row r="87" spans="1:79" s="16" customFormat="1" ht="39">
      <c r="A87" s="142" t="s">
        <v>45</v>
      </c>
      <c r="B87" s="321" t="s">
        <v>378</v>
      </c>
      <c r="C87" s="168" t="s">
        <v>379</v>
      </c>
      <c r="D87" s="168" t="s">
        <v>239</v>
      </c>
      <c r="E87" s="146">
        <v>2</v>
      </c>
      <c r="F87" s="146"/>
      <c r="G87" s="145" t="s">
        <v>130</v>
      </c>
      <c r="H87" s="146" t="s">
        <v>131</v>
      </c>
      <c r="I87" s="428" t="s">
        <v>59</v>
      </c>
      <c r="J87" s="145" t="s">
        <v>185</v>
      </c>
      <c r="K87" s="147" t="str">
        <f t="shared" si="131"/>
        <v>Sq Ft</v>
      </c>
      <c r="L87" s="428">
        <v>320</v>
      </c>
      <c r="M87" s="428">
        <v>320</v>
      </c>
      <c r="N87" s="148">
        <f t="shared" ref="N87:N115" si="156">L87-M87</f>
        <v>0</v>
      </c>
      <c r="O87" s="145">
        <v>1</v>
      </c>
      <c r="P87" s="145"/>
      <c r="Q87" s="149">
        <f>((552500+552500+552500+552500+552500+376000)/6)/12</f>
        <v>43590.277777777774</v>
      </c>
      <c r="R87" s="150" t="str">
        <f t="shared" si="132"/>
        <v>Rated</v>
      </c>
      <c r="S87" s="145" t="s">
        <v>134</v>
      </c>
      <c r="T87" s="146">
        <v>6</v>
      </c>
      <c r="U87" s="151">
        <v>5.63</v>
      </c>
      <c r="V87" s="232">
        <f t="shared" si="105"/>
        <v>0.37000000000000011</v>
      </c>
      <c r="W87" s="146"/>
      <c r="X87" s="146" t="e">
        <f>IF(V87&lt;=0,0,(IF(R87="Rated",(V87+W87)*#REF!,(V87+W87))))</f>
        <v>#REF!</v>
      </c>
      <c r="Y87" s="146" t="e">
        <f>IF(R87="Rated",T87*#REF!,T87)</f>
        <v>#REF!</v>
      </c>
      <c r="Z87" s="361">
        <v>20.43</v>
      </c>
      <c r="AA87" s="146">
        <f t="shared" si="106"/>
        <v>0</v>
      </c>
      <c r="AB87" s="152">
        <f>90000/12</f>
        <v>7500</v>
      </c>
      <c r="AC87" s="153" t="str">
        <f t="shared" si="107"/>
        <v>Bundled</v>
      </c>
      <c r="AD87" s="146"/>
      <c r="AE87" s="146"/>
      <c r="AF87" s="154"/>
      <c r="AG87" s="146"/>
      <c r="AH87" s="155" t="s">
        <v>141</v>
      </c>
      <c r="AI87" s="156" t="str">
        <f>IF(AH87="No of Seats","No of Seats",(IF(AH87="Space","Sq Ft","")))</f>
        <v>No of Seats</v>
      </c>
      <c r="AJ87" s="146">
        <v>2</v>
      </c>
      <c r="AK87" s="146">
        <v>2</v>
      </c>
      <c r="AL87" s="146">
        <f>AJ87-AK87</f>
        <v>0</v>
      </c>
      <c r="AM87" s="146">
        <v>2</v>
      </c>
      <c r="AN87" s="146"/>
      <c r="AO87" s="149">
        <f>(65000)/12</f>
        <v>5416.666666666667</v>
      </c>
      <c r="AP87" s="157">
        <f t="shared" si="133"/>
        <v>43590.277777777774</v>
      </c>
      <c r="AQ87" s="157">
        <f t="shared" si="134"/>
        <v>0</v>
      </c>
      <c r="AR87" s="158">
        <f t="shared" si="135"/>
        <v>0</v>
      </c>
      <c r="AS87" s="157">
        <f t="shared" si="136"/>
        <v>10833.333333333334</v>
      </c>
      <c r="AT87" s="159">
        <f>(5100+5100+5100+40000+150000)/12</f>
        <v>17108.333333333332</v>
      </c>
      <c r="AU87" s="160">
        <f t="shared" si="137"/>
        <v>71531.944444444438</v>
      </c>
      <c r="AV87" s="160"/>
      <c r="AW87" s="161" t="s">
        <v>380</v>
      </c>
      <c r="AX87" s="427" t="s">
        <v>381</v>
      </c>
      <c r="AY87" s="163">
        <v>7</v>
      </c>
      <c r="AZ87" s="162"/>
      <c r="BA87" s="164"/>
      <c r="BB87" s="5"/>
      <c r="BC87" s="165">
        <f t="shared" si="138"/>
        <v>6706.1197916666661</v>
      </c>
      <c r="BD87" s="165" t="e">
        <f t="shared" si="139"/>
        <v>#REF!</v>
      </c>
      <c r="BE87" s="165" t="e">
        <f t="shared" si="140"/>
        <v>#REF!</v>
      </c>
      <c r="BF87" s="165" t="e">
        <f t="shared" si="141"/>
        <v>#REF!</v>
      </c>
      <c r="BG87" s="165" t="e">
        <f t="shared" si="142"/>
        <v>#REF!</v>
      </c>
      <c r="BH87" s="165"/>
      <c r="BI87" s="166">
        <f t="shared" si="143"/>
        <v>43590.277777777774</v>
      </c>
      <c r="BJ87" s="166" t="e">
        <f t="shared" si="144"/>
        <v>#REF!</v>
      </c>
      <c r="BK87" s="166" t="e">
        <f>IF(H87="Bundled",MIN(Y87*#REF!*(1+#REF!),BI87),AR87)</f>
        <v>#REF!</v>
      </c>
      <c r="BL87" s="167" t="e">
        <f>IF($AG87&gt;0,$AG87*#REF!*#REF!*(1+#REF!*(20/#REF!)/732),#REF!*Z87)</f>
        <v>#REF!</v>
      </c>
      <c r="BM87" s="167" t="e">
        <f>IF($AG87&gt;0,$AG87*#REF!*#REF!*(1+#REF!*(20/#REF!)/732),+#REF!*(Z87+X87))</f>
        <v>#REF!</v>
      </c>
      <c r="BN87" s="167" t="e">
        <f>IF(H87="Bundled",#REF!*Y87,#REF!*Y87*0.85)</f>
        <v>#REF!</v>
      </c>
      <c r="BO87" s="167" t="e">
        <f t="shared" si="145"/>
        <v>#REF!</v>
      </c>
      <c r="BP87" s="167" t="e">
        <f>+#REF!*Y87</f>
        <v>#REF!</v>
      </c>
      <c r="BQ87" s="167" t="e">
        <f t="shared" si="146"/>
        <v>#REF!</v>
      </c>
      <c r="BR87" s="167" t="e">
        <f t="shared" si="147"/>
        <v>#REF!</v>
      </c>
      <c r="BS87" s="167" t="e">
        <f t="shared" si="148"/>
        <v>#REF!</v>
      </c>
      <c r="BT87" s="167" t="e">
        <f t="shared" si="149"/>
        <v>#REF!</v>
      </c>
      <c r="BU87" s="167" t="e">
        <f t="shared" si="150"/>
        <v>#REF!</v>
      </c>
      <c r="BV87" s="167" t="e">
        <f t="shared" si="151"/>
        <v>#REF!</v>
      </c>
      <c r="BW87" s="167" t="e">
        <f>IF(H87="Bundled",+(BG87-#REF!)*Y87,(AP87+AQ87)-Y87*#REF!)</f>
        <v>#REF!</v>
      </c>
      <c r="BX87" s="167" t="e">
        <f t="shared" si="152"/>
        <v>#REF!</v>
      </c>
      <c r="BY87" s="167" t="e">
        <f t="shared" si="153"/>
        <v>#REF!</v>
      </c>
      <c r="BZ87" s="167" t="e">
        <f t="shared" si="154"/>
        <v>#REF!</v>
      </c>
      <c r="CA87" s="167" t="e">
        <f t="shared" si="155"/>
        <v>#REF!</v>
      </c>
    </row>
    <row r="88" spans="1:79" s="16" customFormat="1" ht="39">
      <c r="A88" s="142" t="s">
        <v>45</v>
      </c>
      <c r="B88" s="321" t="s">
        <v>382</v>
      </c>
      <c r="C88" s="168" t="s">
        <v>383</v>
      </c>
      <c r="D88" s="168" t="s">
        <v>239</v>
      </c>
      <c r="E88" s="168"/>
      <c r="F88" s="168"/>
      <c r="G88" s="145" t="s">
        <v>130</v>
      </c>
      <c r="H88" s="146" t="s">
        <v>131</v>
      </c>
      <c r="I88" s="263"/>
      <c r="J88" s="145" t="s">
        <v>185</v>
      </c>
      <c r="K88" s="147" t="s">
        <v>252</v>
      </c>
      <c r="L88" s="263"/>
      <c r="M88" s="263"/>
      <c r="N88" s="148">
        <f t="shared" si="156"/>
        <v>0</v>
      </c>
      <c r="O88" s="145">
        <v>3</v>
      </c>
      <c r="P88" s="145"/>
      <c r="Q88" s="149">
        <f t="shared" ref="Q88:Q89" si="157">((552500+552500+552500+552500+552500+376000)/6)/12</f>
        <v>43590.277777777774</v>
      </c>
      <c r="R88" s="150" t="str">
        <f t="shared" si="132"/>
        <v>Rated</v>
      </c>
      <c r="S88" s="145" t="s">
        <v>134</v>
      </c>
      <c r="T88" s="146">
        <v>15</v>
      </c>
      <c r="U88" s="151">
        <f>13.69+11.92+8.1+9.63</f>
        <v>43.34</v>
      </c>
      <c r="V88" s="232">
        <f t="shared" si="105"/>
        <v>-28.340000000000003</v>
      </c>
      <c r="W88" s="146"/>
      <c r="X88" s="146">
        <f>IF(V88&lt;=0,0,(IF(R88="Rated",(V88+W88)*#REF!,(V88+W88))))</f>
        <v>0</v>
      </c>
      <c r="Y88" s="146" t="e">
        <f>IF(R88="Rated",T88*#REF!,T88)</f>
        <v>#REF!</v>
      </c>
      <c r="Z88" s="361"/>
      <c r="AA88" s="146">
        <f t="shared" si="106"/>
        <v>28.340000000000003</v>
      </c>
      <c r="AB88" s="152">
        <f t="shared" ref="AB88:AB89" si="158">90000/12</f>
        <v>7500</v>
      </c>
      <c r="AC88" s="153" t="str">
        <f t="shared" si="107"/>
        <v>Bundled</v>
      </c>
      <c r="AD88" s="146"/>
      <c r="AE88" s="146"/>
      <c r="AF88" s="154"/>
      <c r="AG88" s="146"/>
      <c r="AH88" s="155"/>
      <c r="AI88" s="156"/>
      <c r="AJ88" s="146"/>
      <c r="AK88" s="146"/>
      <c r="AL88" s="146"/>
      <c r="AM88" s="146"/>
      <c r="AN88" s="146"/>
      <c r="AO88" s="149">
        <f t="shared" ref="AO88:AO89" si="159">(65000)/12</f>
        <v>5416.666666666667</v>
      </c>
      <c r="AP88" s="157">
        <f t="shared" si="133"/>
        <v>130770.83333333331</v>
      </c>
      <c r="AQ88" s="157">
        <f t="shared" si="134"/>
        <v>212550.00000000003</v>
      </c>
      <c r="AR88" s="158">
        <f t="shared" si="135"/>
        <v>0</v>
      </c>
      <c r="AS88" s="157">
        <f t="shared" si="136"/>
        <v>0</v>
      </c>
      <c r="AT88" s="159">
        <f t="shared" ref="AT88:AT89" si="160">(5100+5100+5100+40000+150000)/12</f>
        <v>17108.333333333332</v>
      </c>
      <c r="AU88" s="160">
        <f t="shared" si="137"/>
        <v>360429.16666666669</v>
      </c>
      <c r="AV88" s="160"/>
      <c r="AW88" s="161" t="s">
        <v>380</v>
      </c>
      <c r="AX88" s="427" t="s">
        <v>381</v>
      </c>
      <c r="AY88" s="163">
        <v>7</v>
      </c>
      <c r="AZ88" s="162"/>
      <c r="BA88" s="164"/>
      <c r="BB88" s="5"/>
      <c r="BC88" s="165">
        <f t="shared" si="138"/>
        <v>0</v>
      </c>
      <c r="BD88" s="165" t="e">
        <f t="shared" si="139"/>
        <v>#REF!</v>
      </c>
      <c r="BE88" s="165" t="e">
        <f t="shared" si="140"/>
        <v>#REF!</v>
      </c>
      <c r="BF88" s="165" t="e">
        <f t="shared" si="141"/>
        <v>#REF!</v>
      </c>
      <c r="BG88" s="165" t="e">
        <f t="shared" si="142"/>
        <v>#REF!</v>
      </c>
      <c r="BH88" s="165"/>
      <c r="BI88" s="166">
        <f t="shared" si="143"/>
        <v>343320.83333333337</v>
      </c>
      <c r="BJ88" s="166" t="e">
        <f t="shared" si="144"/>
        <v>#REF!</v>
      </c>
      <c r="BK88" s="166" t="e">
        <f>IF(H88="Bundled",MIN(Y88*#REF!*(1+#REF!),BI88),AR88)</f>
        <v>#REF!</v>
      </c>
      <c r="BL88" s="167" t="e">
        <f>IF($AG88&gt;0,$AG88*#REF!*#REF!*(1+#REF!*(20/#REF!)/732),#REF!*Z88)</f>
        <v>#REF!</v>
      </c>
      <c r="BM88" s="167" t="e">
        <f>IF($AG88&gt;0,$AG88*#REF!*#REF!*(1+#REF!*(20/#REF!)/732),+#REF!*(Z88+X88))</f>
        <v>#REF!</v>
      </c>
      <c r="BN88" s="167" t="e">
        <f>IF(H88="Bundled",#REF!*Y88,#REF!*Y88*0.85)</f>
        <v>#REF!</v>
      </c>
      <c r="BO88" s="167" t="e">
        <f t="shared" si="145"/>
        <v>#REF!</v>
      </c>
      <c r="BP88" s="167" t="e">
        <f>+#REF!*Y88</f>
        <v>#REF!</v>
      </c>
      <c r="BQ88" s="167" t="e">
        <f t="shared" si="146"/>
        <v>#REF!</v>
      </c>
      <c r="BR88" s="167" t="e">
        <f t="shared" si="147"/>
        <v>#REF!</v>
      </c>
      <c r="BS88" s="167" t="e">
        <f t="shared" si="148"/>
        <v>#REF!</v>
      </c>
      <c r="BT88" s="167" t="e">
        <f t="shared" si="149"/>
        <v>#REF!</v>
      </c>
      <c r="BU88" s="167" t="e">
        <f t="shared" si="150"/>
        <v>#REF!</v>
      </c>
      <c r="BV88" s="167" t="e">
        <f t="shared" si="151"/>
        <v>#REF!</v>
      </c>
      <c r="BW88" s="167" t="e">
        <f>IF(H88="Bundled",+(BG88-#REF!)*Y88,(AP88+AQ88)-Y88*#REF!)</f>
        <v>#REF!</v>
      </c>
      <c r="BX88" s="167" t="e">
        <f t="shared" si="152"/>
        <v>#REF!</v>
      </c>
      <c r="BY88" s="167" t="e">
        <f t="shared" si="153"/>
        <v>#REF!</v>
      </c>
      <c r="BZ88" s="167" t="e">
        <f t="shared" si="154"/>
        <v>#REF!</v>
      </c>
      <c r="CA88" s="167" t="e">
        <f t="shared" si="155"/>
        <v>#REF!</v>
      </c>
    </row>
    <row r="89" spans="1:79" s="16" customFormat="1" ht="39">
      <c r="A89" s="142" t="s">
        <v>45</v>
      </c>
      <c r="B89" s="321" t="s">
        <v>384</v>
      </c>
      <c r="C89" s="168" t="s">
        <v>385</v>
      </c>
      <c r="D89" s="168" t="s">
        <v>239</v>
      </c>
      <c r="E89" s="168"/>
      <c r="F89" s="168"/>
      <c r="G89" s="145" t="s">
        <v>130</v>
      </c>
      <c r="H89" s="146" t="s">
        <v>131</v>
      </c>
      <c r="I89" s="264"/>
      <c r="J89" s="145" t="s">
        <v>185</v>
      </c>
      <c r="K89" s="147" t="s">
        <v>252</v>
      </c>
      <c r="L89" s="264"/>
      <c r="M89" s="264"/>
      <c r="N89" s="148">
        <f t="shared" si="156"/>
        <v>0</v>
      </c>
      <c r="O89" s="145">
        <v>2</v>
      </c>
      <c r="P89" s="145"/>
      <c r="Q89" s="149">
        <f t="shared" si="157"/>
        <v>43590.277777777774</v>
      </c>
      <c r="R89" s="150" t="str">
        <f t="shared" si="132"/>
        <v>Rated</v>
      </c>
      <c r="S89" s="145" t="s">
        <v>134</v>
      </c>
      <c r="T89" s="146">
        <v>12</v>
      </c>
      <c r="U89" s="151">
        <f>8.49+5.64</f>
        <v>14.129999999999999</v>
      </c>
      <c r="V89" s="232">
        <f t="shared" si="105"/>
        <v>-2.129999999999999</v>
      </c>
      <c r="W89" s="146"/>
      <c r="X89" s="146">
        <f>IF(V89&lt;=0,0,(IF(R89="Rated",(V89+W89)*#REF!,(V89+W89))))</f>
        <v>0</v>
      </c>
      <c r="Y89" s="146" t="e">
        <f>IF(R89="Rated",T89*#REF!,T89)</f>
        <v>#REF!</v>
      </c>
      <c r="Z89" s="361"/>
      <c r="AA89" s="146">
        <f t="shared" si="106"/>
        <v>2.129999999999999</v>
      </c>
      <c r="AB89" s="152">
        <f t="shared" si="158"/>
        <v>7500</v>
      </c>
      <c r="AC89" s="153" t="str">
        <f t="shared" si="107"/>
        <v>Bundled</v>
      </c>
      <c r="AD89" s="146"/>
      <c r="AE89" s="146"/>
      <c r="AF89" s="154"/>
      <c r="AG89" s="146"/>
      <c r="AH89" s="155"/>
      <c r="AI89" s="156" t="str">
        <f>IF(AH89="No of Seats","No of Seats",(IF(AH89="Space","Sq Ft","")))</f>
        <v/>
      </c>
      <c r="AJ89" s="146"/>
      <c r="AK89" s="146"/>
      <c r="AL89" s="146"/>
      <c r="AM89" s="146"/>
      <c r="AN89" s="146"/>
      <c r="AO89" s="149">
        <f t="shared" si="159"/>
        <v>5416.666666666667</v>
      </c>
      <c r="AP89" s="157">
        <f t="shared" si="133"/>
        <v>87180.555555555547</v>
      </c>
      <c r="AQ89" s="157">
        <f t="shared" si="134"/>
        <v>15974.999999999993</v>
      </c>
      <c r="AR89" s="158">
        <f t="shared" si="135"/>
        <v>0</v>
      </c>
      <c r="AS89" s="157">
        <f t="shared" si="136"/>
        <v>0</v>
      </c>
      <c r="AT89" s="159">
        <f t="shared" si="160"/>
        <v>17108.333333333332</v>
      </c>
      <c r="AU89" s="160">
        <f t="shared" si="137"/>
        <v>120263.88888888886</v>
      </c>
      <c r="AV89" s="160"/>
      <c r="AW89" s="161" t="s">
        <v>380</v>
      </c>
      <c r="AX89" s="427" t="s">
        <v>381</v>
      </c>
      <c r="AY89" s="163">
        <v>7</v>
      </c>
      <c r="AZ89" s="162"/>
      <c r="BA89" s="164"/>
      <c r="BB89" s="5"/>
      <c r="BC89" s="165">
        <f t="shared" si="138"/>
        <v>0</v>
      </c>
      <c r="BD89" s="165" t="e">
        <f t="shared" si="139"/>
        <v>#REF!</v>
      </c>
      <c r="BE89" s="165" t="e">
        <f t="shared" si="140"/>
        <v>#REF!</v>
      </c>
      <c r="BF89" s="165" t="e">
        <f t="shared" si="141"/>
        <v>#REF!</v>
      </c>
      <c r="BG89" s="165" t="e">
        <f t="shared" si="142"/>
        <v>#REF!</v>
      </c>
      <c r="BH89" s="165"/>
      <c r="BI89" s="166">
        <f t="shared" si="143"/>
        <v>103155.55555555553</v>
      </c>
      <c r="BJ89" s="166" t="e">
        <f t="shared" si="144"/>
        <v>#REF!</v>
      </c>
      <c r="BK89" s="166" t="e">
        <f>IF(H89="Bundled",MIN(Y89*#REF!*(1+#REF!),BI89),AR89)</f>
        <v>#REF!</v>
      </c>
      <c r="BL89" s="167" t="e">
        <f>IF($AG89&gt;0,$AG89*#REF!*#REF!*(1+#REF!*(20/#REF!)/732),#REF!*Z89)</f>
        <v>#REF!</v>
      </c>
      <c r="BM89" s="167" t="e">
        <f>IF($AG89&gt;0,$AG89*#REF!*#REF!*(1+#REF!*(20/#REF!)/732),+#REF!*(Z89+X89))</f>
        <v>#REF!</v>
      </c>
      <c r="BN89" s="167" t="e">
        <f>IF(H89="Bundled",#REF!*Y89,#REF!*Y89*0.85)</f>
        <v>#REF!</v>
      </c>
      <c r="BO89" s="167" t="e">
        <f t="shared" si="145"/>
        <v>#REF!</v>
      </c>
      <c r="BP89" s="167" t="e">
        <f>+#REF!*Y89</f>
        <v>#REF!</v>
      </c>
      <c r="BQ89" s="167" t="e">
        <f t="shared" si="146"/>
        <v>#REF!</v>
      </c>
      <c r="BR89" s="167" t="e">
        <f t="shared" si="147"/>
        <v>#REF!</v>
      </c>
      <c r="BS89" s="167" t="e">
        <f t="shared" si="148"/>
        <v>#REF!</v>
      </c>
      <c r="BT89" s="167" t="e">
        <f t="shared" si="149"/>
        <v>#REF!</v>
      </c>
      <c r="BU89" s="167" t="e">
        <f t="shared" si="150"/>
        <v>#REF!</v>
      </c>
      <c r="BV89" s="167" t="e">
        <f t="shared" si="151"/>
        <v>#REF!</v>
      </c>
      <c r="BW89" s="167" t="e">
        <f>IF(H89="Bundled",+(BG89-#REF!)*Y89,(AP89+AQ89)-Y89*#REF!)</f>
        <v>#REF!</v>
      </c>
      <c r="BX89" s="167" t="e">
        <f t="shared" si="152"/>
        <v>#REF!</v>
      </c>
      <c r="BY89" s="167" t="e">
        <f t="shared" si="153"/>
        <v>#REF!</v>
      </c>
      <c r="BZ89" s="167" t="e">
        <f t="shared" si="154"/>
        <v>#REF!</v>
      </c>
      <c r="CA89" s="167" t="e">
        <f t="shared" si="155"/>
        <v>#REF!</v>
      </c>
    </row>
    <row r="90" spans="1:79" s="16" customFormat="1">
      <c r="A90" s="142" t="s">
        <v>45</v>
      </c>
      <c r="B90" s="321" t="s">
        <v>386</v>
      </c>
      <c r="C90" s="168" t="s">
        <v>387</v>
      </c>
      <c r="D90" s="168" t="s">
        <v>239</v>
      </c>
      <c r="E90" s="168"/>
      <c r="F90" s="168"/>
      <c r="G90" s="145" t="s">
        <v>169</v>
      </c>
      <c r="H90" s="146" t="s">
        <v>170</v>
      </c>
      <c r="I90" s="145" t="s">
        <v>132</v>
      </c>
      <c r="J90" s="145" t="s">
        <v>133</v>
      </c>
      <c r="K90" s="147" t="str">
        <f t="shared" ref="K90:K119" si="161">IF(I90="Rack","No of Racks",(IF(I90="Space","Sq Ft","U Space")))</f>
        <v>No of Racks</v>
      </c>
      <c r="L90" s="145">
        <v>3</v>
      </c>
      <c r="M90" s="145">
        <v>3</v>
      </c>
      <c r="N90" s="148">
        <f t="shared" si="156"/>
        <v>0</v>
      </c>
      <c r="O90" s="145">
        <v>3</v>
      </c>
      <c r="P90" s="145"/>
      <c r="Q90" s="149">
        <f>(240000)/12</f>
        <v>20000</v>
      </c>
      <c r="R90" s="150" t="str">
        <f t="shared" si="132"/>
        <v>Subscribed</v>
      </c>
      <c r="S90" s="145" t="s">
        <v>123</v>
      </c>
      <c r="T90" s="146">
        <v>9</v>
      </c>
      <c r="U90" s="327">
        <f t="shared" ref="U90:U97" si="162">Z90</f>
        <v>3.7886607142857147</v>
      </c>
      <c r="V90" s="232">
        <f t="shared" si="105"/>
        <v>5.2113392857142848</v>
      </c>
      <c r="W90" s="146"/>
      <c r="X90" s="146">
        <f>IF(V90&lt;=0,0,(IF(R90="Rated",(V90+W90)*#REF!,(V90+W90))))</f>
        <v>5.2113392857142848</v>
      </c>
      <c r="Y90" s="146">
        <f>IF(R90="Rated",T90*#REF!,T90)</f>
        <v>9</v>
      </c>
      <c r="Z90" s="231">
        <f>AG90/28/24</f>
        <v>3.7886607142857147</v>
      </c>
      <c r="AA90" s="146">
        <f t="shared" si="106"/>
        <v>0</v>
      </c>
      <c r="AB90" s="152">
        <f>80000/12</f>
        <v>6666.666666666667</v>
      </c>
      <c r="AC90" s="153" t="str">
        <f t="shared" si="107"/>
        <v>Metered</v>
      </c>
      <c r="AD90" s="146">
        <v>1</v>
      </c>
      <c r="AE90" s="146" t="s">
        <v>171</v>
      </c>
      <c r="AF90" s="154">
        <v>18</v>
      </c>
      <c r="AG90" s="146">
        <v>2545.98</v>
      </c>
      <c r="AH90" s="155"/>
      <c r="AI90" s="156"/>
      <c r="AJ90" s="146"/>
      <c r="AK90" s="146"/>
      <c r="AL90" s="146">
        <f t="shared" ref="AL90:AL102" si="163">AJ90-AK90</f>
        <v>0</v>
      </c>
      <c r="AM90" s="146"/>
      <c r="AN90" s="146"/>
      <c r="AO90" s="149">
        <f t="shared" ref="AO90:AO110" si="164">(0)/12</f>
        <v>0</v>
      </c>
      <c r="AP90" s="157">
        <f t="shared" si="133"/>
        <v>60000</v>
      </c>
      <c r="AQ90" s="157">
        <f t="shared" si="134"/>
        <v>0</v>
      </c>
      <c r="AR90" s="158">
        <f t="shared" si="135"/>
        <v>45827.64</v>
      </c>
      <c r="AS90" s="157">
        <f t="shared" si="136"/>
        <v>0</v>
      </c>
      <c r="AT90" s="159">
        <f>(25000+180000)/12</f>
        <v>17083.333333333332</v>
      </c>
      <c r="AU90" s="160">
        <f t="shared" si="137"/>
        <v>122910.97333333333</v>
      </c>
      <c r="AV90" s="160"/>
      <c r="AW90" s="161">
        <v>721007401</v>
      </c>
      <c r="AX90" s="162">
        <v>43573</v>
      </c>
      <c r="AY90" s="163">
        <v>1</v>
      </c>
      <c r="AZ90" s="162">
        <v>43938</v>
      </c>
      <c r="BA90" s="164"/>
      <c r="BB90" s="5"/>
      <c r="BC90" s="165">
        <f t="shared" si="138"/>
        <v>40970.324444444443</v>
      </c>
      <c r="BD90" s="165">
        <f t="shared" si="139"/>
        <v>13656.774814814815</v>
      </c>
      <c r="BE90" s="165" t="e">
        <f t="shared" si="140"/>
        <v>#REF!</v>
      </c>
      <c r="BF90" s="165" t="e">
        <f t="shared" si="141"/>
        <v>#REF!</v>
      </c>
      <c r="BG90" s="165" t="e">
        <f t="shared" si="142"/>
        <v>#REF!</v>
      </c>
      <c r="BH90" s="165"/>
      <c r="BI90" s="166">
        <f t="shared" si="143"/>
        <v>105827.64</v>
      </c>
      <c r="BJ90" s="166">
        <f t="shared" si="144"/>
        <v>60000</v>
      </c>
      <c r="BK90" s="166">
        <f>IF(H90="Bundled",MIN(Y90*#REF!*(1+#REF!),BI90),AR90)</f>
        <v>45827.64</v>
      </c>
      <c r="BL90" s="167" t="e">
        <f>IF($AG90&gt;0,$AG90*#REF!*#REF!*(1+#REF!*(20/#REF!)/732),#REF!*Z90)</f>
        <v>#REF!</v>
      </c>
      <c r="BM90" s="167" t="e">
        <f>IF($AG90&gt;0,$AG90*#REF!*#REF!*(1+#REF!*(20/#REF!)/732),+#REF!*(Z90+X90))</f>
        <v>#REF!</v>
      </c>
      <c r="BN90" s="167" t="e">
        <f>IF(H90="Bundled",#REF!*Y90,#REF!*Y90*0.85)</f>
        <v>#REF!</v>
      </c>
      <c r="BO90" s="167" t="e">
        <f t="shared" si="145"/>
        <v>#REF!</v>
      </c>
      <c r="BP90" s="167" t="e">
        <f>+#REF!*Y90</f>
        <v>#REF!</v>
      </c>
      <c r="BQ90" s="167" t="e">
        <f t="shared" si="146"/>
        <v>#REF!</v>
      </c>
      <c r="BR90" s="167" t="e">
        <f t="shared" si="147"/>
        <v>#REF!</v>
      </c>
      <c r="BS90" s="167" t="e">
        <f t="shared" si="148"/>
        <v>#REF!</v>
      </c>
      <c r="BT90" s="167">
        <f t="shared" si="149"/>
        <v>9</v>
      </c>
      <c r="BU90" s="167" t="e">
        <f t="shared" si="150"/>
        <v>#REF!</v>
      </c>
      <c r="BV90" s="167" t="e">
        <f t="shared" si="151"/>
        <v>#REF!</v>
      </c>
      <c r="BW90" s="167" t="e">
        <f>IF(H90="Bundled",+(BG90-#REF!)*Y90,(AP90+AQ90)-Y90*#REF!)</f>
        <v>#REF!</v>
      </c>
      <c r="BX90" s="167" t="e">
        <f t="shared" si="152"/>
        <v>#REF!</v>
      </c>
      <c r="BY90" s="167" t="e">
        <f t="shared" si="153"/>
        <v>#REF!</v>
      </c>
      <c r="BZ90" s="167" t="e">
        <f t="shared" si="154"/>
        <v>#REF!</v>
      </c>
      <c r="CA90" s="167" t="e">
        <f t="shared" si="155"/>
        <v>#REF!</v>
      </c>
    </row>
    <row r="91" spans="1:79" s="16" customFormat="1">
      <c r="A91" s="142" t="s">
        <v>45</v>
      </c>
      <c r="B91" s="321" t="s">
        <v>388</v>
      </c>
      <c r="C91" s="196" t="s">
        <v>389</v>
      </c>
      <c r="D91" s="196" t="s">
        <v>239</v>
      </c>
      <c r="E91" s="196"/>
      <c r="F91" s="196"/>
      <c r="G91" s="145" t="s">
        <v>169</v>
      </c>
      <c r="H91" s="146" t="s">
        <v>170</v>
      </c>
      <c r="I91" s="145" t="s">
        <v>59</v>
      </c>
      <c r="J91" s="145" t="s">
        <v>185</v>
      </c>
      <c r="K91" s="147" t="str">
        <f t="shared" si="161"/>
        <v>Sq Ft</v>
      </c>
      <c r="L91" s="145">
        <v>1120</v>
      </c>
      <c r="M91" s="145">
        <v>1120</v>
      </c>
      <c r="N91" s="148">
        <f t="shared" si="156"/>
        <v>0</v>
      </c>
      <c r="O91" s="145">
        <v>60</v>
      </c>
      <c r="P91" s="145"/>
      <c r="Q91" s="331">
        <v>592</v>
      </c>
      <c r="R91" s="150" t="str">
        <f t="shared" si="132"/>
        <v>Subscribed</v>
      </c>
      <c r="S91" s="145" t="s">
        <v>123</v>
      </c>
      <c r="T91" s="146">
        <v>420</v>
      </c>
      <c r="U91" s="327">
        <f t="shared" si="162"/>
        <v>75.903125000000003</v>
      </c>
      <c r="V91" s="232">
        <f t="shared" si="105"/>
        <v>344.09687500000001</v>
      </c>
      <c r="W91" s="146"/>
      <c r="X91" s="146">
        <f>IF(V91&lt;=0,0,(IF(R91="Rated",(V91+W91)*#REF!,(V91+W91))))</f>
        <v>344.09687500000001</v>
      </c>
      <c r="Y91" s="146">
        <f>IF(R91="Rated",T91*#REF!,T91)</f>
        <v>420</v>
      </c>
      <c r="Z91" s="231">
        <f t="shared" ref="Z91:Z102" si="165">AG91/28/24</f>
        <v>75.903125000000003</v>
      </c>
      <c r="AA91" s="146">
        <f t="shared" si="106"/>
        <v>0</v>
      </c>
      <c r="AB91" s="152">
        <v>0</v>
      </c>
      <c r="AC91" s="153" t="str">
        <f t="shared" si="107"/>
        <v>Metered</v>
      </c>
      <c r="AD91" s="146">
        <v>1.7</v>
      </c>
      <c r="AE91" s="146" t="s">
        <v>333</v>
      </c>
      <c r="AF91" s="154">
        <v>10.88</v>
      </c>
      <c r="AG91" s="146">
        <v>51006.9</v>
      </c>
      <c r="AH91" s="155"/>
      <c r="AI91" s="156"/>
      <c r="AJ91" s="146"/>
      <c r="AK91" s="146"/>
      <c r="AL91" s="146">
        <f t="shared" si="163"/>
        <v>0</v>
      </c>
      <c r="AM91" s="146"/>
      <c r="AN91" s="146"/>
      <c r="AO91" s="149">
        <f t="shared" si="164"/>
        <v>0</v>
      </c>
      <c r="AP91" s="331">
        <f t="shared" si="133"/>
        <v>35520</v>
      </c>
      <c r="AQ91" s="157">
        <f t="shared" si="134"/>
        <v>0</v>
      </c>
      <c r="AR91" s="158">
        <f t="shared" si="135"/>
        <v>943423.62239999999</v>
      </c>
      <c r="AS91" s="157">
        <f t="shared" si="136"/>
        <v>0</v>
      </c>
      <c r="AT91" s="159">
        <f>0/12</f>
        <v>0</v>
      </c>
      <c r="AU91" s="160">
        <f t="shared" si="137"/>
        <v>978943.62239999999</v>
      </c>
      <c r="AV91" s="160"/>
      <c r="AW91" s="161">
        <v>121000371</v>
      </c>
      <c r="AX91" s="162">
        <v>43612</v>
      </c>
      <c r="AY91" s="163"/>
      <c r="AZ91" s="162"/>
      <c r="BA91" s="164"/>
      <c r="BB91" s="5"/>
      <c r="BC91" s="165">
        <f t="shared" si="138"/>
        <v>26221.70417142857</v>
      </c>
      <c r="BD91" s="165">
        <f t="shared" si="139"/>
        <v>2330.8181485714285</v>
      </c>
      <c r="BE91" s="165" t="e">
        <f t="shared" si="140"/>
        <v>#REF!</v>
      </c>
      <c r="BF91" s="165" t="e">
        <f t="shared" si="141"/>
        <v>#REF!</v>
      </c>
      <c r="BG91" s="165" t="e">
        <f t="shared" si="142"/>
        <v>#REF!</v>
      </c>
      <c r="BH91" s="165"/>
      <c r="BI91" s="166">
        <f t="shared" si="143"/>
        <v>978943.62239999999</v>
      </c>
      <c r="BJ91" s="166">
        <f t="shared" si="144"/>
        <v>35520</v>
      </c>
      <c r="BK91" s="166">
        <f>IF(H91="Bundled",MIN(Y91*#REF!*(1+#REF!),BI91),AR91)</f>
        <v>943423.62239999999</v>
      </c>
      <c r="BL91" s="167" t="e">
        <f>IF($AG91&gt;0,$AG91*#REF!*#REF!*(1+#REF!*(20/#REF!)/732),#REF!*Z91)</f>
        <v>#REF!</v>
      </c>
      <c r="BM91" s="167" t="e">
        <f>IF($AG91&gt;0,$AG91*#REF!*#REF!*(1+#REF!*(20/#REF!)/732),+#REF!*(Z91+X91))</f>
        <v>#REF!</v>
      </c>
      <c r="BN91" s="167" t="e">
        <f>IF(H91="Bundled",#REF!*Y91,#REF!*Y91*0.85)</f>
        <v>#REF!</v>
      </c>
      <c r="BO91" s="167" t="e">
        <f t="shared" si="145"/>
        <v>#REF!</v>
      </c>
      <c r="BP91" s="167" t="e">
        <f>+#REF!*Y91</f>
        <v>#REF!</v>
      </c>
      <c r="BQ91" s="167" t="e">
        <f t="shared" si="146"/>
        <v>#REF!</v>
      </c>
      <c r="BR91" s="167" t="e">
        <f t="shared" si="147"/>
        <v>#REF!</v>
      </c>
      <c r="BS91" s="167" t="e">
        <f t="shared" si="148"/>
        <v>#REF!</v>
      </c>
      <c r="BT91" s="167">
        <f t="shared" si="149"/>
        <v>420</v>
      </c>
      <c r="BU91" s="167" t="e">
        <f t="shared" si="150"/>
        <v>#REF!</v>
      </c>
      <c r="BV91" s="167" t="e">
        <f t="shared" si="151"/>
        <v>#REF!</v>
      </c>
      <c r="BW91" s="167" t="e">
        <f>IF(H91="Bundled",+(BG91-#REF!)*Y91,(AP91+AQ91)-Y91*#REF!)</f>
        <v>#REF!</v>
      </c>
      <c r="BX91" s="167" t="e">
        <f t="shared" si="152"/>
        <v>#REF!</v>
      </c>
      <c r="BY91" s="167" t="e">
        <f t="shared" si="153"/>
        <v>#REF!</v>
      </c>
      <c r="BZ91" s="167" t="e">
        <f t="shared" si="154"/>
        <v>#REF!</v>
      </c>
      <c r="CA91" s="167" t="e">
        <f t="shared" si="155"/>
        <v>#REF!</v>
      </c>
    </row>
    <row r="92" spans="1:79" s="16" customFormat="1">
      <c r="A92" s="142" t="s">
        <v>45</v>
      </c>
      <c r="B92" s="321" t="s">
        <v>390</v>
      </c>
      <c r="C92" s="196" t="s">
        <v>391</v>
      </c>
      <c r="D92" s="196" t="s">
        <v>239</v>
      </c>
      <c r="E92" s="196"/>
      <c r="F92" s="196"/>
      <c r="G92" s="145" t="s">
        <v>169</v>
      </c>
      <c r="H92" s="146" t="s">
        <v>170</v>
      </c>
      <c r="I92" s="145" t="s">
        <v>59</v>
      </c>
      <c r="J92" s="145" t="s">
        <v>185</v>
      </c>
      <c r="K92" s="147" t="str">
        <f t="shared" si="161"/>
        <v>Sq Ft</v>
      </c>
      <c r="L92" s="145">
        <v>1100</v>
      </c>
      <c r="M92" s="145">
        <v>1100</v>
      </c>
      <c r="N92" s="148">
        <f t="shared" si="156"/>
        <v>0</v>
      </c>
      <c r="O92" s="145">
        <v>1100</v>
      </c>
      <c r="P92" s="145"/>
      <c r="Q92" s="149">
        <f>1625000/1100</f>
        <v>1477.2727272727273</v>
      </c>
      <c r="R92" s="150" t="str">
        <f t="shared" si="132"/>
        <v>Subscribed</v>
      </c>
      <c r="S92" s="145" t="s">
        <v>123</v>
      </c>
      <c r="T92" s="146">
        <v>250</v>
      </c>
      <c r="U92" s="327">
        <f t="shared" si="162"/>
        <v>163.24037202380953</v>
      </c>
      <c r="V92" s="232">
        <f t="shared" si="105"/>
        <v>86.759627976190473</v>
      </c>
      <c r="W92" s="146"/>
      <c r="X92" s="146">
        <f>IF(V92&lt;=0,0,(IF(R92="Rated",(V92+W92)*#REF!,(V92+W92))))</f>
        <v>86.759627976190473</v>
      </c>
      <c r="Y92" s="146">
        <f>IF(R92="Rated",T92*#REF!,T92)</f>
        <v>250</v>
      </c>
      <c r="Z92" s="231">
        <f t="shared" si="165"/>
        <v>163.24037202380953</v>
      </c>
      <c r="AA92" s="146">
        <f t="shared" si="106"/>
        <v>0</v>
      </c>
      <c r="AB92" s="152">
        <v>0</v>
      </c>
      <c r="AC92" s="153" t="str">
        <f t="shared" si="107"/>
        <v>Metered</v>
      </c>
      <c r="AD92" s="146">
        <v>1.7</v>
      </c>
      <c r="AE92" s="146" t="s">
        <v>333</v>
      </c>
      <c r="AF92" s="154">
        <v>10.88</v>
      </c>
      <c r="AG92" s="146">
        <v>109697.53</v>
      </c>
      <c r="AH92" s="155"/>
      <c r="AI92" s="156"/>
      <c r="AJ92" s="146"/>
      <c r="AK92" s="146"/>
      <c r="AL92" s="146">
        <f t="shared" si="163"/>
        <v>0</v>
      </c>
      <c r="AM92" s="146"/>
      <c r="AN92" s="146"/>
      <c r="AO92" s="149">
        <f t="shared" si="164"/>
        <v>0</v>
      </c>
      <c r="AP92" s="157">
        <f t="shared" si="133"/>
        <v>1625000</v>
      </c>
      <c r="AQ92" s="157">
        <f t="shared" si="134"/>
        <v>0</v>
      </c>
      <c r="AR92" s="158">
        <f t="shared" si="135"/>
        <v>2028965.5148800001</v>
      </c>
      <c r="AS92" s="157">
        <f t="shared" si="136"/>
        <v>0</v>
      </c>
      <c r="AT92" s="159">
        <f>0/12</f>
        <v>0</v>
      </c>
      <c r="AU92" s="160">
        <f t="shared" si="137"/>
        <v>3653965.5148800001</v>
      </c>
      <c r="AV92" s="160"/>
      <c r="AW92" s="161">
        <v>721007336</v>
      </c>
      <c r="AX92" s="162">
        <v>43647</v>
      </c>
      <c r="AY92" s="163"/>
      <c r="AZ92" s="162"/>
      <c r="BA92" s="164"/>
      <c r="BB92" s="5"/>
      <c r="BC92" s="165">
        <f t="shared" si="138"/>
        <v>99653.604951272733</v>
      </c>
      <c r="BD92" s="165">
        <f t="shared" si="139"/>
        <v>14615.862059520001</v>
      </c>
      <c r="BE92" s="165" t="e">
        <f t="shared" si="140"/>
        <v>#REF!</v>
      </c>
      <c r="BF92" s="165" t="e">
        <f t="shared" si="141"/>
        <v>#REF!</v>
      </c>
      <c r="BG92" s="165" t="e">
        <f t="shared" si="142"/>
        <v>#REF!</v>
      </c>
      <c r="BH92" s="165"/>
      <c r="BI92" s="166">
        <f t="shared" si="143"/>
        <v>3653965.5148800001</v>
      </c>
      <c r="BJ92" s="166">
        <f t="shared" si="144"/>
        <v>1625000</v>
      </c>
      <c r="BK92" s="166">
        <f>IF(H92="Bundled",MIN(Y92*#REF!*(1+#REF!),BI92),AR92)</f>
        <v>2028965.5148800001</v>
      </c>
      <c r="BL92" s="167" t="e">
        <f>IF($AG92&gt;0,$AG92*#REF!*#REF!*(1+#REF!*(20/#REF!)/732),#REF!*Z92)</f>
        <v>#REF!</v>
      </c>
      <c r="BM92" s="167" t="e">
        <f>IF($AG92&gt;0,$AG92*#REF!*#REF!*(1+#REF!*(20/#REF!)/732),+#REF!*(Z92+X92))</f>
        <v>#REF!</v>
      </c>
      <c r="BN92" s="167" t="e">
        <f>IF(H92="Bundled",#REF!*Y92,#REF!*Y92*0.85)</f>
        <v>#REF!</v>
      </c>
      <c r="BO92" s="167" t="e">
        <f t="shared" si="145"/>
        <v>#REF!</v>
      </c>
      <c r="BP92" s="167" t="e">
        <f>+#REF!*Y92</f>
        <v>#REF!</v>
      </c>
      <c r="BQ92" s="167" t="e">
        <f t="shared" si="146"/>
        <v>#REF!</v>
      </c>
      <c r="BR92" s="167" t="e">
        <f t="shared" si="147"/>
        <v>#REF!</v>
      </c>
      <c r="BS92" s="167" t="e">
        <f t="shared" si="148"/>
        <v>#REF!</v>
      </c>
      <c r="BT92" s="167">
        <f t="shared" si="149"/>
        <v>250</v>
      </c>
      <c r="BU92" s="167" t="e">
        <f t="shared" si="150"/>
        <v>#REF!</v>
      </c>
      <c r="BV92" s="167" t="e">
        <f t="shared" si="151"/>
        <v>#REF!</v>
      </c>
      <c r="BW92" s="167" t="e">
        <f>IF(H92="Bundled",+(BG92-#REF!)*Y92,(AP92+AQ92)-Y92*#REF!)</f>
        <v>#REF!</v>
      </c>
      <c r="BX92" s="167" t="e">
        <f t="shared" si="152"/>
        <v>#REF!</v>
      </c>
      <c r="BY92" s="167" t="e">
        <f t="shared" si="153"/>
        <v>#REF!</v>
      </c>
      <c r="BZ92" s="167" t="e">
        <f t="shared" si="154"/>
        <v>#REF!</v>
      </c>
      <c r="CA92" s="167" t="e">
        <f t="shared" si="155"/>
        <v>#REF!</v>
      </c>
    </row>
    <row r="93" spans="1:79" s="16" customFormat="1">
      <c r="A93" s="142" t="s">
        <v>45</v>
      </c>
      <c r="B93" s="321" t="s">
        <v>392</v>
      </c>
      <c r="C93" s="196" t="s">
        <v>393</v>
      </c>
      <c r="D93" s="196" t="s">
        <v>239</v>
      </c>
      <c r="E93" s="196"/>
      <c r="F93" s="196"/>
      <c r="G93" s="145" t="s">
        <v>169</v>
      </c>
      <c r="H93" s="146" t="s">
        <v>170</v>
      </c>
      <c r="I93" s="145" t="s">
        <v>59</v>
      </c>
      <c r="J93" s="145" t="s">
        <v>185</v>
      </c>
      <c r="K93" s="147" t="str">
        <f t="shared" si="161"/>
        <v>Sq Ft</v>
      </c>
      <c r="L93" s="145">
        <v>1050</v>
      </c>
      <c r="M93" s="145">
        <v>1050</v>
      </c>
      <c r="N93" s="148">
        <f t="shared" si="156"/>
        <v>0</v>
      </c>
      <c r="O93" s="145">
        <v>1050</v>
      </c>
      <c r="P93" s="145"/>
      <c r="Q93" s="149">
        <f>406250/1050</f>
        <v>386.90476190476193</v>
      </c>
      <c r="R93" s="150" t="str">
        <f t="shared" si="132"/>
        <v>Subscribed</v>
      </c>
      <c r="S93" s="145" t="s">
        <v>123</v>
      </c>
      <c r="T93" s="146">
        <v>250</v>
      </c>
      <c r="U93" s="327">
        <f t="shared" si="162"/>
        <v>5.0595238095238093</v>
      </c>
      <c r="V93" s="232">
        <f t="shared" si="105"/>
        <v>244.9404761904762</v>
      </c>
      <c r="W93" s="146"/>
      <c r="X93" s="146">
        <f>IF(V93&lt;=0,0,(IF(R93="Rated",(V93+W93)*#REF!,(V93+W93))))</f>
        <v>244.9404761904762</v>
      </c>
      <c r="Y93" s="146">
        <f>IF(R93="Rated",T93*#REF!,T93)</f>
        <v>250</v>
      </c>
      <c r="Z93" s="231">
        <f t="shared" si="165"/>
        <v>5.0595238095238093</v>
      </c>
      <c r="AA93" s="146">
        <f t="shared" si="106"/>
        <v>0</v>
      </c>
      <c r="AB93" s="152">
        <v>0</v>
      </c>
      <c r="AC93" s="153" t="str">
        <f t="shared" si="107"/>
        <v>Metered</v>
      </c>
      <c r="AD93" s="146">
        <v>1.7</v>
      </c>
      <c r="AE93" s="146" t="s">
        <v>333</v>
      </c>
      <c r="AF93" s="154">
        <v>10.19</v>
      </c>
      <c r="AG93" s="146">
        <v>3400</v>
      </c>
      <c r="AH93" s="155"/>
      <c r="AI93" s="156"/>
      <c r="AJ93" s="146"/>
      <c r="AK93" s="146"/>
      <c r="AL93" s="146">
        <f t="shared" si="163"/>
        <v>0</v>
      </c>
      <c r="AM93" s="146"/>
      <c r="AN93" s="146"/>
      <c r="AO93" s="149">
        <f t="shared" si="164"/>
        <v>0</v>
      </c>
      <c r="AP93" s="157">
        <f t="shared" si="133"/>
        <v>406250</v>
      </c>
      <c r="AQ93" s="157">
        <f t="shared" si="134"/>
        <v>0</v>
      </c>
      <c r="AR93" s="158">
        <f t="shared" si="135"/>
        <v>58898.2</v>
      </c>
      <c r="AS93" s="157">
        <f t="shared" si="136"/>
        <v>0</v>
      </c>
      <c r="AT93" s="159">
        <f>0/12</f>
        <v>0</v>
      </c>
      <c r="AU93" s="160">
        <f t="shared" si="137"/>
        <v>465148.2</v>
      </c>
      <c r="AV93" s="160"/>
      <c r="AW93" s="161"/>
      <c r="AX93" s="162"/>
      <c r="AY93" s="163"/>
      <c r="AZ93" s="162"/>
      <c r="BA93" s="164"/>
      <c r="BB93" s="5"/>
      <c r="BC93" s="165">
        <f t="shared" si="138"/>
        <v>13289.948571428571</v>
      </c>
      <c r="BD93" s="165">
        <f t="shared" si="139"/>
        <v>1860.5928000000001</v>
      </c>
      <c r="BE93" s="165" t="e">
        <f t="shared" si="140"/>
        <v>#REF!</v>
      </c>
      <c r="BF93" s="165" t="e">
        <f t="shared" si="141"/>
        <v>#REF!</v>
      </c>
      <c r="BG93" s="165" t="e">
        <f t="shared" si="142"/>
        <v>#REF!</v>
      </c>
      <c r="BH93" s="165"/>
      <c r="BI93" s="166">
        <f t="shared" si="143"/>
        <v>465148.2</v>
      </c>
      <c r="BJ93" s="166">
        <f t="shared" si="144"/>
        <v>406250</v>
      </c>
      <c r="BK93" s="166">
        <f>IF(H93="Bundled",MIN(Y93*#REF!*(1+#REF!),BI93),AR93)</f>
        <v>58898.2</v>
      </c>
      <c r="BL93" s="167" t="e">
        <f>IF($AG93&gt;0,$AG93*#REF!*#REF!*(1+#REF!*(20/#REF!)/732),#REF!*Z93)</f>
        <v>#REF!</v>
      </c>
      <c r="BM93" s="167" t="e">
        <f>IF($AG93&gt;0,$AG93*#REF!*#REF!*(1+#REF!*(20/#REF!)/732),+#REF!*(Z93+X93))</f>
        <v>#REF!</v>
      </c>
      <c r="BN93" s="167" t="e">
        <f>IF(H93="Bundled",#REF!*Y93,#REF!*Y93*0.85)</f>
        <v>#REF!</v>
      </c>
      <c r="BO93" s="167" t="e">
        <f t="shared" si="145"/>
        <v>#REF!</v>
      </c>
      <c r="BP93" s="167" t="e">
        <f>+#REF!*Y93</f>
        <v>#REF!</v>
      </c>
      <c r="BQ93" s="167" t="e">
        <f t="shared" si="146"/>
        <v>#REF!</v>
      </c>
      <c r="BR93" s="167" t="e">
        <f t="shared" si="147"/>
        <v>#REF!</v>
      </c>
      <c r="BS93" s="167" t="e">
        <f t="shared" si="148"/>
        <v>#REF!</v>
      </c>
      <c r="BT93" s="167">
        <f t="shared" si="149"/>
        <v>250</v>
      </c>
      <c r="BU93" s="167" t="e">
        <f t="shared" si="150"/>
        <v>#REF!</v>
      </c>
      <c r="BV93" s="167" t="e">
        <f t="shared" si="151"/>
        <v>#REF!</v>
      </c>
      <c r="BW93" s="167" t="e">
        <f>IF(H93="Bundled",+(BG93-#REF!)*Y93,(AP93+AQ93)-Y93*#REF!)</f>
        <v>#REF!</v>
      </c>
      <c r="BX93" s="167" t="e">
        <f t="shared" si="152"/>
        <v>#REF!</v>
      </c>
      <c r="BY93" s="167" t="e">
        <f t="shared" si="153"/>
        <v>#REF!</v>
      </c>
      <c r="BZ93" s="167" t="e">
        <f t="shared" si="154"/>
        <v>#REF!</v>
      </c>
      <c r="CA93" s="167" t="e">
        <f t="shared" si="155"/>
        <v>#REF!</v>
      </c>
    </row>
    <row r="94" spans="1:79" s="16" customFormat="1" ht="26.1">
      <c r="A94" s="142" t="s">
        <v>45</v>
      </c>
      <c r="B94" s="321" t="s">
        <v>394</v>
      </c>
      <c r="C94" s="196" t="s">
        <v>332</v>
      </c>
      <c r="D94" s="196" t="s">
        <v>239</v>
      </c>
      <c r="E94" s="196"/>
      <c r="F94" s="196"/>
      <c r="G94" s="145" t="s">
        <v>169</v>
      </c>
      <c r="H94" s="146" t="s">
        <v>170</v>
      </c>
      <c r="I94" s="145" t="s">
        <v>59</v>
      </c>
      <c r="J94" s="145" t="s">
        <v>185</v>
      </c>
      <c r="K94" s="147" t="str">
        <f t="shared" si="161"/>
        <v>Sq Ft</v>
      </c>
      <c r="L94" s="145">
        <v>704</v>
      </c>
      <c r="M94" s="145">
        <v>704</v>
      </c>
      <c r="N94" s="148">
        <f t="shared" si="156"/>
        <v>0</v>
      </c>
      <c r="O94" s="145">
        <v>25</v>
      </c>
      <c r="P94" s="145"/>
      <c r="Q94" s="149">
        <v>41700</v>
      </c>
      <c r="R94" s="150" t="str">
        <f t="shared" si="132"/>
        <v>Subscribed</v>
      </c>
      <c r="S94" s="145" t="s">
        <v>123</v>
      </c>
      <c r="T94" s="146">
        <v>150</v>
      </c>
      <c r="U94" s="327">
        <f t="shared" si="162"/>
        <v>103.89538690476189</v>
      </c>
      <c r="V94" s="232">
        <f t="shared" si="105"/>
        <v>46.104613095238108</v>
      </c>
      <c r="W94" s="146"/>
      <c r="X94" s="146">
        <f>IF(V94&lt;=0,0,(IF(R94="Rated",(V94+W94)*#REF!,(V94+W94))))</f>
        <v>46.104613095238108</v>
      </c>
      <c r="Y94" s="146">
        <f>IF(R94="Rated",T94*#REF!,T94)</f>
        <v>150</v>
      </c>
      <c r="Z94" s="231">
        <f t="shared" si="165"/>
        <v>103.89538690476189</v>
      </c>
      <c r="AA94" s="146">
        <f t="shared" si="106"/>
        <v>0</v>
      </c>
      <c r="AB94" s="152">
        <v>0</v>
      </c>
      <c r="AC94" s="153" t="str">
        <f t="shared" si="107"/>
        <v>Metered</v>
      </c>
      <c r="AD94" s="146">
        <v>1.7</v>
      </c>
      <c r="AE94" s="146" t="s">
        <v>333</v>
      </c>
      <c r="AF94" s="154">
        <v>9.3000000000000007</v>
      </c>
      <c r="AG94" s="146">
        <v>69817.7</v>
      </c>
      <c r="AH94" s="155"/>
      <c r="AI94" s="156"/>
      <c r="AJ94" s="146"/>
      <c r="AK94" s="146"/>
      <c r="AL94" s="146">
        <f t="shared" si="163"/>
        <v>0</v>
      </c>
      <c r="AM94" s="146"/>
      <c r="AN94" s="146"/>
      <c r="AO94" s="149">
        <f t="shared" si="164"/>
        <v>0</v>
      </c>
      <c r="AP94" s="157">
        <f t="shared" si="133"/>
        <v>1042500</v>
      </c>
      <c r="AQ94" s="157">
        <f t="shared" si="134"/>
        <v>0</v>
      </c>
      <c r="AR94" s="158">
        <f t="shared" si="135"/>
        <v>1103817.8370000001</v>
      </c>
      <c r="AS94" s="157">
        <f t="shared" si="136"/>
        <v>0</v>
      </c>
      <c r="AT94" s="159">
        <f>0/12</f>
        <v>0</v>
      </c>
      <c r="AU94" s="160">
        <f t="shared" si="137"/>
        <v>2146317.8370000003</v>
      </c>
      <c r="AV94" s="160"/>
      <c r="AW94" s="161" t="s">
        <v>395</v>
      </c>
      <c r="AX94" s="162">
        <v>43850</v>
      </c>
      <c r="AY94" s="163"/>
      <c r="AZ94" s="162"/>
      <c r="BA94" s="164"/>
      <c r="BB94" s="5"/>
      <c r="BC94" s="165">
        <f t="shared" si="138"/>
        <v>91462.407826704555</v>
      </c>
      <c r="BD94" s="165">
        <f t="shared" si="139"/>
        <v>14308.785580000002</v>
      </c>
      <c r="BE94" s="165" t="e">
        <f t="shared" si="140"/>
        <v>#REF!</v>
      </c>
      <c r="BF94" s="165" t="e">
        <f t="shared" si="141"/>
        <v>#REF!</v>
      </c>
      <c r="BG94" s="165" t="e">
        <f t="shared" si="142"/>
        <v>#REF!</v>
      </c>
      <c r="BH94" s="165"/>
      <c r="BI94" s="166">
        <f t="shared" si="143"/>
        <v>2146317.8370000003</v>
      </c>
      <c r="BJ94" s="166">
        <f t="shared" si="144"/>
        <v>1042500.0000000002</v>
      </c>
      <c r="BK94" s="166">
        <f>IF(H94="Bundled",MIN(Y94*#REF!*(1+#REF!),BI94),AR94)</f>
        <v>1103817.8370000001</v>
      </c>
      <c r="BL94" s="167" t="e">
        <f>IF($AG94&gt;0,$AG94*#REF!*#REF!*(1+#REF!*(20/#REF!)/732),#REF!*Z94)</f>
        <v>#REF!</v>
      </c>
      <c r="BM94" s="167" t="e">
        <f>IF($AG94&gt;0,$AG94*#REF!*#REF!*(1+#REF!*(20/#REF!)/732),+#REF!*(Z94+X94))</f>
        <v>#REF!</v>
      </c>
      <c r="BN94" s="167" t="e">
        <f>IF(H94="Bundled",#REF!*Y94,#REF!*Y94*0.85)</f>
        <v>#REF!</v>
      </c>
      <c r="BO94" s="167" t="e">
        <f t="shared" si="145"/>
        <v>#REF!</v>
      </c>
      <c r="BP94" s="167" t="e">
        <f>+#REF!*Y94</f>
        <v>#REF!</v>
      </c>
      <c r="BQ94" s="167" t="e">
        <f t="shared" si="146"/>
        <v>#REF!</v>
      </c>
      <c r="BR94" s="167" t="e">
        <f t="shared" si="147"/>
        <v>#REF!</v>
      </c>
      <c r="BS94" s="167" t="e">
        <f t="shared" si="148"/>
        <v>#REF!</v>
      </c>
      <c r="BT94" s="167">
        <f t="shared" si="149"/>
        <v>150</v>
      </c>
      <c r="BU94" s="167" t="e">
        <f t="shared" si="150"/>
        <v>#REF!</v>
      </c>
      <c r="BV94" s="167" t="e">
        <f t="shared" si="151"/>
        <v>#REF!</v>
      </c>
      <c r="BW94" s="167" t="e">
        <f>IF(H94="Bundled",+(BG94-#REF!)*Y94,(AP94+AQ94)-Y94*#REF!)</f>
        <v>#REF!</v>
      </c>
      <c r="BX94" s="167" t="e">
        <f t="shared" si="152"/>
        <v>#REF!</v>
      </c>
      <c r="BY94" s="167" t="e">
        <f t="shared" si="153"/>
        <v>#REF!</v>
      </c>
      <c r="BZ94" s="167" t="e">
        <f t="shared" si="154"/>
        <v>#REF!</v>
      </c>
      <c r="CA94" s="167" t="e">
        <f t="shared" si="155"/>
        <v>#REF!</v>
      </c>
    </row>
    <row r="95" spans="1:79" s="16" customFormat="1">
      <c r="A95" s="142" t="s">
        <v>45</v>
      </c>
      <c r="B95" s="321" t="s">
        <v>396</v>
      </c>
      <c r="C95" s="196" t="s">
        <v>332</v>
      </c>
      <c r="D95" s="196" t="s">
        <v>239</v>
      </c>
      <c r="E95" s="196"/>
      <c r="F95" s="196"/>
      <c r="G95" s="145" t="s">
        <v>169</v>
      </c>
      <c r="H95" s="146" t="s">
        <v>170</v>
      </c>
      <c r="I95" s="145" t="s">
        <v>59</v>
      </c>
      <c r="J95" s="145" t="s">
        <v>185</v>
      </c>
      <c r="K95" s="147" t="str">
        <f t="shared" si="161"/>
        <v>Sq Ft</v>
      </c>
      <c r="L95" s="145">
        <v>352</v>
      </c>
      <c r="M95" s="145">
        <v>352</v>
      </c>
      <c r="N95" s="148">
        <f t="shared" si="156"/>
        <v>0</v>
      </c>
      <c r="O95" s="145">
        <v>10</v>
      </c>
      <c r="P95" s="145"/>
      <c r="Q95" s="149">
        <f>(0)/12</f>
        <v>0</v>
      </c>
      <c r="R95" s="150" t="str">
        <f t="shared" si="132"/>
        <v>Subscribed</v>
      </c>
      <c r="S95" s="145" t="s">
        <v>123</v>
      </c>
      <c r="T95" s="146">
        <v>60</v>
      </c>
      <c r="U95" s="327">
        <f t="shared" si="162"/>
        <v>33.923764880952383</v>
      </c>
      <c r="V95" s="232">
        <f t="shared" si="105"/>
        <v>26.076235119047617</v>
      </c>
      <c r="W95" s="146"/>
      <c r="X95" s="146">
        <f>IF(V95&lt;=0,0,(IF(R95="Rated",(V95+W95)*#REF!,(V95+W95))))</f>
        <v>26.076235119047617</v>
      </c>
      <c r="Y95" s="146">
        <f>IF(R95="Rated",T95*#REF!,T95)</f>
        <v>60</v>
      </c>
      <c r="Z95" s="231">
        <f t="shared" si="165"/>
        <v>33.923764880952383</v>
      </c>
      <c r="AA95" s="146">
        <f t="shared" si="106"/>
        <v>0</v>
      </c>
      <c r="AB95" s="152">
        <v>0</v>
      </c>
      <c r="AC95" s="153" t="str">
        <f t="shared" si="107"/>
        <v>Metered</v>
      </c>
      <c r="AD95" s="146">
        <v>1.7</v>
      </c>
      <c r="AE95" s="146" t="s">
        <v>333</v>
      </c>
      <c r="AF95" s="154">
        <v>9.3000000000000007</v>
      </c>
      <c r="AG95" s="146">
        <v>22796.77</v>
      </c>
      <c r="AH95" s="155"/>
      <c r="AI95" s="156"/>
      <c r="AJ95" s="146"/>
      <c r="AK95" s="146"/>
      <c r="AL95" s="146">
        <f t="shared" si="163"/>
        <v>0</v>
      </c>
      <c r="AM95" s="146"/>
      <c r="AN95" s="146"/>
      <c r="AO95" s="149">
        <f t="shared" si="164"/>
        <v>0</v>
      </c>
      <c r="AP95" s="157">
        <f t="shared" si="133"/>
        <v>0</v>
      </c>
      <c r="AQ95" s="157">
        <f t="shared" si="134"/>
        <v>0</v>
      </c>
      <c r="AR95" s="158">
        <f t="shared" si="135"/>
        <v>360416.93369999999</v>
      </c>
      <c r="AS95" s="157">
        <f t="shared" si="136"/>
        <v>0</v>
      </c>
      <c r="AT95" s="159">
        <f>0/12</f>
        <v>0</v>
      </c>
      <c r="AU95" s="160">
        <f t="shared" si="137"/>
        <v>360416.93369999999</v>
      </c>
      <c r="AV95" s="160"/>
      <c r="AW95" s="161"/>
      <c r="AX95" s="162"/>
      <c r="AY95" s="163"/>
      <c r="AZ95" s="162"/>
      <c r="BA95" s="164"/>
      <c r="BB95" s="5"/>
      <c r="BC95" s="165">
        <f t="shared" si="138"/>
        <v>30717.352303977274</v>
      </c>
      <c r="BD95" s="165">
        <f t="shared" si="139"/>
        <v>6006.9488949999995</v>
      </c>
      <c r="BE95" s="165" t="e">
        <f t="shared" si="140"/>
        <v>#REF!</v>
      </c>
      <c r="BF95" s="165" t="e">
        <f t="shared" si="141"/>
        <v>#REF!</v>
      </c>
      <c r="BG95" s="165" t="e">
        <f t="shared" si="142"/>
        <v>#REF!</v>
      </c>
      <c r="BH95" s="165"/>
      <c r="BI95" s="166">
        <f t="shared" si="143"/>
        <v>360416.93369999999</v>
      </c>
      <c r="BJ95" s="166">
        <f t="shared" si="144"/>
        <v>0</v>
      </c>
      <c r="BK95" s="166">
        <f>IF(H95="Bundled",MIN(Y95*#REF!*(1+#REF!),BI95),AR95)</f>
        <v>360416.93369999999</v>
      </c>
      <c r="BL95" s="167" t="e">
        <f>IF($AG95&gt;0,$AG95*#REF!*#REF!*(1+#REF!*(20/#REF!)/732),#REF!*Z95)</f>
        <v>#REF!</v>
      </c>
      <c r="BM95" s="167" t="e">
        <f>IF($AG95&gt;0,$AG95*#REF!*#REF!*(1+#REF!*(20/#REF!)/732),+#REF!*(Z95+X95))</f>
        <v>#REF!</v>
      </c>
      <c r="BN95" s="167" t="e">
        <f>IF(H95="Bundled",#REF!*Y95,#REF!*Y95*0.85)</f>
        <v>#REF!</v>
      </c>
      <c r="BO95" s="167" t="e">
        <f t="shared" si="145"/>
        <v>#REF!</v>
      </c>
      <c r="BP95" s="167" t="e">
        <f>+#REF!*Y95</f>
        <v>#REF!</v>
      </c>
      <c r="BQ95" s="167" t="e">
        <f t="shared" si="146"/>
        <v>#REF!</v>
      </c>
      <c r="BR95" s="167" t="e">
        <f t="shared" si="147"/>
        <v>#REF!</v>
      </c>
      <c r="BS95" s="167" t="e">
        <f t="shared" si="148"/>
        <v>#REF!</v>
      </c>
      <c r="BT95" s="167">
        <f t="shared" si="149"/>
        <v>60</v>
      </c>
      <c r="BU95" s="167" t="e">
        <f t="shared" si="150"/>
        <v>#REF!</v>
      </c>
      <c r="BV95" s="167" t="e">
        <f t="shared" si="151"/>
        <v>#REF!</v>
      </c>
      <c r="BW95" s="167" t="e">
        <f>IF(H95="Bundled",+(BG95-#REF!)*Y95,(AP95+AQ95)-Y95*#REF!)</f>
        <v>#REF!</v>
      </c>
      <c r="BX95" s="167" t="e">
        <f t="shared" si="152"/>
        <v>#REF!</v>
      </c>
      <c r="BY95" s="167" t="e">
        <f t="shared" si="153"/>
        <v>#REF!</v>
      </c>
      <c r="BZ95" s="167" t="e">
        <f t="shared" si="154"/>
        <v>#REF!</v>
      </c>
      <c r="CA95" s="167" t="e">
        <f t="shared" si="155"/>
        <v>#REF!</v>
      </c>
    </row>
    <row r="96" spans="1:79" s="16" customFormat="1" ht="26.1">
      <c r="A96" s="142" t="s">
        <v>45</v>
      </c>
      <c r="B96" s="321" t="s">
        <v>397</v>
      </c>
      <c r="C96" s="196" t="s">
        <v>398</v>
      </c>
      <c r="D96" s="196" t="s">
        <v>235</v>
      </c>
      <c r="E96" s="196"/>
      <c r="F96" s="196"/>
      <c r="G96" s="145" t="s">
        <v>169</v>
      </c>
      <c r="H96" s="146" t="s">
        <v>131</v>
      </c>
      <c r="I96" s="145" t="s">
        <v>132</v>
      </c>
      <c r="J96" s="145" t="s">
        <v>133</v>
      </c>
      <c r="K96" s="147" t="str">
        <f t="shared" si="161"/>
        <v>No of Racks</v>
      </c>
      <c r="L96" s="145">
        <v>2</v>
      </c>
      <c r="M96" s="145">
        <v>2</v>
      </c>
      <c r="N96" s="148">
        <f t="shared" si="156"/>
        <v>0</v>
      </c>
      <c r="O96" s="145">
        <v>2</v>
      </c>
      <c r="P96" s="145"/>
      <c r="Q96" s="149">
        <f>(1550*70)</f>
        <v>108500</v>
      </c>
      <c r="R96" s="150" t="str">
        <f t="shared" si="132"/>
        <v>Subscribed</v>
      </c>
      <c r="S96" s="145" t="s">
        <v>123</v>
      </c>
      <c r="T96" s="146">
        <v>12</v>
      </c>
      <c r="U96" s="327">
        <f t="shared" si="162"/>
        <v>10.894255952380952</v>
      </c>
      <c r="V96" s="232">
        <f t="shared" si="105"/>
        <v>1.1057440476190479</v>
      </c>
      <c r="W96" s="146"/>
      <c r="X96" s="146">
        <f>IF(V96&lt;=0,0,(IF(R96="Rated",(V96+W96)*#REF!,(V96+W96))))</f>
        <v>1.1057440476190479</v>
      </c>
      <c r="Y96" s="146">
        <f>IF(R96="Rated",T96*#REF!,T96)</f>
        <v>12</v>
      </c>
      <c r="Z96" s="231">
        <f t="shared" si="165"/>
        <v>10.894255952380952</v>
      </c>
      <c r="AA96" s="146">
        <f t="shared" si="106"/>
        <v>0</v>
      </c>
      <c r="AB96" s="152">
        <f>0/12</f>
        <v>0</v>
      </c>
      <c r="AC96" s="153" t="str">
        <f t="shared" si="107"/>
        <v>Bundled</v>
      </c>
      <c r="AD96" s="146">
        <v>1</v>
      </c>
      <c r="AE96" s="146" t="s">
        <v>171</v>
      </c>
      <c r="AF96" s="154">
        <v>0</v>
      </c>
      <c r="AG96" s="146">
        <v>7320.94</v>
      </c>
      <c r="AH96" s="155"/>
      <c r="AI96" s="156"/>
      <c r="AJ96" s="146"/>
      <c r="AK96" s="146"/>
      <c r="AL96" s="146">
        <f t="shared" si="163"/>
        <v>0</v>
      </c>
      <c r="AM96" s="146"/>
      <c r="AN96" s="146"/>
      <c r="AO96" s="149">
        <f t="shared" si="164"/>
        <v>0</v>
      </c>
      <c r="AP96" s="157">
        <f t="shared" si="133"/>
        <v>217000</v>
      </c>
      <c r="AQ96" s="157">
        <f t="shared" si="134"/>
        <v>0</v>
      </c>
      <c r="AR96" s="158">
        <f t="shared" si="135"/>
        <v>0</v>
      </c>
      <c r="AS96" s="157">
        <f t="shared" si="136"/>
        <v>0</v>
      </c>
      <c r="AT96" s="159">
        <f>((600+750)*70)/12</f>
        <v>7875</v>
      </c>
      <c r="AU96" s="160">
        <f t="shared" si="137"/>
        <v>224875</v>
      </c>
      <c r="AV96" s="160"/>
      <c r="AW96" s="161" t="s">
        <v>399</v>
      </c>
      <c r="AX96" s="162">
        <v>43910</v>
      </c>
      <c r="AY96" s="163"/>
      <c r="AZ96" s="162"/>
      <c r="BA96" s="164"/>
      <c r="BB96" s="5"/>
      <c r="BC96" s="165">
        <f t="shared" si="138"/>
        <v>112437.5</v>
      </c>
      <c r="BD96" s="165">
        <f t="shared" si="139"/>
        <v>18739.583333333332</v>
      </c>
      <c r="BE96" s="165" t="e">
        <f t="shared" si="140"/>
        <v>#REF!</v>
      </c>
      <c r="BF96" s="165" t="e">
        <f t="shared" si="141"/>
        <v>#REF!</v>
      </c>
      <c r="BG96" s="165" t="e">
        <f t="shared" si="142"/>
        <v>#REF!</v>
      </c>
      <c r="BH96" s="165"/>
      <c r="BI96" s="166">
        <f t="shared" si="143"/>
        <v>217000</v>
      </c>
      <c r="BJ96" s="166" t="e">
        <f t="shared" si="144"/>
        <v>#REF!</v>
      </c>
      <c r="BK96" s="166" t="e">
        <f>IF(H96="Bundled",MIN(Y96*#REF!*(1+#REF!),BI96),AR96)</f>
        <v>#REF!</v>
      </c>
      <c r="BL96" s="167" t="e">
        <f>IF($AG96&gt;0,$AG96*#REF!*#REF!*(1+#REF!*(20/#REF!)/732),#REF!*Z96)</f>
        <v>#REF!</v>
      </c>
      <c r="BM96" s="167" t="e">
        <f>IF($AG96&gt;0,$AG96*#REF!*#REF!*(1+#REF!*(20/#REF!)/732),+#REF!*(Z96+X96))</f>
        <v>#REF!</v>
      </c>
      <c r="BN96" s="167" t="e">
        <f>IF(H96="Bundled",#REF!*Y96,#REF!*Y96*0.85)</f>
        <v>#REF!</v>
      </c>
      <c r="BO96" s="167" t="e">
        <f t="shared" si="145"/>
        <v>#REF!</v>
      </c>
      <c r="BP96" s="167" t="e">
        <f>+#REF!*Y96</f>
        <v>#REF!</v>
      </c>
      <c r="BQ96" s="167" t="e">
        <f t="shared" si="146"/>
        <v>#REF!</v>
      </c>
      <c r="BR96" s="167" t="e">
        <f t="shared" si="147"/>
        <v>#REF!</v>
      </c>
      <c r="BS96" s="167" t="e">
        <f t="shared" si="148"/>
        <v>#REF!</v>
      </c>
      <c r="BT96" s="167">
        <f t="shared" si="149"/>
        <v>12</v>
      </c>
      <c r="BU96" s="167" t="e">
        <f t="shared" si="150"/>
        <v>#REF!</v>
      </c>
      <c r="BV96" s="167" t="e">
        <f t="shared" si="151"/>
        <v>#REF!</v>
      </c>
      <c r="BW96" s="167" t="e">
        <f>IF(H96="Bundled",+(BG96-#REF!)*Y96,(AP96+AQ96)-Y96*#REF!)</f>
        <v>#REF!</v>
      </c>
      <c r="BX96" s="167" t="e">
        <f t="shared" si="152"/>
        <v>#REF!</v>
      </c>
      <c r="BY96" s="167" t="e">
        <f t="shared" si="153"/>
        <v>#REF!</v>
      </c>
      <c r="BZ96" s="167" t="e">
        <f t="shared" si="154"/>
        <v>#REF!</v>
      </c>
      <c r="CA96" s="167" t="e">
        <f t="shared" si="155"/>
        <v>#REF!</v>
      </c>
    </row>
    <row r="97" spans="1:79" s="16" customFormat="1" ht="26.1">
      <c r="A97" s="142" t="s">
        <v>45</v>
      </c>
      <c r="B97" s="321" t="s">
        <v>400</v>
      </c>
      <c r="C97" s="196" t="s">
        <v>401</v>
      </c>
      <c r="D97" s="196" t="s">
        <v>235</v>
      </c>
      <c r="E97" s="196"/>
      <c r="F97" s="196"/>
      <c r="G97" s="145" t="s">
        <v>169</v>
      </c>
      <c r="H97" s="146" t="s">
        <v>170</v>
      </c>
      <c r="I97" s="145" t="s">
        <v>132</v>
      </c>
      <c r="J97" s="145" t="s">
        <v>133</v>
      </c>
      <c r="K97" s="147" t="str">
        <f t="shared" si="161"/>
        <v>No of Racks</v>
      </c>
      <c r="L97" s="145">
        <v>5</v>
      </c>
      <c r="M97" s="145">
        <v>5</v>
      </c>
      <c r="N97" s="148">
        <f t="shared" si="156"/>
        <v>0</v>
      </c>
      <c r="O97" s="145">
        <v>5</v>
      </c>
      <c r="P97" s="145"/>
      <c r="Q97" s="149">
        <f>61344</f>
        <v>61344</v>
      </c>
      <c r="R97" s="150" t="str">
        <f t="shared" si="132"/>
        <v>Subscribed</v>
      </c>
      <c r="S97" s="145" t="s">
        <v>123</v>
      </c>
      <c r="T97" s="146">
        <v>40</v>
      </c>
      <c r="U97" s="327">
        <f t="shared" si="162"/>
        <v>29.170758928571431</v>
      </c>
      <c r="V97" s="232">
        <f t="shared" si="105"/>
        <v>10.829241071428569</v>
      </c>
      <c r="W97" s="146"/>
      <c r="X97" s="146">
        <f>IF(V97&lt;=0,0,(IF(R97="Rated",(V97+W97)*#REF!,(V97+W97))))</f>
        <v>10.829241071428569</v>
      </c>
      <c r="Y97" s="146">
        <f>IF(R97="Rated",T97*#REF!,T97)</f>
        <v>40</v>
      </c>
      <c r="Z97" s="231">
        <f t="shared" si="165"/>
        <v>29.170758928571431</v>
      </c>
      <c r="AA97" s="146">
        <f t="shared" si="106"/>
        <v>0</v>
      </c>
      <c r="AB97" s="152">
        <f>0/12</f>
        <v>0</v>
      </c>
      <c r="AC97" s="153" t="str">
        <f t="shared" si="107"/>
        <v>Metered</v>
      </c>
      <c r="AD97" s="146">
        <v>1</v>
      </c>
      <c r="AE97" s="146" t="s">
        <v>171</v>
      </c>
      <c r="AF97" s="154">
        <v>18.38</v>
      </c>
      <c r="AG97" s="146">
        <v>19602.75</v>
      </c>
      <c r="AH97" s="155"/>
      <c r="AI97" s="156"/>
      <c r="AJ97" s="146"/>
      <c r="AK97" s="146"/>
      <c r="AL97" s="146">
        <f t="shared" si="163"/>
        <v>0</v>
      </c>
      <c r="AM97" s="146"/>
      <c r="AN97" s="146"/>
      <c r="AO97" s="149">
        <f t="shared" si="164"/>
        <v>0</v>
      </c>
      <c r="AP97" s="157">
        <f t="shared" si="133"/>
        <v>306720</v>
      </c>
      <c r="AQ97" s="157">
        <f t="shared" si="134"/>
        <v>0</v>
      </c>
      <c r="AR97" s="158">
        <f t="shared" si="135"/>
        <v>360298.54499999998</v>
      </c>
      <c r="AS97" s="157">
        <f t="shared" si="136"/>
        <v>0</v>
      </c>
      <c r="AT97" s="159">
        <f>(536760+39874)/12</f>
        <v>48052.833333333336</v>
      </c>
      <c r="AU97" s="160">
        <f t="shared" si="137"/>
        <v>715071.3783333333</v>
      </c>
      <c r="AV97" s="160"/>
      <c r="AW97" s="161" t="s">
        <v>402</v>
      </c>
      <c r="AX97" s="162">
        <v>43812</v>
      </c>
      <c r="AY97" s="163"/>
      <c r="AZ97" s="162"/>
      <c r="BA97" s="164"/>
      <c r="BB97" s="5"/>
      <c r="BC97" s="165">
        <f t="shared" si="138"/>
        <v>143014.27566666665</v>
      </c>
      <c r="BD97" s="165">
        <f t="shared" si="139"/>
        <v>17876.784458333332</v>
      </c>
      <c r="BE97" s="165" t="e">
        <f t="shared" si="140"/>
        <v>#REF!</v>
      </c>
      <c r="BF97" s="165" t="e">
        <f t="shared" si="141"/>
        <v>#REF!</v>
      </c>
      <c r="BG97" s="165" t="e">
        <f t="shared" si="142"/>
        <v>#REF!</v>
      </c>
      <c r="BH97" s="165"/>
      <c r="BI97" s="166">
        <f t="shared" si="143"/>
        <v>667018.54499999993</v>
      </c>
      <c r="BJ97" s="166">
        <f t="shared" si="144"/>
        <v>306719.99999999994</v>
      </c>
      <c r="BK97" s="166">
        <f>IF(H97="Bundled",MIN(Y97*#REF!*(1+#REF!),BI97),AR97)</f>
        <v>360298.54499999998</v>
      </c>
      <c r="BL97" s="167" t="e">
        <f>IF($AG97&gt;0,$AG97*#REF!*#REF!*(1+#REF!*(20/#REF!)/732),#REF!*Z97)</f>
        <v>#REF!</v>
      </c>
      <c r="BM97" s="167" t="e">
        <f>IF($AG97&gt;0,$AG97*#REF!*#REF!*(1+#REF!*(20/#REF!)/732),+#REF!*(Z97+X97))</f>
        <v>#REF!</v>
      </c>
      <c r="BN97" s="167" t="e">
        <f>IF(H97="Bundled",#REF!*Y97,#REF!*Y97*0.85)</f>
        <v>#REF!</v>
      </c>
      <c r="BO97" s="167" t="e">
        <f t="shared" si="145"/>
        <v>#REF!</v>
      </c>
      <c r="BP97" s="167" t="e">
        <f>+#REF!*Y97</f>
        <v>#REF!</v>
      </c>
      <c r="BQ97" s="167" t="e">
        <f t="shared" si="146"/>
        <v>#REF!</v>
      </c>
      <c r="BR97" s="167" t="e">
        <f t="shared" si="147"/>
        <v>#REF!</v>
      </c>
      <c r="BS97" s="167" t="e">
        <f t="shared" si="148"/>
        <v>#REF!</v>
      </c>
      <c r="BT97" s="167">
        <f t="shared" si="149"/>
        <v>40</v>
      </c>
      <c r="BU97" s="167" t="e">
        <f t="shared" si="150"/>
        <v>#REF!</v>
      </c>
      <c r="BV97" s="167" t="e">
        <f t="shared" si="151"/>
        <v>#REF!</v>
      </c>
      <c r="BW97" s="167" t="e">
        <f>IF(H97="Bundled",+(BG97-#REF!)*Y97,(AP97+AQ97)-Y97*#REF!)</f>
        <v>#REF!</v>
      </c>
      <c r="BX97" s="167" t="e">
        <f t="shared" si="152"/>
        <v>#REF!</v>
      </c>
      <c r="BY97" s="167" t="e">
        <f t="shared" si="153"/>
        <v>#REF!</v>
      </c>
      <c r="BZ97" s="167" t="e">
        <f t="shared" si="154"/>
        <v>#REF!</v>
      </c>
      <c r="CA97" s="167" t="e">
        <f t="shared" si="155"/>
        <v>#REF!</v>
      </c>
    </row>
    <row r="98" spans="1:79" s="16" customFormat="1">
      <c r="A98" s="142" t="s">
        <v>45</v>
      </c>
      <c r="B98" s="321" t="s">
        <v>403</v>
      </c>
      <c r="C98" s="168" t="s">
        <v>404</v>
      </c>
      <c r="D98" s="168" t="s">
        <v>239</v>
      </c>
      <c r="E98" s="168"/>
      <c r="F98" s="168"/>
      <c r="G98" s="145" t="s">
        <v>130</v>
      </c>
      <c r="H98" s="146" t="s">
        <v>131</v>
      </c>
      <c r="I98" s="145" t="s">
        <v>132</v>
      </c>
      <c r="J98" s="145" t="s">
        <v>133</v>
      </c>
      <c r="K98" s="147" t="str">
        <f t="shared" si="161"/>
        <v>No of Racks</v>
      </c>
      <c r="L98" s="145">
        <v>1</v>
      </c>
      <c r="M98" s="145">
        <v>1</v>
      </c>
      <c r="N98" s="148">
        <f t="shared" si="156"/>
        <v>0</v>
      </c>
      <c r="O98" s="145">
        <v>1</v>
      </c>
      <c r="P98" s="145"/>
      <c r="Q98" s="149">
        <f>(420000)/12</f>
        <v>35000</v>
      </c>
      <c r="R98" s="150" t="str">
        <f t="shared" si="132"/>
        <v>Rated</v>
      </c>
      <c r="S98" s="145" t="s">
        <v>134</v>
      </c>
      <c r="T98" s="146">
        <v>3</v>
      </c>
      <c r="U98" s="151">
        <v>6.38</v>
      </c>
      <c r="V98" s="232">
        <f t="shared" si="105"/>
        <v>-3.38</v>
      </c>
      <c r="W98" s="146"/>
      <c r="X98" s="146">
        <f>IF(V98&lt;=0,0,(IF(R98="Rated",(V98+W98)*#REF!,(V98+W98))))</f>
        <v>0</v>
      </c>
      <c r="Y98" s="146" t="e">
        <f>IF(R98="Rated",T98*#REF!,T98)</f>
        <v>#REF!</v>
      </c>
      <c r="Z98" s="231">
        <f t="shared" si="165"/>
        <v>2.2955654761904758</v>
      </c>
      <c r="AA98" s="146">
        <f t="shared" si="106"/>
        <v>3.38</v>
      </c>
      <c r="AB98" s="152">
        <f>90000/12</f>
        <v>7500</v>
      </c>
      <c r="AC98" s="153" t="str">
        <f t="shared" si="107"/>
        <v>Bundled</v>
      </c>
      <c r="AD98" s="146"/>
      <c r="AE98" s="146"/>
      <c r="AF98" s="154"/>
      <c r="AG98" s="146">
        <v>1542.62</v>
      </c>
      <c r="AH98" s="155"/>
      <c r="AI98" s="156"/>
      <c r="AJ98" s="146"/>
      <c r="AK98" s="146"/>
      <c r="AL98" s="146">
        <f t="shared" si="163"/>
        <v>0</v>
      </c>
      <c r="AM98" s="146"/>
      <c r="AN98" s="146"/>
      <c r="AO98" s="149">
        <f t="shared" si="164"/>
        <v>0</v>
      </c>
      <c r="AP98" s="157">
        <f t="shared" si="133"/>
        <v>35000</v>
      </c>
      <c r="AQ98" s="157">
        <f t="shared" si="134"/>
        <v>25350</v>
      </c>
      <c r="AR98" s="158">
        <f t="shared" si="135"/>
        <v>0</v>
      </c>
      <c r="AS98" s="157">
        <f t="shared" si="136"/>
        <v>0</v>
      </c>
      <c r="AT98" s="159">
        <f>(30000+5000)/12</f>
        <v>2916.6666666666665</v>
      </c>
      <c r="AU98" s="160">
        <f t="shared" si="137"/>
        <v>63266.666666666664</v>
      </c>
      <c r="AV98" s="160"/>
      <c r="AW98" s="161">
        <v>121000866</v>
      </c>
      <c r="AX98" s="162">
        <v>43885</v>
      </c>
      <c r="AY98" s="163">
        <v>1</v>
      </c>
      <c r="AZ98" s="162">
        <v>44250</v>
      </c>
      <c r="BA98" s="164"/>
      <c r="BB98" s="5"/>
      <c r="BC98" s="165">
        <f t="shared" si="138"/>
        <v>63266.666666666664</v>
      </c>
      <c r="BD98" s="165" t="e">
        <f t="shared" si="139"/>
        <v>#REF!</v>
      </c>
      <c r="BE98" s="165" t="e">
        <f t="shared" si="140"/>
        <v>#REF!</v>
      </c>
      <c r="BF98" s="165" t="e">
        <f t="shared" si="141"/>
        <v>#REF!</v>
      </c>
      <c r="BG98" s="165" t="e">
        <f t="shared" si="142"/>
        <v>#REF!</v>
      </c>
      <c r="BH98" s="165"/>
      <c r="BI98" s="166">
        <f t="shared" si="143"/>
        <v>60350</v>
      </c>
      <c r="BJ98" s="166" t="e">
        <f t="shared" si="144"/>
        <v>#REF!</v>
      </c>
      <c r="BK98" s="166" t="e">
        <f>IF(H98="Bundled",MIN(Y98*#REF!*(1+#REF!),BI98),AR98)</f>
        <v>#REF!</v>
      </c>
      <c r="BL98" s="167" t="e">
        <f>IF($AG98&gt;0,$AG98*#REF!*#REF!*(1+#REF!*(20/#REF!)/732),#REF!*Z98)</f>
        <v>#REF!</v>
      </c>
      <c r="BM98" s="167" t="e">
        <f>IF($AG98&gt;0,$AG98*#REF!*#REF!*(1+#REF!*(20/#REF!)/732),+#REF!*(Z98+X98))</f>
        <v>#REF!</v>
      </c>
      <c r="BN98" s="167" t="e">
        <f>IF(H98="Bundled",#REF!*Y98,#REF!*Y98*0.85)</f>
        <v>#REF!</v>
      </c>
      <c r="BO98" s="167" t="e">
        <f t="shared" si="145"/>
        <v>#REF!</v>
      </c>
      <c r="BP98" s="167" t="e">
        <f>+#REF!*Y98</f>
        <v>#REF!</v>
      </c>
      <c r="BQ98" s="167" t="e">
        <f t="shared" si="146"/>
        <v>#REF!</v>
      </c>
      <c r="BR98" s="167" t="e">
        <f t="shared" si="147"/>
        <v>#REF!</v>
      </c>
      <c r="BS98" s="167" t="e">
        <f t="shared" si="148"/>
        <v>#REF!</v>
      </c>
      <c r="BT98" s="167" t="e">
        <f t="shared" si="149"/>
        <v>#REF!</v>
      </c>
      <c r="BU98" s="167" t="e">
        <f t="shared" si="150"/>
        <v>#REF!</v>
      </c>
      <c r="BV98" s="167" t="e">
        <f t="shared" si="151"/>
        <v>#REF!</v>
      </c>
      <c r="BW98" s="167" t="e">
        <f>IF(H98="Bundled",+(BG98-#REF!)*Y98,(AP98+AQ98)-Y98*#REF!)</f>
        <v>#REF!</v>
      </c>
      <c r="BX98" s="167" t="e">
        <f t="shared" si="152"/>
        <v>#REF!</v>
      </c>
      <c r="BY98" s="167" t="e">
        <f t="shared" si="153"/>
        <v>#REF!</v>
      </c>
      <c r="BZ98" s="167" t="e">
        <f t="shared" si="154"/>
        <v>#REF!</v>
      </c>
      <c r="CA98" s="167" t="e">
        <f t="shared" si="155"/>
        <v>#REF!</v>
      </c>
    </row>
    <row r="99" spans="1:79" s="16" customFormat="1">
      <c r="A99" s="142" t="s">
        <v>45</v>
      </c>
      <c r="B99" s="321" t="s">
        <v>405</v>
      </c>
      <c r="C99" s="168" t="s">
        <v>406</v>
      </c>
      <c r="D99" s="168" t="s">
        <v>235</v>
      </c>
      <c r="E99" s="168"/>
      <c r="F99" s="168"/>
      <c r="G99" s="145" t="s">
        <v>169</v>
      </c>
      <c r="H99" s="146" t="s">
        <v>131</v>
      </c>
      <c r="I99" s="145" t="s">
        <v>132</v>
      </c>
      <c r="J99" s="145" t="s">
        <v>133</v>
      </c>
      <c r="K99" s="147" t="str">
        <f t="shared" si="161"/>
        <v>No of Racks</v>
      </c>
      <c r="L99" s="145">
        <v>2</v>
      </c>
      <c r="M99" s="145">
        <v>2</v>
      </c>
      <c r="N99" s="148">
        <f t="shared" si="156"/>
        <v>0</v>
      </c>
      <c r="O99" s="145">
        <v>2</v>
      </c>
      <c r="P99" s="145"/>
      <c r="Q99" s="149"/>
      <c r="R99" s="150" t="str">
        <f t="shared" si="132"/>
        <v>Subscribed</v>
      </c>
      <c r="S99" s="145" t="s">
        <v>134</v>
      </c>
      <c r="T99" s="146">
        <v>8</v>
      </c>
      <c r="U99" s="327">
        <f>Z99</f>
        <v>7.554598214285714</v>
      </c>
      <c r="V99" s="232">
        <f t="shared" si="105"/>
        <v>0.44540178571428601</v>
      </c>
      <c r="W99" s="146"/>
      <c r="X99" s="146">
        <f>IF(V99&lt;=0,0,(IF(R99="Rated",(V99+W99)*#REF!,(V99+W99))))</f>
        <v>0.44540178571428601</v>
      </c>
      <c r="Y99" s="146">
        <f>IF(R99="Rated",T99*#REF!,T99)</f>
        <v>8</v>
      </c>
      <c r="Z99" s="231">
        <f t="shared" si="165"/>
        <v>7.554598214285714</v>
      </c>
      <c r="AA99" s="146"/>
      <c r="AB99" s="152">
        <f>90000/12</f>
        <v>7500</v>
      </c>
      <c r="AC99" s="153" t="str">
        <f t="shared" si="107"/>
        <v>Bundled</v>
      </c>
      <c r="AD99" s="146"/>
      <c r="AE99" s="146"/>
      <c r="AF99" s="154"/>
      <c r="AG99" s="146">
        <v>5076.6899999999996</v>
      </c>
      <c r="AH99" s="155"/>
      <c r="AI99" s="156"/>
      <c r="AJ99" s="146"/>
      <c r="AK99" s="146"/>
      <c r="AL99" s="146">
        <f t="shared" si="163"/>
        <v>0</v>
      </c>
      <c r="AM99" s="146"/>
      <c r="AN99" s="146"/>
      <c r="AO99" s="149">
        <f t="shared" si="164"/>
        <v>0</v>
      </c>
      <c r="AP99" s="157">
        <f t="shared" si="133"/>
        <v>0</v>
      </c>
      <c r="AQ99" s="157">
        <f t="shared" si="134"/>
        <v>0</v>
      </c>
      <c r="AR99" s="158">
        <f t="shared" si="135"/>
        <v>0</v>
      </c>
      <c r="AS99" s="157">
        <f t="shared" si="136"/>
        <v>0</v>
      </c>
      <c r="AT99" s="159">
        <f>(30000+5000)/12</f>
        <v>2916.6666666666665</v>
      </c>
      <c r="AU99" s="160">
        <f t="shared" si="137"/>
        <v>2916.6666666666665</v>
      </c>
      <c r="AV99" s="160"/>
      <c r="AW99" s="161">
        <v>121000866</v>
      </c>
      <c r="AX99" s="162">
        <v>43885</v>
      </c>
      <c r="AY99" s="163">
        <v>1</v>
      </c>
      <c r="AZ99" s="162">
        <v>44250</v>
      </c>
      <c r="BA99" s="164"/>
      <c r="BB99" s="5"/>
      <c r="BC99" s="165">
        <f t="shared" si="138"/>
        <v>1458.3333333333333</v>
      </c>
      <c r="BD99" s="165">
        <f t="shared" si="139"/>
        <v>364.58333333333331</v>
      </c>
      <c r="BE99" s="165" t="e">
        <f t="shared" si="140"/>
        <v>#REF!</v>
      </c>
      <c r="BF99" s="165" t="e">
        <f t="shared" si="141"/>
        <v>#REF!</v>
      </c>
      <c r="BG99" s="165" t="e">
        <f t="shared" si="142"/>
        <v>#REF!</v>
      </c>
      <c r="BH99" s="165"/>
      <c r="BI99" s="166">
        <f t="shared" si="143"/>
        <v>0</v>
      </c>
      <c r="BJ99" s="166" t="e">
        <f t="shared" si="144"/>
        <v>#REF!</v>
      </c>
      <c r="BK99" s="166" t="e">
        <f>IF(H99="Bundled",MIN(Y99*#REF!*(1+#REF!),BI99),AR99)</f>
        <v>#REF!</v>
      </c>
      <c r="BL99" s="167" t="e">
        <f>IF($AG99&gt;0,$AG99*#REF!*#REF!*(1+#REF!*(20/#REF!)/732),#REF!*Z99)</f>
        <v>#REF!</v>
      </c>
      <c r="BM99" s="167" t="e">
        <f>IF($AG99&gt;0,$AG99*#REF!*#REF!*(1+#REF!*(20/#REF!)/732),+#REF!*(Z99+X99))</f>
        <v>#REF!</v>
      </c>
      <c r="BN99" s="167" t="e">
        <f>IF(H99="Bundled",#REF!*Y99,#REF!*Y99*0.85)</f>
        <v>#REF!</v>
      </c>
      <c r="BO99" s="167" t="e">
        <f t="shared" si="145"/>
        <v>#REF!</v>
      </c>
      <c r="BP99" s="167" t="e">
        <f>+#REF!*Y99</f>
        <v>#REF!</v>
      </c>
      <c r="BQ99" s="167" t="e">
        <f t="shared" si="146"/>
        <v>#REF!</v>
      </c>
      <c r="BR99" s="167" t="e">
        <f t="shared" si="147"/>
        <v>#REF!</v>
      </c>
      <c r="BS99" s="167" t="e">
        <f t="shared" si="148"/>
        <v>#REF!</v>
      </c>
      <c r="BT99" s="167">
        <f t="shared" si="149"/>
        <v>8</v>
      </c>
      <c r="BU99" s="167" t="e">
        <f t="shared" si="150"/>
        <v>#REF!</v>
      </c>
      <c r="BV99" s="167" t="e">
        <f t="shared" si="151"/>
        <v>#REF!</v>
      </c>
      <c r="BW99" s="167" t="e">
        <f>IF(H99="Bundled",+(BG99-#REF!)*Y99,(AP99+AQ99)-Y99*#REF!)</f>
        <v>#REF!</v>
      </c>
      <c r="BX99" s="167" t="e">
        <f t="shared" si="152"/>
        <v>#REF!</v>
      </c>
      <c r="BY99" s="167" t="e">
        <f t="shared" si="153"/>
        <v>#REF!</v>
      </c>
      <c r="BZ99" s="167" t="e">
        <f t="shared" si="154"/>
        <v>#REF!</v>
      </c>
      <c r="CA99" s="167" t="e">
        <f t="shared" si="155"/>
        <v>#REF!</v>
      </c>
    </row>
    <row r="100" spans="1:79" s="16" customFormat="1" ht="26.1">
      <c r="A100" s="142" t="s">
        <v>45</v>
      </c>
      <c r="B100" s="321" t="s">
        <v>407</v>
      </c>
      <c r="C100" s="199" t="s">
        <v>408</v>
      </c>
      <c r="D100" s="144" t="s">
        <v>239</v>
      </c>
      <c r="E100" s="144"/>
      <c r="F100" s="144"/>
      <c r="G100" s="145" t="s">
        <v>130</v>
      </c>
      <c r="H100" s="146" t="s">
        <v>131</v>
      </c>
      <c r="I100" s="145" t="s">
        <v>132</v>
      </c>
      <c r="J100" s="145" t="s">
        <v>133</v>
      </c>
      <c r="K100" s="147" t="str">
        <f t="shared" si="161"/>
        <v>No of Racks</v>
      </c>
      <c r="L100" s="145">
        <v>1</v>
      </c>
      <c r="M100" s="145">
        <v>1</v>
      </c>
      <c r="N100" s="148">
        <f t="shared" si="156"/>
        <v>0</v>
      </c>
      <c r="O100" s="145">
        <v>1</v>
      </c>
      <c r="P100" s="145"/>
      <c r="Q100" s="149">
        <f>(785000)/12</f>
        <v>65416.666666666664</v>
      </c>
      <c r="R100" s="150" t="str">
        <f t="shared" si="132"/>
        <v>Rated</v>
      </c>
      <c r="S100" s="145" t="s">
        <v>134</v>
      </c>
      <c r="T100" s="146">
        <v>6</v>
      </c>
      <c r="U100" s="151">
        <v>7.79</v>
      </c>
      <c r="V100" s="232">
        <f t="shared" si="105"/>
        <v>-1.79</v>
      </c>
      <c r="W100" s="146"/>
      <c r="X100" s="146">
        <f>IF(V100&lt;=0,0,(IF(R100="Rated",(V100+W100)*#REF!,(V100+W100))))</f>
        <v>0</v>
      </c>
      <c r="Y100" s="146" t="e">
        <f>IF(R100="Rated",T100*#REF!,T100)</f>
        <v>#REF!</v>
      </c>
      <c r="Z100" s="231">
        <f t="shared" si="165"/>
        <v>2.0413988095238094</v>
      </c>
      <c r="AA100" s="146">
        <f>IF((V100*-1)&gt;0, (V100*-1), 0)</f>
        <v>1.79</v>
      </c>
      <c r="AB100" s="152">
        <f>90000/12</f>
        <v>7500</v>
      </c>
      <c r="AC100" s="153" t="str">
        <f t="shared" si="107"/>
        <v>Bundled</v>
      </c>
      <c r="AD100" s="146"/>
      <c r="AE100" s="146"/>
      <c r="AF100" s="154"/>
      <c r="AG100" s="146">
        <v>1371.82</v>
      </c>
      <c r="AH100" s="155"/>
      <c r="AI100" s="156"/>
      <c r="AJ100" s="146"/>
      <c r="AK100" s="146"/>
      <c r="AL100" s="146">
        <f t="shared" si="163"/>
        <v>0</v>
      </c>
      <c r="AM100" s="146"/>
      <c r="AN100" s="146"/>
      <c r="AO100" s="149">
        <f t="shared" si="164"/>
        <v>0</v>
      </c>
      <c r="AP100" s="157">
        <f t="shared" si="133"/>
        <v>65416.666666666664</v>
      </c>
      <c r="AQ100" s="157">
        <f t="shared" si="134"/>
        <v>13425</v>
      </c>
      <c r="AR100" s="158">
        <f t="shared" si="135"/>
        <v>0</v>
      </c>
      <c r="AS100" s="157">
        <f t="shared" si="136"/>
        <v>0</v>
      </c>
      <c r="AT100" s="159">
        <f>(30000)/12</f>
        <v>2500</v>
      </c>
      <c r="AU100" s="160">
        <f t="shared" si="137"/>
        <v>81341.666666666657</v>
      </c>
      <c r="AV100" s="160"/>
      <c r="AW100" s="161">
        <v>121001006</v>
      </c>
      <c r="AX100" s="162">
        <v>43862</v>
      </c>
      <c r="AY100" s="163">
        <v>3</v>
      </c>
      <c r="AZ100" s="162">
        <v>44957</v>
      </c>
      <c r="BA100" s="164"/>
      <c r="BB100" s="5"/>
      <c r="BC100" s="165">
        <f t="shared" si="138"/>
        <v>81341.666666666657</v>
      </c>
      <c r="BD100" s="165" t="e">
        <f t="shared" si="139"/>
        <v>#REF!</v>
      </c>
      <c r="BE100" s="165" t="e">
        <f t="shared" si="140"/>
        <v>#REF!</v>
      </c>
      <c r="BF100" s="165" t="e">
        <f t="shared" si="141"/>
        <v>#REF!</v>
      </c>
      <c r="BG100" s="165" t="e">
        <f t="shared" si="142"/>
        <v>#REF!</v>
      </c>
      <c r="BH100" s="165"/>
      <c r="BI100" s="166">
        <f t="shared" si="143"/>
        <v>78841.666666666657</v>
      </c>
      <c r="BJ100" s="166" t="e">
        <f t="shared" si="144"/>
        <v>#REF!</v>
      </c>
      <c r="BK100" s="166" t="e">
        <f>IF(H100="Bundled",MIN(Y100*#REF!*(1+#REF!),BI100),AR100)</f>
        <v>#REF!</v>
      </c>
      <c r="BL100" s="167" t="e">
        <f>IF($AG100&gt;0,$AG100*#REF!*#REF!*(1+#REF!*(20/#REF!)/732),#REF!*Z100)</f>
        <v>#REF!</v>
      </c>
      <c r="BM100" s="167" t="e">
        <f>IF($AG100&gt;0,$AG100*#REF!*#REF!*(1+#REF!*(20/#REF!)/732),+#REF!*(Z100+X100))</f>
        <v>#REF!</v>
      </c>
      <c r="BN100" s="167" t="e">
        <f>IF(H100="Bundled",#REF!*Y100,#REF!*Y100*0.85)</f>
        <v>#REF!</v>
      </c>
      <c r="BO100" s="167" t="e">
        <f t="shared" si="145"/>
        <v>#REF!</v>
      </c>
      <c r="BP100" s="167" t="e">
        <f>+#REF!*Y100</f>
        <v>#REF!</v>
      </c>
      <c r="BQ100" s="167" t="e">
        <f t="shared" si="146"/>
        <v>#REF!</v>
      </c>
      <c r="BR100" s="167" t="e">
        <f t="shared" si="147"/>
        <v>#REF!</v>
      </c>
      <c r="BS100" s="167" t="e">
        <f t="shared" si="148"/>
        <v>#REF!</v>
      </c>
      <c r="BT100" s="167" t="e">
        <f t="shared" si="149"/>
        <v>#REF!</v>
      </c>
      <c r="BU100" s="167" t="e">
        <f t="shared" si="150"/>
        <v>#REF!</v>
      </c>
      <c r="BV100" s="167" t="e">
        <f t="shared" si="151"/>
        <v>#REF!</v>
      </c>
      <c r="BW100" s="167" t="e">
        <f>IF(H100="Bundled",+(BG100-#REF!)*Y100,(AP100+AQ100)-Y100*#REF!)</f>
        <v>#REF!</v>
      </c>
      <c r="BX100" s="167" t="e">
        <f t="shared" si="152"/>
        <v>#REF!</v>
      </c>
      <c r="BY100" s="167" t="e">
        <f t="shared" si="153"/>
        <v>#REF!</v>
      </c>
      <c r="BZ100" s="167" t="e">
        <f t="shared" si="154"/>
        <v>#REF!</v>
      </c>
      <c r="CA100" s="167" t="e">
        <f t="shared" si="155"/>
        <v>#REF!</v>
      </c>
    </row>
    <row r="101" spans="1:79" s="16" customFormat="1">
      <c r="A101" s="142" t="s">
        <v>45</v>
      </c>
      <c r="B101" s="321" t="s">
        <v>409</v>
      </c>
      <c r="C101" s="168" t="s">
        <v>410</v>
      </c>
      <c r="D101" s="168" t="s">
        <v>239</v>
      </c>
      <c r="E101" s="168"/>
      <c r="F101" s="168"/>
      <c r="G101" s="145" t="s">
        <v>169</v>
      </c>
      <c r="H101" s="146" t="s">
        <v>170</v>
      </c>
      <c r="I101" s="145" t="s">
        <v>132</v>
      </c>
      <c r="J101" s="145" t="s">
        <v>133</v>
      </c>
      <c r="K101" s="147" t="str">
        <f t="shared" si="161"/>
        <v>No of Racks</v>
      </c>
      <c r="L101" s="145">
        <v>1</v>
      </c>
      <c r="M101" s="145">
        <v>1</v>
      </c>
      <c r="N101" s="148">
        <f t="shared" si="156"/>
        <v>0</v>
      </c>
      <c r="O101" s="145">
        <v>1</v>
      </c>
      <c r="P101" s="145"/>
      <c r="Q101" s="149">
        <f>(300000)/12</f>
        <v>25000</v>
      </c>
      <c r="R101" s="150" t="str">
        <f t="shared" si="132"/>
        <v>Subscribed</v>
      </c>
      <c r="S101" s="145" t="s">
        <v>123</v>
      </c>
      <c r="T101" s="146">
        <v>3</v>
      </c>
      <c r="U101" s="327">
        <f>Z101</f>
        <v>2.2481994047619049</v>
      </c>
      <c r="V101" s="232">
        <f t="shared" si="105"/>
        <v>0.75180059523809506</v>
      </c>
      <c r="W101" s="146"/>
      <c r="X101" s="146">
        <f>IF(V101&lt;=0,0,(IF(R101="Rated",(V101+W101)*#REF!,(V101+W101))))</f>
        <v>0.75180059523809506</v>
      </c>
      <c r="Y101" s="146">
        <f>IF(R101="Rated",T101*#REF!,T101)</f>
        <v>3</v>
      </c>
      <c r="Z101" s="231">
        <f t="shared" si="165"/>
        <v>2.2481994047619049</v>
      </c>
      <c r="AA101" s="146">
        <f>IF((V101*-1)&gt;0, (V101*-1), 0)</f>
        <v>0</v>
      </c>
      <c r="AB101" s="152">
        <f>90000/12</f>
        <v>7500</v>
      </c>
      <c r="AC101" s="153" t="str">
        <f t="shared" si="107"/>
        <v>Metered</v>
      </c>
      <c r="AD101" s="146">
        <v>1</v>
      </c>
      <c r="AE101" s="146" t="s">
        <v>171</v>
      </c>
      <c r="AF101" s="154">
        <v>18.5</v>
      </c>
      <c r="AG101" s="146">
        <v>1510.79</v>
      </c>
      <c r="AH101" s="155"/>
      <c r="AI101" s="156"/>
      <c r="AJ101" s="146"/>
      <c r="AK101" s="146"/>
      <c r="AL101" s="146">
        <f t="shared" si="163"/>
        <v>0</v>
      </c>
      <c r="AM101" s="146"/>
      <c r="AN101" s="146"/>
      <c r="AO101" s="149">
        <f t="shared" si="164"/>
        <v>0</v>
      </c>
      <c r="AP101" s="157">
        <f t="shared" si="133"/>
        <v>25000</v>
      </c>
      <c r="AQ101" s="157">
        <f t="shared" si="134"/>
        <v>0</v>
      </c>
      <c r="AR101" s="158">
        <f t="shared" si="135"/>
        <v>27949.614999999998</v>
      </c>
      <c r="AS101" s="157">
        <f t="shared" si="136"/>
        <v>0</v>
      </c>
      <c r="AT101" s="159">
        <f>(15000+160000)/12</f>
        <v>14583.333333333334</v>
      </c>
      <c r="AU101" s="160">
        <f t="shared" si="137"/>
        <v>67532.948333333334</v>
      </c>
      <c r="AV101" s="160"/>
      <c r="AW101" s="161" t="s">
        <v>411</v>
      </c>
      <c r="AX101" s="162">
        <v>44116</v>
      </c>
      <c r="AY101" s="163"/>
      <c r="AZ101" s="162"/>
      <c r="BA101" s="164"/>
      <c r="BB101" s="5"/>
      <c r="BC101" s="165">
        <f t="shared" si="138"/>
        <v>67532.948333333334</v>
      </c>
      <c r="BD101" s="165">
        <f t="shared" si="139"/>
        <v>22510.982777777779</v>
      </c>
      <c r="BE101" s="165" t="e">
        <f t="shared" si="140"/>
        <v>#REF!</v>
      </c>
      <c r="BF101" s="165" t="e">
        <f t="shared" si="141"/>
        <v>#REF!</v>
      </c>
      <c r="BG101" s="165" t="e">
        <f t="shared" si="142"/>
        <v>#REF!</v>
      </c>
      <c r="BH101" s="165"/>
      <c r="BI101" s="166">
        <f t="shared" si="143"/>
        <v>52949.614999999998</v>
      </c>
      <c r="BJ101" s="166">
        <f t="shared" si="144"/>
        <v>25000</v>
      </c>
      <c r="BK101" s="166">
        <f>IF(H101="Bundled",MIN(Y101*#REF!*(1+#REF!),BI101),AR101)</f>
        <v>27949.614999999998</v>
      </c>
      <c r="BL101" s="167" t="e">
        <f>IF($AG101&gt;0,$AG101*#REF!*#REF!*(1+#REF!*(20/#REF!)/732),#REF!*Z101)</f>
        <v>#REF!</v>
      </c>
      <c r="BM101" s="167" t="e">
        <f>IF($AG101&gt;0,$AG101*#REF!*#REF!*(1+#REF!*(20/#REF!)/732),+#REF!*(Z101+X101))</f>
        <v>#REF!</v>
      </c>
      <c r="BN101" s="167" t="e">
        <f>IF(H101="Bundled",#REF!*Y101,#REF!*Y101*0.85)</f>
        <v>#REF!</v>
      </c>
      <c r="BO101" s="167" t="e">
        <f t="shared" si="145"/>
        <v>#REF!</v>
      </c>
      <c r="BP101" s="167" t="e">
        <f>+#REF!*Y101</f>
        <v>#REF!</v>
      </c>
      <c r="BQ101" s="167" t="e">
        <f t="shared" si="146"/>
        <v>#REF!</v>
      </c>
      <c r="BR101" s="167" t="e">
        <f t="shared" si="147"/>
        <v>#REF!</v>
      </c>
      <c r="BS101" s="167" t="e">
        <f t="shared" si="148"/>
        <v>#REF!</v>
      </c>
      <c r="BT101" s="167">
        <f t="shared" si="149"/>
        <v>3</v>
      </c>
      <c r="BU101" s="167" t="e">
        <f t="shared" si="150"/>
        <v>#REF!</v>
      </c>
      <c r="BV101" s="167" t="e">
        <f t="shared" si="151"/>
        <v>#REF!</v>
      </c>
      <c r="BW101" s="167" t="e">
        <f>IF(H101="Bundled",+(BG101-#REF!)*Y101,(AP101+AQ101)-Y101*#REF!)</f>
        <v>#REF!</v>
      </c>
      <c r="BX101" s="167" t="e">
        <f t="shared" si="152"/>
        <v>#REF!</v>
      </c>
      <c r="BY101" s="167" t="e">
        <f t="shared" si="153"/>
        <v>#REF!</v>
      </c>
      <c r="BZ101" s="167" t="e">
        <f t="shared" si="154"/>
        <v>#REF!</v>
      </c>
      <c r="CA101" s="167" t="e">
        <f t="shared" si="155"/>
        <v>#REF!</v>
      </c>
    </row>
    <row r="102" spans="1:79" s="16" customFormat="1">
      <c r="A102" s="142" t="s">
        <v>45</v>
      </c>
      <c r="B102" s="321" t="s">
        <v>412</v>
      </c>
      <c r="C102" s="168" t="s">
        <v>413</v>
      </c>
      <c r="D102" s="168" t="s">
        <v>235</v>
      </c>
      <c r="E102" s="168"/>
      <c r="F102" s="168"/>
      <c r="G102" s="145" t="s">
        <v>169</v>
      </c>
      <c r="H102" s="146" t="s">
        <v>170</v>
      </c>
      <c r="I102" s="145" t="s">
        <v>132</v>
      </c>
      <c r="J102" s="145" t="s">
        <v>133</v>
      </c>
      <c r="K102" s="147" t="str">
        <f t="shared" si="161"/>
        <v>No of Racks</v>
      </c>
      <c r="L102" s="145">
        <v>1</v>
      </c>
      <c r="M102" s="145">
        <v>1</v>
      </c>
      <c r="N102" s="148">
        <f t="shared" si="156"/>
        <v>0</v>
      </c>
      <c r="O102" s="145">
        <v>1</v>
      </c>
      <c r="P102" s="145"/>
      <c r="Q102" s="149">
        <f>(160000)/12</f>
        <v>13333.333333333334</v>
      </c>
      <c r="R102" s="150" t="str">
        <f t="shared" si="132"/>
        <v>Subscribed</v>
      </c>
      <c r="S102" s="145" t="s">
        <v>123</v>
      </c>
      <c r="T102" s="146">
        <v>2</v>
      </c>
      <c r="U102" s="327">
        <f>Z102</f>
        <v>3.4797767857142854</v>
      </c>
      <c r="V102" s="232">
        <f t="shared" si="105"/>
        <v>-1.4797767857142854</v>
      </c>
      <c r="W102" s="146"/>
      <c r="X102" s="146">
        <f>IF(V102&lt;=0,0,(IF(R102="Rated",(V102+W102)*#REF!,(V102+W102))))</f>
        <v>0</v>
      </c>
      <c r="Y102" s="146">
        <f>IF(R102="Rated",T102*#REF!,T102)</f>
        <v>2</v>
      </c>
      <c r="Z102" s="231">
        <f t="shared" si="165"/>
        <v>3.4797767857142854</v>
      </c>
      <c r="AA102" s="146">
        <f>IF((V102*-1)&gt;0, (V102*-1), 0)</f>
        <v>1.4797767857142854</v>
      </c>
      <c r="AB102" s="152">
        <f>80000/12</f>
        <v>6666.666666666667</v>
      </c>
      <c r="AC102" s="153" t="str">
        <f t="shared" si="107"/>
        <v>Metered</v>
      </c>
      <c r="AD102" s="146">
        <v>1.7</v>
      </c>
      <c r="AE102" s="146" t="s">
        <v>333</v>
      </c>
      <c r="AF102" s="154">
        <v>10.02</v>
      </c>
      <c r="AG102" s="146">
        <v>2338.41</v>
      </c>
      <c r="AH102" s="155"/>
      <c r="AI102" s="156"/>
      <c r="AJ102" s="146"/>
      <c r="AK102" s="146"/>
      <c r="AL102" s="146">
        <f t="shared" si="163"/>
        <v>0</v>
      </c>
      <c r="AM102" s="146"/>
      <c r="AN102" s="146"/>
      <c r="AO102" s="149">
        <f t="shared" si="164"/>
        <v>0</v>
      </c>
      <c r="AP102" s="157">
        <f t="shared" si="133"/>
        <v>13333.333333333334</v>
      </c>
      <c r="AQ102" s="157">
        <f t="shared" si="134"/>
        <v>9865.1785714285688</v>
      </c>
      <c r="AR102" s="158">
        <f t="shared" si="135"/>
        <v>39832.475939999997</v>
      </c>
      <c r="AS102" s="157">
        <f t="shared" si="136"/>
        <v>0</v>
      </c>
      <c r="AT102" s="159">
        <f>130000/12</f>
        <v>10833.333333333334</v>
      </c>
      <c r="AU102" s="160">
        <f t="shared" si="137"/>
        <v>73864.321178095226</v>
      </c>
      <c r="AV102" s="160"/>
      <c r="AW102" s="161">
        <v>121001464</v>
      </c>
      <c r="AX102" s="162"/>
      <c r="AY102" s="163"/>
      <c r="AZ102" s="162"/>
      <c r="BA102" s="164"/>
      <c r="BB102" s="5"/>
      <c r="BC102" s="165">
        <f t="shared" si="138"/>
        <v>73864.321178095226</v>
      </c>
      <c r="BD102" s="165">
        <f t="shared" si="139"/>
        <v>36932.160589047613</v>
      </c>
      <c r="BE102" s="165" t="e">
        <f t="shared" si="140"/>
        <v>#REF!</v>
      </c>
      <c r="BF102" s="165" t="e">
        <f t="shared" si="141"/>
        <v>#REF!</v>
      </c>
      <c r="BG102" s="165" t="e">
        <f t="shared" si="142"/>
        <v>#REF!</v>
      </c>
      <c r="BH102" s="165"/>
      <c r="BI102" s="166">
        <f t="shared" si="143"/>
        <v>63030.987844761898</v>
      </c>
      <c r="BJ102" s="166">
        <f t="shared" si="144"/>
        <v>23198.511904761901</v>
      </c>
      <c r="BK102" s="166">
        <f>IF(H102="Bundled",MIN(Y102*#REF!*(1+#REF!),BI102),AR102)</f>
        <v>39832.475939999997</v>
      </c>
      <c r="BL102" s="167" t="e">
        <f>IF($AG102&gt;0,$AG102*#REF!*#REF!*(1+#REF!*(20/#REF!)/732),#REF!*Z102)</f>
        <v>#REF!</v>
      </c>
      <c r="BM102" s="167" t="e">
        <f>IF($AG102&gt;0,$AG102*#REF!*#REF!*(1+#REF!*(20/#REF!)/732),+#REF!*(Z102+X102))</f>
        <v>#REF!</v>
      </c>
      <c r="BN102" s="167" t="e">
        <f>IF(H102="Bundled",#REF!*Y102,#REF!*Y102*0.85)</f>
        <v>#REF!</v>
      </c>
      <c r="BO102" s="167" t="e">
        <f t="shared" si="145"/>
        <v>#REF!</v>
      </c>
      <c r="BP102" s="167" t="e">
        <f>+#REF!*Y102</f>
        <v>#REF!</v>
      </c>
      <c r="BQ102" s="167" t="e">
        <f t="shared" si="146"/>
        <v>#REF!</v>
      </c>
      <c r="BR102" s="167" t="e">
        <f t="shared" si="147"/>
        <v>#REF!</v>
      </c>
      <c r="BS102" s="167" t="e">
        <f t="shared" si="148"/>
        <v>#REF!</v>
      </c>
      <c r="BT102" s="167">
        <f t="shared" si="149"/>
        <v>2</v>
      </c>
      <c r="BU102" s="167" t="e">
        <f t="shared" si="150"/>
        <v>#REF!</v>
      </c>
      <c r="BV102" s="167" t="e">
        <f t="shared" si="151"/>
        <v>#REF!</v>
      </c>
      <c r="BW102" s="167" t="e">
        <f>IF(H102="Bundled",+(BG102-#REF!)*Y102,(AP102+AQ102)-Y102*#REF!)</f>
        <v>#REF!</v>
      </c>
      <c r="BX102" s="167" t="e">
        <f t="shared" si="152"/>
        <v>#REF!</v>
      </c>
      <c r="BY102" s="167" t="e">
        <f t="shared" si="153"/>
        <v>#REF!</v>
      </c>
      <c r="BZ102" s="167" t="e">
        <f t="shared" si="154"/>
        <v>#REF!</v>
      </c>
      <c r="CA102" s="167" t="e">
        <f t="shared" si="155"/>
        <v>#REF!</v>
      </c>
    </row>
    <row r="103" spans="1:79" s="16" customFormat="1">
      <c r="A103" s="142" t="s">
        <v>45</v>
      </c>
      <c r="B103" s="210" t="s">
        <v>414</v>
      </c>
      <c r="C103" s="210" t="s">
        <v>415</v>
      </c>
      <c r="D103" s="168" t="s">
        <v>235</v>
      </c>
      <c r="E103" s="168"/>
      <c r="F103" s="168"/>
      <c r="G103" s="145" t="s">
        <v>130</v>
      </c>
      <c r="H103" s="146" t="s">
        <v>131</v>
      </c>
      <c r="I103" s="145" t="s">
        <v>132</v>
      </c>
      <c r="J103" s="145" t="s">
        <v>133</v>
      </c>
      <c r="K103" s="147" t="str">
        <f t="shared" si="161"/>
        <v>No of Racks</v>
      </c>
      <c r="L103" s="145">
        <v>1</v>
      </c>
      <c r="M103" s="145">
        <v>1</v>
      </c>
      <c r="N103" s="148">
        <f t="shared" si="156"/>
        <v>0</v>
      </c>
      <c r="O103" s="145">
        <v>1</v>
      </c>
      <c r="P103" s="145"/>
      <c r="Q103" s="149"/>
      <c r="R103" s="150" t="s">
        <v>130</v>
      </c>
      <c r="S103" s="145" t="s">
        <v>134</v>
      </c>
      <c r="T103" s="146">
        <v>3</v>
      </c>
      <c r="U103" s="151">
        <v>2.74</v>
      </c>
      <c r="V103" s="232">
        <f t="shared" si="105"/>
        <v>0.25999999999999979</v>
      </c>
      <c r="W103" s="146"/>
      <c r="X103" s="146" t="e">
        <f>IF(V103&lt;=0,0,(IF(R103="Rated",(V103+W103)*#REF!,(V103+W103))))</f>
        <v>#REF!</v>
      </c>
      <c r="Y103" s="146" t="e">
        <f>IF(R103="Rated",T103*#REF!,T103)</f>
        <v>#REF!</v>
      </c>
      <c r="Z103" s="231">
        <v>0.4</v>
      </c>
      <c r="AA103" s="146"/>
      <c r="AB103" s="152"/>
      <c r="AC103" s="153" t="str">
        <f t="shared" si="107"/>
        <v>Bundled</v>
      </c>
      <c r="AD103" s="146"/>
      <c r="AE103" s="146"/>
      <c r="AF103" s="154"/>
      <c r="AG103" s="146"/>
      <c r="AH103" s="155"/>
      <c r="AI103" s="156"/>
      <c r="AJ103" s="146"/>
      <c r="AK103" s="146"/>
      <c r="AL103" s="146"/>
      <c r="AM103" s="146"/>
      <c r="AN103" s="146"/>
      <c r="AO103" s="149"/>
      <c r="AP103" s="157"/>
      <c r="AQ103" s="157"/>
      <c r="AR103" s="158"/>
      <c r="AS103" s="157"/>
      <c r="AT103" s="159"/>
      <c r="AU103" s="160"/>
      <c r="AV103" s="160"/>
      <c r="AW103" s="161"/>
      <c r="AX103" s="162"/>
      <c r="AY103" s="163"/>
      <c r="AZ103" s="162"/>
      <c r="BA103" s="164"/>
      <c r="BB103" s="5"/>
      <c r="BC103" s="165"/>
      <c r="BD103" s="165"/>
      <c r="BE103" s="165"/>
      <c r="BF103" s="165"/>
      <c r="BG103" s="165"/>
      <c r="BH103" s="165"/>
      <c r="BI103" s="166"/>
      <c r="BJ103" s="166"/>
      <c r="BK103" s="166"/>
      <c r="BL103" s="167"/>
      <c r="BM103" s="167"/>
      <c r="BN103" s="167"/>
      <c r="BO103" s="167"/>
      <c r="BP103" s="167"/>
      <c r="BQ103" s="167"/>
      <c r="BR103" s="167"/>
      <c r="BS103" s="167"/>
      <c r="BT103" s="167"/>
      <c r="BU103" s="167"/>
      <c r="BV103" s="167"/>
      <c r="BW103" s="167"/>
      <c r="BX103" s="167"/>
      <c r="BY103" s="167"/>
      <c r="BZ103" s="167"/>
      <c r="CA103" s="167"/>
    </row>
    <row r="104" spans="1:79" s="16" customFormat="1">
      <c r="A104" s="429" t="s">
        <v>45</v>
      </c>
      <c r="B104" s="430" t="s">
        <v>416</v>
      </c>
      <c r="C104" s="168" t="s">
        <v>417</v>
      </c>
      <c r="D104" s="168" t="s">
        <v>235</v>
      </c>
      <c r="E104" s="168"/>
      <c r="F104" s="168"/>
      <c r="G104" s="145" t="s">
        <v>130</v>
      </c>
      <c r="H104" s="146" t="s">
        <v>131</v>
      </c>
      <c r="I104" s="145" t="s">
        <v>144</v>
      </c>
      <c r="J104" s="145" t="s">
        <v>133</v>
      </c>
      <c r="K104" s="147" t="str">
        <f t="shared" si="161"/>
        <v>U Space</v>
      </c>
      <c r="L104" s="145">
        <v>21</v>
      </c>
      <c r="M104" s="145">
        <v>21</v>
      </c>
      <c r="N104" s="148">
        <f t="shared" si="156"/>
        <v>0</v>
      </c>
      <c r="O104" s="145">
        <v>21</v>
      </c>
      <c r="P104" s="145"/>
      <c r="Q104" s="149"/>
      <c r="R104" s="150" t="s">
        <v>130</v>
      </c>
      <c r="S104" s="145" t="s">
        <v>134</v>
      </c>
      <c r="T104" s="146">
        <v>2</v>
      </c>
      <c r="U104" s="151">
        <v>0.81</v>
      </c>
      <c r="V104" s="232">
        <f t="shared" si="105"/>
        <v>1.19</v>
      </c>
      <c r="W104" s="146"/>
      <c r="X104" s="146" t="e">
        <f>IF(V104&lt;=0,0,(IF(R104="Rated",(V104+W104)*#REF!,(V104+W104))))</f>
        <v>#REF!</v>
      </c>
      <c r="Y104" s="146" t="e">
        <f>IF(R104="Rated",T104*#REF!,T104)</f>
        <v>#REF!</v>
      </c>
      <c r="Z104" s="365">
        <v>1.04</v>
      </c>
      <c r="AA104" s="146"/>
      <c r="AB104" s="152"/>
      <c r="AC104" s="153" t="str">
        <f t="shared" si="107"/>
        <v>Bundled</v>
      </c>
      <c r="AD104" s="146"/>
      <c r="AE104" s="146"/>
      <c r="AF104" s="154"/>
      <c r="AG104" s="146"/>
      <c r="AH104" s="155"/>
      <c r="AI104" s="156"/>
      <c r="AJ104" s="146"/>
      <c r="AK104" s="146"/>
      <c r="AL104" s="146"/>
      <c r="AM104" s="146"/>
      <c r="AN104" s="146"/>
      <c r="AO104" s="149"/>
      <c r="AP104" s="157"/>
      <c r="AQ104" s="157"/>
      <c r="AR104" s="158"/>
      <c r="AS104" s="157"/>
      <c r="AT104" s="159"/>
      <c r="AU104" s="160"/>
      <c r="AV104" s="160"/>
      <c r="AW104" s="161"/>
      <c r="AX104" s="162"/>
      <c r="AY104" s="163"/>
      <c r="AZ104" s="162"/>
      <c r="BA104" s="164"/>
      <c r="BB104" s="5"/>
      <c r="BC104" s="165"/>
      <c r="BD104" s="165"/>
      <c r="BE104" s="165"/>
      <c r="BF104" s="165"/>
      <c r="BG104" s="165"/>
      <c r="BH104" s="165"/>
      <c r="BI104" s="166"/>
      <c r="BJ104" s="166"/>
      <c r="BK104" s="166"/>
      <c r="BL104" s="167"/>
      <c r="BM104" s="167"/>
      <c r="BN104" s="167"/>
      <c r="BO104" s="167"/>
      <c r="BP104" s="167"/>
      <c r="BQ104" s="167"/>
      <c r="BR104" s="167"/>
      <c r="BS104" s="167"/>
      <c r="BT104" s="167"/>
      <c r="BU104" s="167"/>
      <c r="BV104" s="167"/>
      <c r="BW104" s="167"/>
      <c r="BX104" s="167"/>
      <c r="BY104" s="167"/>
      <c r="BZ104" s="167"/>
      <c r="CA104" s="167"/>
    </row>
    <row r="105" spans="1:79" s="16" customFormat="1">
      <c r="A105" s="260"/>
      <c r="B105" s="265"/>
      <c r="C105" s="168" t="s">
        <v>418</v>
      </c>
      <c r="D105" s="168" t="s">
        <v>239</v>
      </c>
      <c r="E105" s="168"/>
      <c r="F105" s="168"/>
      <c r="G105" s="145" t="s">
        <v>130</v>
      </c>
      <c r="H105" s="146" t="s">
        <v>131</v>
      </c>
      <c r="I105" s="145" t="s">
        <v>144</v>
      </c>
      <c r="J105" s="145" t="s">
        <v>133</v>
      </c>
      <c r="K105" s="147" t="str">
        <f t="shared" si="161"/>
        <v>U Space</v>
      </c>
      <c r="L105" s="145">
        <v>10</v>
      </c>
      <c r="M105" s="145">
        <v>10</v>
      </c>
      <c r="N105" s="148">
        <f t="shared" si="156"/>
        <v>0</v>
      </c>
      <c r="O105" s="145">
        <v>10</v>
      </c>
      <c r="P105" s="145"/>
      <c r="Q105" s="149"/>
      <c r="R105" s="150" t="s">
        <v>130</v>
      </c>
      <c r="S105" s="145" t="s">
        <v>134</v>
      </c>
      <c r="T105" s="146">
        <v>1</v>
      </c>
      <c r="U105" s="151">
        <v>1.71</v>
      </c>
      <c r="V105" s="232">
        <f t="shared" si="105"/>
        <v>-0.71</v>
      </c>
      <c r="W105" s="146"/>
      <c r="X105" s="146">
        <f>IF(V105&lt;=0,0,(IF(R105="Rated",(V105+W105)*#REF!,(V105+W105))))</f>
        <v>0</v>
      </c>
      <c r="Y105" s="146" t="e">
        <f>IF(R105="Rated",T105*#REF!,T105)</f>
        <v>#REF!</v>
      </c>
      <c r="Z105" s="257"/>
      <c r="AA105" s="146"/>
      <c r="AB105" s="152"/>
      <c r="AC105" s="153" t="str">
        <f t="shared" si="107"/>
        <v>Bundled</v>
      </c>
      <c r="AD105" s="146"/>
      <c r="AE105" s="146"/>
      <c r="AF105" s="154"/>
      <c r="AG105" s="146"/>
      <c r="AH105" s="155"/>
      <c r="AI105" s="156"/>
      <c r="AJ105" s="146"/>
      <c r="AK105" s="146"/>
      <c r="AL105" s="146"/>
      <c r="AM105" s="146"/>
      <c r="AN105" s="146"/>
      <c r="AO105" s="149"/>
      <c r="AP105" s="157"/>
      <c r="AQ105" s="157"/>
      <c r="AR105" s="158"/>
      <c r="AS105" s="157"/>
      <c r="AT105" s="159"/>
      <c r="AU105" s="160"/>
      <c r="AV105" s="160"/>
      <c r="AW105" s="161"/>
      <c r="AX105" s="162"/>
      <c r="AY105" s="163"/>
      <c r="AZ105" s="162"/>
      <c r="BA105" s="164"/>
      <c r="BB105" s="5"/>
      <c r="BC105" s="165"/>
      <c r="BD105" s="165"/>
      <c r="BE105" s="165"/>
      <c r="BF105" s="165"/>
      <c r="BG105" s="165"/>
      <c r="BH105" s="165"/>
      <c r="BI105" s="166"/>
      <c r="BJ105" s="166"/>
      <c r="BK105" s="166"/>
      <c r="BL105" s="167"/>
      <c r="BM105" s="167"/>
      <c r="BN105" s="167"/>
      <c r="BO105" s="167"/>
      <c r="BP105" s="167"/>
      <c r="BQ105" s="167"/>
      <c r="BR105" s="167"/>
      <c r="BS105" s="167"/>
      <c r="BT105" s="167"/>
      <c r="BU105" s="167"/>
      <c r="BV105" s="167"/>
      <c r="BW105" s="167"/>
      <c r="BX105" s="167"/>
      <c r="BY105" s="167"/>
      <c r="BZ105" s="167"/>
      <c r="CA105" s="167"/>
    </row>
    <row r="106" spans="1:79" s="16" customFormat="1">
      <c r="A106" s="261"/>
      <c r="B106" s="266"/>
      <c r="C106" s="168" t="s">
        <v>419</v>
      </c>
      <c r="D106" s="168" t="s">
        <v>235</v>
      </c>
      <c r="E106" s="168"/>
      <c r="F106" s="168"/>
      <c r="G106" s="145" t="s">
        <v>130</v>
      </c>
      <c r="H106" s="146" t="s">
        <v>131</v>
      </c>
      <c r="I106" s="145" t="s">
        <v>144</v>
      </c>
      <c r="J106" s="145" t="s">
        <v>133</v>
      </c>
      <c r="K106" s="147" t="str">
        <f t="shared" si="161"/>
        <v>U Space</v>
      </c>
      <c r="L106" s="145">
        <v>10</v>
      </c>
      <c r="M106" s="145">
        <v>10</v>
      </c>
      <c r="N106" s="148">
        <f t="shared" si="156"/>
        <v>0</v>
      </c>
      <c r="O106" s="145">
        <v>10</v>
      </c>
      <c r="P106" s="145"/>
      <c r="Q106" s="149"/>
      <c r="R106" s="150" t="s">
        <v>130</v>
      </c>
      <c r="S106" s="145" t="s">
        <v>134</v>
      </c>
      <c r="T106" s="146">
        <v>1.2</v>
      </c>
      <c r="U106" s="151">
        <v>0.53</v>
      </c>
      <c r="V106" s="232">
        <f t="shared" si="105"/>
        <v>0.66999999999999993</v>
      </c>
      <c r="W106" s="146"/>
      <c r="X106" s="146" t="e">
        <f>IF(V106&lt;=0,0,(IF(R106="Rated",(V106+W106)*#REF!,(V106+W106))))</f>
        <v>#REF!</v>
      </c>
      <c r="Y106" s="146" t="e">
        <f>IF(R106="Rated",T106*#REF!,T106)</f>
        <v>#REF!</v>
      </c>
      <c r="Z106" s="252"/>
      <c r="AA106" s="146"/>
      <c r="AB106" s="152"/>
      <c r="AC106" s="153" t="str">
        <f t="shared" si="107"/>
        <v>Bundled</v>
      </c>
      <c r="AD106" s="146"/>
      <c r="AE106" s="146"/>
      <c r="AF106" s="154"/>
      <c r="AG106" s="146"/>
      <c r="AH106" s="155"/>
      <c r="AI106" s="156"/>
      <c r="AJ106" s="146"/>
      <c r="AK106" s="146"/>
      <c r="AL106" s="146"/>
      <c r="AM106" s="146"/>
      <c r="AN106" s="146"/>
      <c r="AO106" s="149"/>
      <c r="AP106" s="157"/>
      <c r="AQ106" s="157"/>
      <c r="AR106" s="158"/>
      <c r="AS106" s="157"/>
      <c r="AT106" s="159"/>
      <c r="AU106" s="160"/>
      <c r="AV106" s="160"/>
      <c r="AW106" s="161"/>
      <c r="AX106" s="162"/>
      <c r="AY106" s="163"/>
      <c r="AZ106" s="162"/>
      <c r="BA106" s="164"/>
      <c r="BB106" s="5"/>
      <c r="BC106" s="165"/>
      <c r="BD106" s="165"/>
      <c r="BE106" s="165"/>
      <c r="BF106" s="165"/>
      <c r="BG106" s="165"/>
      <c r="BH106" s="165"/>
      <c r="BI106" s="166"/>
      <c r="BJ106" s="166"/>
      <c r="BK106" s="166"/>
      <c r="BL106" s="167"/>
      <c r="BM106" s="167"/>
      <c r="BN106" s="167"/>
      <c r="BO106" s="167"/>
      <c r="BP106" s="167"/>
      <c r="BQ106" s="167"/>
      <c r="BR106" s="167"/>
      <c r="BS106" s="167"/>
      <c r="BT106" s="167"/>
      <c r="BU106" s="167"/>
      <c r="BV106" s="167"/>
      <c r="BW106" s="167"/>
      <c r="BX106" s="167"/>
      <c r="BY106" s="167"/>
      <c r="BZ106" s="167"/>
      <c r="CA106" s="167"/>
    </row>
    <row r="107" spans="1:79" s="16" customFormat="1" ht="12.95" customHeight="1">
      <c r="A107" s="142" t="s">
        <v>45</v>
      </c>
      <c r="B107" s="360" t="s">
        <v>195</v>
      </c>
      <c r="C107" s="168" t="s">
        <v>420</v>
      </c>
      <c r="D107" s="196" t="s">
        <v>239</v>
      </c>
      <c r="E107" s="196"/>
      <c r="F107" s="196"/>
      <c r="G107" s="145" t="s">
        <v>130</v>
      </c>
      <c r="H107" s="146" t="s">
        <v>131</v>
      </c>
      <c r="I107" s="145" t="s">
        <v>144</v>
      </c>
      <c r="J107" s="145" t="s">
        <v>133</v>
      </c>
      <c r="K107" s="147" t="str">
        <f t="shared" si="161"/>
        <v>U Space</v>
      </c>
      <c r="L107" s="145">
        <v>4</v>
      </c>
      <c r="M107" s="145">
        <v>4</v>
      </c>
      <c r="N107" s="148">
        <f t="shared" si="156"/>
        <v>0</v>
      </c>
      <c r="O107" s="145">
        <v>4</v>
      </c>
      <c r="P107" s="145"/>
      <c r="Q107" s="149">
        <f>(160000)/12</f>
        <v>13333.333333333334</v>
      </c>
      <c r="R107" s="150" t="str">
        <f>G107</f>
        <v>Rated</v>
      </c>
      <c r="S107" s="145" t="s">
        <v>134</v>
      </c>
      <c r="T107" s="146">
        <v>1</v>
      </c>
      <c r="U107" s="151">
        <v>1.1299999999999999</v>
      </c>
      <c r="V107" s="232">
        <f t="shared" si="105"/>
        <v>-0.12999999999999989</v>
      </c>
      <c r="W107" s="146"/>
      <c r="X107" s="146">
        <f>IF(V107&lt;=0,0,(IF(R107="Rated",(V107+W107)*#REF!,(V107+W107))))</f>
        <v>0</v>
      </c>
      <c r="Y107" s="146" t="e">
        <f>IF(R107="Rated",T107*#REF!,T107)</f>
        <v>#REF!</v>
      </c>
      <c r="Z107" s="361">
        <v>1.96</v>
      </c>
      <c r="AA107" s="146">
        <f t="shared" ref="AA107:AA119" si="166">IF((V107*-1)&gt;0, (V107*-1), 0)</f>
        <v>0.12999999999999989</v>
      </c>
      <c r="AB107" s="152">
        <f t="shared" ref="AB107:AB109" si="167">0/12</f>
        <v>0</v>
      </c>
      <c r="AC107" s="153" t="str">
        <f t="shared" si="107"/>
        <v>Bundled</v>
      </c>
      <c r="AD107" s="146"/>
      <c r="AE107" s="146"/>
      <c r="AF107" s="154"/>
      <c r="AG107" s="146"/>
      <c r="AH107" s="155"/>
      <c r="AI107" s="156"/>
      <c r="AJ107" s="146"/>
      <c r="AK107" s="146"/>
      <c r="AL107" s="146">
        <f>AJ107-AK107</f>
        <v>0</v>
      </c>
      <c r="AM107" s="146"/>
      <c r="AN107" s="146"/>
      <c r="AO107" s="149">
        <f t="shared" si="164"/>
        <v>0</v>
      </c>
      <c r="AP107" s="157">
        <f>Q107*O107</f>
        <v>53333.333333333336</v>
      </c>
      <c r="AQ107" s="157">
        <f>AB107*AA107</f>
        <v>0</v>
      </c>
      <c r="AR107" s="158">
        <f>AG107*AF107*AD107</f>
        <v>0</v>
      </c>
      <c r="AS107" s="157">
        <f>AO107*AM107</f>
        <v>0</v>
      </c>
      <c r="AT107" s="159">
        <f>120000/12</f>
        <v>10000</v>
      </c>
      <c r="AU107" s="160">
        <f>SUBTOTAL(9,AP107:AT107)</f>
        <v>63333.333333333336</v>
      </c>
      <c r="AV107" s="160"/>
      <c r="AW107" s="161" t="s">
        <v>421</v>
      </c>
      <c r="AX107" s="162"/>
      <c r="AY107" s="163"/>
      <c r="AZ107" s="162"/>
      <c r="BA107" s="164"/>
      <c r="BB107" s="5"/>
      <c r="BC107" s="165">
        <f>IF(I107="Rack",AU107/L107,0)+IF(I107="U Space",AU107*40/L107,0)+IF(I107="Space",AU107*30/L107,0)</f>
        <v>633333.33333333337</v>
      </c>
      <c r="BD107" s="165" t="e">
        <f>+AU107/Y107</f>
        <v>#REF!</v>
      </c>
      <c r="BE107" s="165" t="e">
        <f t="shared" ref="BE107:BF110" si="168">+($AP107+$AQ107+$AR107-BL107)/$Y107</f>
        <v>#REF!</v>
      </c>
      <c r="BF107" s="165" t="e">
        <f t="shared" si="168"/>
        <v>#REF!</v>
      </c>
      <c r="BG107" s="165" t="e">
        <f>+($AP107+$AQ107+IF(H107="Bundled",0,Y107*0.85*AD107*AF107*30.5*24)-BN107)/$Y107</f>
        <v>#REF!</v>
      </c>
      <c r="BH107" s="165"/>
      <c r="BI107" s="166">
        <f>+AP107+AQ107+AR107</f>
        <v>53333.333333333336</v>
      </c>
      <c r="BJ107" s="166" t="e">
        <f>+BI107-BK107</f>
        <v>#REF!</v>
      </c>
      <c r="BK107" s="166" t="e">
        <f>IF(H107="Bundled",MIN(Y107*#REF!*(1+#REF!),BI107),AR107)</f>
        <v>#REF!</v>
      </c>
      <c r="BL107" s="167" t="e">
        <f>IF($AG107&gt;0,$AG107*#REF!*#REF!*(1+#REF!*(20/#REF!)/732),#REF!*Z107)</f>
        <v>#REF!</v>
      </c>
      <c r="BM107" s="167" t="e">
        <f>IF($AG107&gt;0,$AG107*#REF!*#REF!*(1+#REF!*(20/#REF!)/732),+#REF!*(Z107+X107))</f>
        <v>#REF!</v>
      </c>
      <c r="BN107" s="167" t="e">
        <f>IF(H107="Bundled",#REF!*Y107,#REF!*Y107*0.85)</f>
        <v>#REF!</v>
      </c>
      <c r="BO107" s="167" t="e">
        <f>+BE107*Y107</f>
        <v>#REF!</v>
      </c>
      <c r="BP107" s="167" t="e">
        <f>+#REF!*Y107</f>
        <v>#REF!</v>
      </c>
      <c r="BQ107" s="167" t="e">
        <f>+BJ107-BP107</f>
        <v>#REF!</v>
      </c>
      <c r="BR107" s="167" t="e">
        <f>+BK107-BL107</f>
        <v>#REF!</v>
      </c>
      <c r="BS107" s="167" t="e">
        <f>+BQ107+BR107</f>
        <v>#REF!</v>
      </c>
      <c r="BT107" s="167" t="e">
        <f>+Y107</f>
        <v>#REF!</v>
      </c>
      <c r="BU107" s="167" t="e">
        <f>+BE107</f>
        <v>#REF!</v>
      </c>
      <c r="BV107" s="167" t="e">
        <f>IF(H107="Bundled",BN107-BL107,AR107-BL107)</f>
        <v>#REF!</v>
      </c>
      <c r="BW107" s="167" t="e">
        <f>IF(H107="Bundled",+(BG107-#REF!)*Y107,(AP107+AQ107)-Y107*#REF!)</f>
        <v>#REF!</v>
      </c>
      <c r="BX107" s="167" t="e">
        <f>+BV107+BW107</f>
        <v>#REF!</v>
      </c>
      <c r="BY107" s="167" t="e">
        <f t="shared" ref="BY107:CA110" si="169">+BV107/$BT107</f>
        <v>#REF!</v>
      </c>
      <c r="BZ107" s="167" t="e">
        <f t="shared" si="169"/>
        <v>#REF!</v>
      </c>
      <c r="CA107" s="167" t="e">
        <f t="shared" si="169"/>
        <v>#REF!</v>
      </c>
    </row>
    <row r="108" spans="1:79" s="16" customFormat="1">
      <c r="A108" s="142" t="s">
        <v>45</v>
      </c>
      <c r="B108" s="258"/>
      <c r="C108" s="168" t="s">
        <v>422</v>
      </c>
      <c r="D108" s="196" t="s">
        <v>235</v>
      </c>
      <c r="E108" s="196"/>
      <c r="F108" s="196"/>
      <c r="G108" s="145" t="s">
        <v>130</v>
      </c>
      <c r="H108" s="146" t="s">
        <v>131</v>
      </c>
      <c r="I108" s="145" t="s">
        <v>144</v>
      </c>
      <c r="J108" s="145" t="s">
        <v>133</v>
      </c>
      <c r="K108" s="147" t="str">
        <f t="shared" si="161"/>
        <v>U Space</v>
      </c>
      <c r="L108" s="145">
        <v>4</v>
      </c>
      <c r="M108" s="145">
        <v>4</v>
      </c>
      <c r="N108" s="148">
        <f t="shared" si="156"/>
        <v>0</v>
      </c>
      <c r="O108" s="145">
        <v>4</v>
      </c>
      <c r="P108" s="145"/>
      <c r="Q108" s="149">
        <f>(10000)/12</f>
        <v>833.33333333333337</v>
      </c>
      <c r="R108" s="150" t="str">
        <f>G108</f>
        <v>Rated</v>
      </c>
      <c r="S108" s="145" t="s">
        <v>134</v>
      </c>
      <c r="T108" s="146">
        <v>2</v>
      </c>
      <c r="U108" s="151">
        <v>0.82</v>
      </c>
      <c r="V108" s="232">
        <f t="shared" si="105"/>
        <v>1.1800000000000002</v>
      </c>
      <c r="W108" s="146"/>
      <c r="X108" s="146" t="e">
        <f>IF(V108&lt;=0,0,(IF(R108="Rated",(V108+W108)*#REF!,(V108+W108))))</f>
        <v>#REF!</v>
      </c>
      <c r="Y108" s="146" t="e">
        <f>IF(R108="Rated",T108*#REF!,T108)</f>
        <v>#REF!</v>
      </c>
      <c r="Z108" s="361"/>
      <c r="AA108" s="146">
        <f t="shared" si="166"/>
        <v>0</v>
      </c>
      <c r="AB108" s="152">
        <f t="shared" si="167"/>
        <v>0</v>
      </c>
      <c r="AC108" s="153" t="str">
        <f t="shared" si="107"/>
        <v>Bundled</v>
      </c>
      <c r="AD108" s="146"/>
      <c r="AE108" s="146"/>
      <c r="AF108" s="154"/>
      <c r="AG108" s="146"/>
      <c r="AH108" s="155"/>
      <c r="AI108" s="156"/>
      <c r="AJ108" s="146"/>
      <c r="AK108" s="146"/>
      <c r="AL108" s="146">
        <f>AJ108-AK108</f>
        <v>0</v>
      </c>
      <c r="AM108" s="146"/>
      <c r="AN108" s="146"/>
      <c r="AO108" s="149">
        <f t="shared" si="164"/>
        <v>0</v>
      </c>
      <c r="AP108" s="157">
        <f>Q108*O108</f>
        <v>3333.3333333333335</v>
      </c>
      <c r="AQ108" s="157">
        <f>AB108*AA108</f>
        <v>0</v>
      </c>
      <c r="AR108" s="158">
        <f>AG108*AF108*AD108</f>
        <v>0</v>
      </c>
      <c r="AS108" s="157">
        <f>AO108*AM108</f>
        <v>0</v>
      </c>
      <c r="AT108" s="159">
        <f t="shared" ref="AT108:AT119" si="170">0/12</f>
        <v>0</v>
      </c>
      <c r="AU108" s="160">
        <f>SUBTOTAL(9,AP108:AT108)</f>
        <v>3333.3333333333335</v>
      </c>
      <c r="AV108" s="160"/>
      <c r="AW108" s="161">
        <v>121001747</v>
      </c>
      <c r="AX108" s="162"/>
      <c r="AY108" s="163"/>
      <c r="AZ108" s="162"/>
      <c r="BA108" s="164"/>
      <c r="BB108" s="5"/>
      <c r="BC108" s="165">
        <f>IF(I108="Rack",AU108/L108,0)+IF(I108="U Space",AU108*40/L108,0)+IF(I108="Space",AU108*30/L108,0)</f>
        <v>33333.333333333336</v>
      </c>
      <c r="BD108" s="165" t="e">
        <f>+AU108/Y108</f>
        <v>#REF!</v>
      </c>
      <c r="BE108" s="165" t="e">
        <f t="shared" si="168"/>
        <v>#REF!</v>
      </c>
      <c r="BF108" s="165" t="e">
        <f t="shared" si="168"/>
        <v>#REF!</v>
      </c>
      <c r="BG108" s="165" t="e">
        <f>+($AP108+$AQ108+IF(H108="Bundled",0,Y108*0.85*AD108*AF108*30.5*24)-BN108)/$Y108</f>
        <v>#REF!</v>
      </c>
      <c r="BH108" s="165"/>
      <c r="BI108" s="166">
        <f>+AP108+AQ108+AR108</f>
        <v>3333.3333333333335</v>
      </c>
      <c r="BJ108" s="166" t="e">
        <f>+BI108-BK108</f>
        <v>#REF!</v>
      </c>
      <c r="BK108" s="166" t="e">
        <f>IF(H108="Bundled",MIN(Y108*#REF!*(1+#REF!),BI108),AR108)</f>
        <v>#REF!</v>
      </c>
      <c r="BL108" s="167" t="e">
        <f>IF($AG108&gt;0,$AG108*#REF!*#REF!*(1+#REF!*(20/#REF!)/732),#REF!*Z108)</f>
        <v>#REF!</v>
      </c>
      <c r="BM108" s="167" t="e">
        <f>IF($AG108&gt;0,$AG108*#REF!*#REF!*(1+#REF!*(20/#REF!)/732),+#REF!*(Z108+X108))</f>
        <v>#REF!</v>
      </c>
      <c r="BN108" s="167" t="e">
        <f>IF(H108="Bundled",#REF!*Y108,#REF!*Y108*0.85)</f>
        <v>#REF!</v>
      </c>
      <c r="BO108" s="167" t="e">
        <f>+BE108*Y108</f>
        <v>#REF!</v>
      </c>
      <c r="BP108" s="167" t="e">
        <f>+#REF!*Y108</f>
        <v>#REF!</v>
      </c>
      <c r="BQ108" s="167" t="e">
        <f>+BJ108-BP108</f>
        <v>#REF!</v>
      </c>
      <c r="BR108" s="167" t="e">
        <f>+BK108-BL108</f>
        <v>#REF!</v>
      </c>
      <c r="BS108" s="167" t="e">
        <f>+BQ108+BR108</f>
        <v>#REF!</v>
      </c>
      <c r="BT108" s="167" t="e">
        <f>+Y108</f>
        <v>#REF!</v>
      </c>
      <c r="BU108" s="167" t="e">
        <f>+BE108</f>
        <v>#REF!</v>
      </c>
      <c r="BV108" s="167" t="e">
        <f>IF(H108="Bundled",BN108-BL108,AR108-BL108)</f>
        <v>#REF!</v>
      </c>
      <c r="BW108" s="167" t="e">
        <f>IF(H108="Bundled",+(BG108-#REF!)*Y108,(AP108+AQ108)-Y108*#REF!)</f>
        <v>#REF!</v>
      </c>
      <c r="BX108" s="167" t="e">
        <f>+BV108+BW108</f>
        <v>#REF!</v>
      </c>
      <c r="BY108" s="167" t="e">
        <f t="shared" si="169"/>
        <v>#REF!</v>
      </c>
      <c r="BZ108" s="167" t="e">
        <f t="shared" si="169"/>
        <v>#REF!</v>
      </c>
      <c r="CA108" s="167" t="e">
        <f t="shared" si="169"/>
        <v>#REF!</v>
      </c>
    </row>
    <row r="109" spans="1:79" s="16" customFormat="1">
      <c r="A109" s="142" t="s">
        <v>45</v>
      </c>
      <c r="B109" s="258"/>
      <c r="C109" s="168" t="s">
        <v>423</v>
      </c>
      <c r="D109" s="196" t="s">
        <v>235</v>
      </c>
      <c r="E109" s="196"/>
      <c r="F109" s="196"/>
      <c r="G109" s="145" t="s">
        <v>130</v>
      </c>
      <c r="H109" s="146" t="s">
        <v>131</v>
      </c>
      <c r="I109" s="145" t="s">
        <v>144</v>
      </c>
      <c r="J109" s="145" t="s">
        <v>133</v>
      </c>
      <c r="K109" s="147" t="str">
        <f t="shared" si="161"/>
        <v>U Space</v>
      </c>
      <c r="L109" s="145">
        <v>4</v>
      </c>
      <c r="M109" s="145">
        <v>4</v>
      </c>
      <c r="N109" s="148">
        <f t="shared" si="156"/>
        <v>0</v>
      </c>
      <c r="O109" s="145">
        <v>4</v>
      </c>
      <c r="P109" s="145"/>
      <c r="Q109" s="149">
        <f>(37500)/12</f>
        <v>3125</v>
      </c>
      <c r="R109" s="150" t="str">
        <f>G109</f>
        <v>Rated</v>
      </c>
      <c r="S109" s="145" t="s">
        <v>134</v>
      </c>
      <c r="T109" s="146">
        <v>0.98</v>
      </c>
      <c r="U109" s="151">
        <v>0.96</v>
      </c>
      <c r="V109" s="232">
        <f t="shared" si="105"/>
        <v>2.0000000000000018E-2</v>
      </c>
      <c r="W109" s="146"/>
      <c r="X109" s="146" t="e">
        <f>IF(V109&lt;=0,0,(IF(R109="Rated",(V109+W109)*#REF!,(V109+W109))))</f>
        <v>#REF!</v>
      </c>
      <c r="Y109" s="146" t="e">
        <f>IF(R109="Rated",T109*#REF!,T109)</f>
        <v>#REF!</v>
      </c>
      <c r="Z109" s="361"/>
      <c r="AA109" s="146">
        <f t="shared" si="166"/>
        <v>0</v>
      </c>
      <c r="AB109" s="152">
        <f t="shared" si="167"/>
        <v>0</v>
      </c>
      <c r="AC109" s="153" t="str">
        <f t="shared" si="107"/>
        <v>Bundled</v>
      </c>
      <c r="AD109" s="146"/>
      <c r="AE109" s="146"/>
      <c r="AF109" s="154"/>
      <c r="AG109" s="146"/>
      <c r="AH109" s="155"/>
      <c r="AI109" s="156"/>
      <c r="AJ109" s="146"/>
      <c r="AK109" s="146"/>
      <c r="AL109" s="146">
        <f>AJ109-AK109</f>
        <v>0</v>
      </c>
      <c r="AM109" s="146"/>
      <c r="AN109" s="146"/>
      <c r="AO109" s="149">
        <f t="shared" si="164"/>
        <v>0</v>
      </c>
      <c r="AP109" s="157">
        <f>Q109*O109</f>
        <v>12500</v>
      </c>
      <c r="AQ109" s="157">
        <f>AB109*AA109</f>
        <v>0</v>
      </c>
      <c r="AR109" s="158">
        <f>AG109*AF109*AD109</f>
        <v>0</v>
      </c>
      <c r="AS109" s="157">
        <f>AO109*AM109</f>
        <v>0</v>
      </c>
      <c r="AT109" s="159">
        <f t="shared" si="170"/>
        <v>0</v>
      </c>
      <c r="AU109" s="160">
        <f>SUBTOTAL(9,AP109:AT109)</f>
        <v>12500</v>
      </c>
      <c r="AV109" s="160"/>
      <c r="AW109" s="161"/>
      <c r="AX109" s="162"/>
      <c r="AY109" s="163"/>
      <c r="AZ109" s="162"/>
      <c r="BA109" s="164"/>
      <c r="BB109" s="5"/>
      <c r="BC109" s="165">
        <f>IF(I109="Rack",AU109/L109,0)+IF(I109="U Space",AU109*40/L109,0)+IF(I109="Space",AU109*30/L109,0)</f>
        <v>125000</v>
      </c>
      <c r="BD109" s="165" t="e">
        <f>+AU109/Y109</f>
        <v>#REF!</v>
      </c>
      <c r="BE109" s="165" t="e">
        <f t="shared" si="168"/>
        <v>#REF!</v>
      </c>
      <c r="BF109" s="165" t="e">
        <f t="shared" si="168"/>
        <v>#REF!</v>
      </c>
      <c r="BG109" s="165" t="e">
        <f>+($AP109+$AQ109+IF(H109="Bundled",0,Y109*0.85*AD109*AF109*30.5*24)-BN109)/$Y109</f>
        <v>#REF!</v>
      </c>
      <c r="BH109" s="165"/>
      <c r="BI109" s="166">
        <f>+AP109+AQ109+AR109</f>
        <v>12500</v>
      </c>
      <c r="BJ109" s="166" t="e">
        <f>+BI109-BK109</f>
        <v>#REF!</v>
      </c>
      <c r="BK109" s="166" t="e">
        <f>IF(H109="Bundled",MIN(Y109*#REF!*(1+#REF!),BI109),AR109)</f>
        <v>#REF!</v>
      </c>
      <c r="BL109" s="167" t="e">
        <f>IF($AG109&gt;0,$AG109*#REF!*#REF!*(1+#REF!*(20/#REF!)/732),#REF!*Z109)</f>
        <v>#REF!</v>
      </c>
      <c r="BM109" s="167" t="e">
        <f>IF($AG109&gt;0,$AG109*#REF!*#REF!*(1+#REF!*(20/#REF!)/732),+#REF!*(Z109+X109))</f>
        <v>#REF!</v>
      </c>
      <c r="BN109" s="167" t="e">
        <f>IF(H109="Bundled",#REF!*Y109,#REF!*Y109*0.85)</f>
        <v>#REF!</v>
      </c>
      <c r="BO109" s="167" t="e">
        <f>+BE109*Y109</f>
        <v>#REF!</v>
      </c>
      <c r="BP109" s="167" t="e">
        <f>+#REF!*Y109</f>
        <v>#REF!</v>
      </c>
      <c r="BQ109" s="167" t="e">
        <f>+BJ109-BP109</f>
        <v>#REF!</v>
      </c>
      <c r="BR109" s="167" t="e">
        <f>+BK109-BL109</f>
        <v>#REF!</v>
      </c>
      <c r="BS109" s="167" t="e">
        <f>+BQ109+BR109</f>
        <v>#REF!</v>
      </c>
      <c r="BT109" s="167" t="e">
        <f>+Y109</f>
        <v>#REF!</v>
      </c>
      <c r="BU109" s="167" t="e">
        <f>+BE109</f>
        <v>#REF!</v>
      </c>
      <c r="BV109" s="167" t="e">
        <f>IF(H109="Bundled",BN109-BL109,AR109-BL109)</f>
        <v>#REF!</v>
      </c>
      <c r="BW109" s="167" t="e">
        <f>IF(H109="Bundled",+(BG109-#REF!)*Y109,(AP109+AQ109)-Y109*#REF!)</f>
        <v>#REF!</v>
      </c>
      <c r="BX109" s="167" t="e">
        <f>+BV109+BW109</f>
        <v>#REF!</v>
      </c>
      <c r="BY109" s="167" t="e">
        <f t="shared" si="169"/>
        <v>#REF!</v>
      </c>
      <c r="BZ109" s="167" t="e">
        <f t="shared" si="169"/>
        <v>#REF!</v>
      </c>
      <c r="CA109" s="167" t="e">
        <f t="shared" si="169"/>
        <v>#REF!</v>
      </c>
    </row>
    <row r="110" spans="1:79" s="16" customFormat="1" ht="26.1">
      <c r="A110" s="142" t="s">
        <v>45</v>
      </c>
      <c r="B110" s="258"/>
      <c r="C110" s="168" t="s">
        <v>424</v>
      </c>
      <c r="D110" s="168" t="s">
        <v>235</v>
      </c>
      <c r="E110" s="168"/>
      <c r="F110" s="168"/>
      <c r="G110" s="145" t="s">
        <v>130</v>
      </c>
      <c r="H110" s="146" t="s">
        <v>131</v>
      </c>
      <c r="I110" s="145" t="s">
        <v>144</v>
      </c>
      <c r="J110" s="145" t="s">
        <v>133</v>
      </c>
      <c r="K110" s="147" t="str">
        <f t="shared" si="161"/>
        <v>U Space</v>
      </c>
      <c r="L110" s="145">
        <v>2</v>
      </c>
      <c r="M110" s="145">
        <v>2</v>
      </c>
      <c r="N110" s="148">
        <f t="shared" si="156"/>
        <v>0</v>
      </c>
      <c r="O110" s="145">
        <v>2</v>
      </c>
      <c r="P110" s="145"/>
      <c r="Q110" s="149">
        <f>(75000/2)/12</f>
        <v>3125</v>
      </c>
      <c r="R110" s="150" t="str">
        <f>G110</f>
        <v>Rated</v>
      </c>
      <c r="S110" s="145" t="s">
        <v>134</v>
      </c>
      <c r="T110" s="146">
        <v>0.5</v>
      </c>
      <c r="U110" s="151">
        <v>0.31</v>
      </c>
      <c r="V110" s="232">
        <f t="shared" si="105"/>
        <v>0.19</v>
      </c>
      <c r="W110" s="146"/>
      <c r="X110" s="146" t="e">
        <f>IF(V110&lt;=0,0,(IF(R110="Rated",(V110+W110)*#REF!,(V110+W110))))</f>
        <v>#REF!</v>
      </c>
      <c r="Y110" s="146" t="e">
        <f>IF(R110="Rated",T110*#REF!,T110)</f>
        <v>#REF!</v>
      </c>
      <c r="Z110" s="361"/>
      <c r="AA110" s="146">
        <f t="shared" si="166"/>
        <v>0</v>
      </c>
      <c r="AB110" s="152">
        <f>90000/12</f>
        <v>7500</v>
      </c>
      <c r="AC110" s="153" t="str">
        <f t="shared" si="107"/>
        <v>Bundled</v>
      </c>
      <c r="AD110" s="146"/>
      <c r="AE110" s="146"/>
      <c r="AF110" s="154"/>
      <c r="AG110" s="146"/>
      <c r="AH110" s="155"/>
      <c r="AI110" s="156"/>
      <c r="AJ110" s="146"/>
      <c r="AK110" s="146"/>
      <c r="AL110" s="146">
        <f>AJ110-AK110</f>
        <v>0</v>
      </c>
      <c r="AM110" s="146"/>
      <c r="AN110" s="146"/>
      <c r="AO110" s="149">
        <f t="shared" si="164"/>
        <v>0</v>
      </c>
      <c r="AP110" s="157">
        <f>Q110*O110</f>
        <v>6250</v>
      </c>
      <c r="AQ110" s="157">
        <f>AB110*AA110</f>
        <v>0</v>
      </c>
      <c r="AR110" s="158">
        <f>AG110*AF110*AD110</f>
        <v>0</v>
      </c>
      <c r="AS110" s="157">
        <f>AO110*AM110</f>
        <v>0</v>
      </c>
      <c r="AT110" s="159">
        <f t="shared" si="170"/>
        <v>0</v>
      </c>
      <c r="AU110" s="160">
        <f>SUBTOTAL(9,AP110:AT110)</f>
        <v>6250</v>
      </c>
      <c r="AV110" s="160"/>
      <c r="AW110" s="161">
        <v>121001747</v>
      </c>
      <c r="AX110" s="162"/>
      <c r="AY110" s="163"/>
      <c r="AZ110" s="162"/>
      <c r="BA110" s="164"/>
      <c r="BB110" s="5"/>
      <c r="BC110" s="165">
        <f>IF(I110="Rack",AU110/L110,0)+IF(I110="U Space",AU110*40/L110,0)+IF(I110="Space",AU110*30/L110,0)</f>
        <v>125000</v>
      </c>
      <c r="BD110" s="165" t="e">
        <f>+AU110/Y110</f>
        <v>#REF!</v>
      </c>
      <c r="BE110" s="165" t="e">
        <f t="shared" si="168"/>
        <v>#REF!</v>
      </c>
      <c r="BF110" s="165" t="e">
        <f t="shared" si="168"/>
        <v>#REF!</v>
      </c>
      <c r="BG110" s="165" t="e">
        <f>+($AP110+$AQ110+IF(H110="Bundled",0,Y110*0.85*AD110*AF110*30.5*24)-BN110)/$Y110</f>
        <v>#REF!</v>
      </c>
      <c r="BH110" s="165"/>
      <c r="BI110" s="166">
        <f>+AP110+AQ110+AR110</f>
        <v>6250</v>
      </c>
      <c r="BJ110" s="166" t="e">
        <f>+BI110-BK110</f>
        <v>#REF!</v>
      </c>
      <c r="BK110" s="166" t="e">
        <f>IF(H110="Bundled",MIN(Y110*#REF!*(1+#REF!),BI110),AR110)</f>
        <v>#REF!</v>
      </c>
      <c r="BL110" s="167" t="e">
        <f>IF($AG110&gt;0,$AG110*#REF!*#REF!*(1+#REF!*(20/#REF!)/732),#REF!*Z110)</f>
        <v>#REF!</v>
      </c>
      <c r="BM110" s="167" t="e">
        <f>IF($AG110&gt;0,$AG110*#REF!*#REF!*(1+#REF!*(20/#REF!)/732),+#REF!*(Z110+X110))</f>
        <v>#REF!</v>
      </c>
      <c r="BN110" s="167" t="e">
        <f>IF(H110="Bundled",#REF!*Y110,#REF!*Y110*0.85)</f>
        <v>#REF!</v>
      </c>
      <c r="BO110" s="167" t="e">
        <f>+BE110*Y110</f>
        <v>#REF!</v>
      </c>
      <c r="BP110" s="167" t="e">
        <f>+#REF!*Y110</f>
        <v>#REF!</v>
      </c>
      <c r="BQ110" s="167" t="e">
        <f>+BJ110-BP110</f>
        <v>#REF!</v>
      </c>
      <c r="BR110" s="167" t="e">
        <f>+BK110-BL110</f>
        <v>#REF!</v>
      </c>
      <c r="BS110" s="167" t="e">
        <f>+BQ110+BR110</f>
        <v>#REF!</v>
      </c>
      <c r="BT110" s="167" t="e">
        <f>+Y110</f>
        <v>#REF!</v>
      </c>
      <c r="BU110" s="167" t="e">
        <f>+BE110</f>
        <v>#REF!</v>
      </c>
      <c r="BV110" s="167" t="e">
        <f>IF(H110="Bundled",BN110-BL110,AR110-BL110)</f>
        <v>#REF!</v>
      </c>
      <c r="BW110" s="167" t="e">
        <f>IF(H110="Bundled",+(BG110-#REF!)*Y110,(AP110+AQ110)-Y110*#REF!)</f>
        <v>#REF!</v>
      </c>
      <c r="BX110" s="167" t="e">
        <f>+BV110+BW110</f>
        <v>#REF!</v>
      </c>
      <c r="BY110" s="167" t="e">
        <f t="shared" si="169"/>
        <v>#REF!</v>
      </c>
      <c r="BZ110" s="167" t="e">
        <f t="shared" si="169"/>
        <v>#REF!</v>
      </c>
      <c r="CA110" s="167" t="e">
        <f t="shared" si="169"/>
        <v>#REF!</v>
      </c>
    </row>
    <row r="111" spans="1:79" s="16" customFormat="1">
      <c r="A111" s="142"/>
      <c r="B111" s="258"/>
      <c r="C111" s="168" t="s">
        <v>425</v>
      </c>
      <c r="D111" s="168" t="s">
        <v>239</v>
      </c>
      <c r="E111" s="168"/>
      <c r="F111" s="168"/>
      <c r="G111" s="145" t="s">
        <v>130</v>
      </c>
      <c r="H111" s="146" t="s">
        <v>131</v>
      </c>
      <c r="I111" s="145" t="s">
        <v>144</v>
      </c>
      <c r="J111" s="145" t="s">
        <v>133</v>
      </c>
      <c r="K111" s="147" t="str">
        <f t="shared" si="161"/>
        <v>U Space</v>
      </c>
      <c r="L111" s="145">
        <v>4</v>
      </c>
      <c r="M111" s="145">
        <v>4</v>
      </c>
      <c r="N111" s="148">
        <f t="shared" si="156"/>
        <v>0</v>
      </c>
      <c r="O111" s="145">
        <v>4</v>
      </c>
      <c r="P111" s="145"/>
      <c r="Q111" s="149"/>
      <c r="R111" s="150" t="s">
        <v>130</v>
      </c>
      <c r="S111" s="145" t="s">
        <v>134</v>
      </c>
      <c r="T111" s="146">
        <v>0.5</v>
      </c>
      <c r="U111" s="151">
        <v>0.53</v>
      </c>
      <c r="V111" s="232">
        <f t="shared" si="105"/>
        <v>-3.0000000000000027E-2</v>
      </c>
      <c r="W111" s="146"/>
      <c r="X111" s="146">
        <f>IF(V111&lt;=0,0,(IF(R111="Rated",(V111+W111)*#REF!,(V111+W111))))</f>
        <v>0</v>
      </c>
      <c r="Y111" s="146" t="e">
        <f>IF(R111="Rated",T111*#REF!,T111)</f>
        <v>#REF!</v>
      </c>
      <c r="Z111" s="361"/>
      <c r="AA111" s="146">
        <f t="shared" si="166"/>
        <v>3.0000000000000027E-2</v>
      </c>
      <c r="AB111" s="152"/>
      <c r="AC111" s="153" t="str">
        <f t="shared" si="107"/>
        <v>Bundled</v>
      </c>
      <c r="AD111" s="146"/>
      <c r="AE111" s="146"/>
      <c r="AF111" s="154"/>
      <c r="AG111" s="146"/>
      <c r="AH111" s="155"/>
      <c r="AI111" s="156"/>
      <c r="AJ111" s="146"/>
      <c r="AK111" s="146"/>
      <c r="AL111" s="146"/>
      <c r="AM111" s="146"/>
      <c r="AN111" s="146"/>
      <c r="AO111" s="149"/>
      <c r="AP111" s="157"/>
      <c r="AQ111" s="157"/>
      <c r="AR111" s="158"/>
      <c r="AS111" s="157"/>
      <c r="AT111" s="159"/>
      <c r="AU111" s="160"/>
      <c r="AV111" s="160"/>
      <c r="AW111" s="161"/>
      <c r="AX111" s="162"/>
      <c r="AY111" s="163"/>
      <c r="AZ111" s="162"/>
      <c r="BA111" s="164"/>
      <c r="BB111" s="5"/>
      <c r="BC111" s="165"/>
      <c r="BD111" s="165"/>
      <c r="BE111" s="165"/>
      <c r="BF111" s="165"/>
      <c r="BG111" s="165"/>
      <c r="BH111" s="165"/>
      <c r="BI111" s="166"/>
      <c r="BJ111" s="166"/>
      <c r="BK111" s="166"/>
      <c r="BL111" s="167"/>
      <c r="BM111" s="167"/>
      <c r="BN111" s="167"/>
      <c r="BO111" s="167"/>
      <c r="BP111" s="167"/>
      <c r="BQ111" s="167"/>
      <c r="BR111" s="167"/>
      <c r="BS111" s="167"/>
      <c r="BT111" s="167"/>
      <c r="BU111" s="167"/>
      <c r="BV111" s="167"/>
      <c r="BW111" s="167"/>
      <c r="BX111" s="167"/>
      <c r="BY111" s="167"/>
      <c r="BZ111" s="167"/>
      <c r="CA111" s="167"/>
    </row>
    <row r="112" spans="1:79" s="16" customFormat="1">
      <c r="A112" s="142" t="s">
        <v>45</v>
      </c>
      <c r="B112" s="259"/>
      <c r="C112" s="168" t="s">
        <v>426</v>
      </c>
      <c r="D112" s="168" t="s">
        <v>235</v>
      </c>
      <c r="E112" s="168"/>
      <c r="F112" s="168"/>
      <c r="G112" s="145" t="s">
        <v>130</v>
      </c>
      <c r="H112" s="146" t="s">
        <v>131</v>
      </c>
      <c r="I112" s="145" t="s">
        <v>144</v>
      </c>
      <c r="J112" s="145" t="s">
        <v>133</v>
      </c>
      <c r="K112" s="147" t="str">
        <f t="shared" si="161"/>
        <v>U Space</v>
      </c>
      <c r="L112" s="145">
        <v>5</v>
      </c>
      <c r="M112" s="145">
        <v>5</v>
      </c>
      <c r="N112" s="148">
        <f t="shared" si="156"/>
        <v>0</v>
      </c>
      <c r="O112" s="145">
        <v>5</v>
      </c>
      <c r="P112" s="145"/>
      <c r="Q112" s="149">
        <f>(30000)/12</f>
        <v>2500</v>
      </c>
      <c r="R112" s="150" t="str">
        <f t="shared" ref="R112:R119" si="171">G112</f>
        <v>Rated</v>
      </c>
      <c r="S112" s="145" t="s">
        <v>134</v>
      </c>
      <c r="T112" s="146">
        <v>1.25</v>
      </c>
      <c r="U112" s="151">
        <v>0.2</v>
      </c>
      <c r="V112" s="232">
        <f t="shared" si="105"/>
        <v>1.05</v>
      </c>
      <c r="W112" s="146"/>
      <c r="X112" s="146" t="e">
        <f>IF(V112&lt;=0,0,(IF(R112="Rated",(V112+W112)*#REF!,(V112+W112))))</f>
        <v>#REF!</v>
      </c>
      <c r="Y112" s="146" t="e">
        <f>IF(R112="Rated",T112*#REF!,T112)</f>
        <v>#REF!</v>
      </c>
      <c r="Z112" s="361"/>
      <c r="AA112" s="146">
        <f t="shared" si="166"/>
        <v>0</v>
      </c>
      <c r="AB112" s="152">
        <f>95000/12</f>
        <v>7916.666666666667</v>
      </c>
      <c r="AC112" s="153" t="str">
        <f t="shared" si="107"/>
        <v>Bundled</v>
      </c>
      <c r="AD112" s="146"/>
      <c r="AE112" s="146"/>
      <c r="AF112" s="154"/>
      <c r="AG112" s="146"/>
      <c r="AH112" s="155"/>
      <c r="AI112" s="156"/>
      <c r="AJ112" s="146"/>
      <c r="AK112" s="146"/>
      <c r="AL112" s="146">
        <f>AJ112-AK112</f>
        <v>0</v>
      </c>
      <c r="AM112" s="146"/>
      <c r="AN112" s="146"/>
      <c r="AO112" s="149">
        <f>(0)/12</f>
        <v>0</v>
      </c>
      <c r="AP112" s="157">
        <f>Q112*O112</f>
        <v>12500</v>
      </c>
      <c r="AQ112" s="157">
        <f>AB112*AA112</f>
        <v>0</v>
      </c>
      <c r="AR112" s="158">
        <f>AG112*AF112*AD112</f>
        <v>0</v>
      </c>
      <c r="AS112" s="157">
        <f>AO112*AM112</f>
        <v>0</v>
      </c>
      <c r="AT112" s="159">
        <f t="shared" si="170"/>
        <v>0</v>
      </c>
      <c r="AU112" s="160">
        <f>SUBTOTAL(9,AP112:AT112)</f>
        <v>12500</v>
      </c>
      <c r="AV112" s="160"/>
      <c r="AW112" s="161">
        <v>121001747</v>
      </c>
      <c r="AX112" s="162"/>
      <c r="AY112" s="163"/>
      <c r="AZ112" s="162"/>
      <c r="BA112" s="164"/>
      <c r="BB112" s="5"/>
      <c r="BC112" s="165">
        <f>IF(I112="Rack",AU112/L112,0)+IF(I112="U Space",AU112*40/L112,0)+IF(I112="Space",AU112*30/L112,0)</f>
        <v>100000</v>
      </c>
      <c r="BD112" s="165" t="e">
        <f>+AU112/Y112</f>
        <v>#REF!</v>
      </c>
      <c r="BE112" s="165" t="e">
        <f t="shared" ref="BE112:BF114" si="172">+($AP112+$AQ112+$AR112-BL112)/$Y112</f>
        <v>#REF!</v>
      </c>
      <c r="BF112" s="165" t="e">
        <f t="shared" si="172"/>
        <v>#REF!</v>
      </c>
      <c r="BG112" s="165" t="e">
        <f>+($AP112+$AQ112+IF(H112="Bundled",0,Y112*0.85*AD112*AF112*30.5*24)-BN112)/$Y112</f>
        <v>#REF!</v>
      </c>
      <c r="BH112" s="165"/>
      <c r="BI112" s="166">
        <f>+AP112+AQ112+AR112</f>
        <v>12500</v>
      </c>
      <c r="BJ112" s="166" t="e">
        <f>+BI112-BK112</f>
        <v>#REF!</v>
      </c>
      <c r="BK112" s="166" t="e">
        <f>IF(H112="Bundled",MIN(Y112*#REF!*(1+#REF!),BI112),AR112)</f>
        <v>#REF!</v>
      </c>
      <c r="BL112" s="167" t="e">
        <f>IF($AG112&gt;0,$AG112*#REF!*#REF!*(1+#REF!*(20/#REF!)/732),#REF!*Z112)</f>
        <v>#REF!</v>
      </c>
      <c r="BM112" s="167" t="e">
        <f>IF($AG112&gt;0,$AG112*#REF!*#REF!*(1+#REF!*(20/#REF!)/732),+#REF!*(Z112+X112))</f>
        <v>#REF!</v>
      </c>
      <c r="BN112" s="167" t="e">
        <f>IF(H112="Bundled",#REF!*Y112,#REF!*Y112*0.85)</f>
        <v>#REF!</v>
      </c>
      <c r="BO112" s="167" t="e">
        <f>+BE112*Y112</f>
        <v>#REF!</v>
      </c>
      <c r="BP112" s="167" t="e">
        <f>+#REF!*Y112</f>
        <v>#REF!</v>
      </c>
      <c r="BQ112" s="167" t="e">
        <f>+BJ112-BP112</f>
        <v>#REF!</v>
      </c>
      <c r="BR112" s="167" t="e">
        <f>+BK112-BL112</f>
        <v>#REF!</v>
      </c>
      <c r="BS112" s="167" t="e">
        <f>+BQ112+BR112</f>
        <v>#REF!</v>
      </c>
      <c r="BT112" s="167" t="e">
        <f>+Y112</f>
        <v>#REF!</v>
      </c>
      <c r="BU112" s="167" t="e">
        <f>+BE112</f>
        <v>#REF!</v>
      </c>
      <c r="BV112" s="167" t="e">
        <f>IF(H112="Bundled",BN112-BL112,AR112-BL112)</f>
        <v>#REF!</v>
      </c>
      <c r="BW112" s="167" t="e">
        <f>IF(H112="Bundled",+(BG112-#REF!)*Y112,(AP112+AQ112)-Y112*#REF!)</f>
        <v>#REF!</v>
      </c>
      <c r="BX112" s="167" t="e">
        <f>+BV112+BW112</f>
        <v>#REF!</v>
      </c>
      <c r="BY112" s="167" t="e">
        <f t="shared" ref="BY112:CA114" si="173">+BV112/$BT112</f>
        <v>#REF!</v>
      </c>
      <c r="BZ112" s="167" t="e">
        <f t="shared" si="173"/>
        <v>#REF!</v>
      </c>
      <c r="CA112" s="167" t="e">
        <f t="shared" si="173"/>
        <v>#REF!</v>
      </c>
    </row>
    <row r="113" spans="1:79" s="16" customFormat="1">
      <c r="A113" s="142" t="s">
        <v>45</v>
      </c>
      <c r="B113" s="362" t="s">
        <v>151</v>
      </c>
      <c r="C113" s="168" t="s">
        <v>427</v>
      </c>
      <c r="D113" s="168" t="s">
        <v>235</v>
      </c>
      <c r="E113" s="168"/>
      <c r="F113" s="168"/>
      <c r="G113" s="145" t="s">
        <v>130</v>
      </c>
      <c r="H113" s="146" t="s">
        <v>131</v>
      </c>
      <c r="I113" s="145" t="s">
        <v>144</v>
      </c>
      <c r="J113" s="145" t="s">
        <v>133</v>
      </c>
      <c r="K113" s="147" t="str">
        <f t="shared" si="161"/>
        <v>U Space</v>
      </c>
      <c r="L113" s="145">
        <v>10</v>
      </c>
      <c r="M113" s="145">
        <v>10</v>
      </c>
      <c r="N113" s="148">
        <f t="shared" si="156"/>
        <v>0</v>
      </c>
      <c r="O113" s="145">
        <v>10</v>
      </c>
      <c r="P113" s="145"/>
      <c r="Q113" s="149">
        <f>12000/12</f>
        <v>1000</v>
      </c>
      <c r="R113" s="150" t="str">
        <f t="shared" si="171"/>
        <v>Rated</v>
      </c>
      <c r="S113" s="145" t="s">
        <v>134</v>
      </c>
      <c r="T113" s="146">
        <v>2.5</v>
      </c>
      <c r="U113" s="151">
        <v>1.76</v>
      </c>
      <c r="V113" s="232">
        <f t="shared" si="105"/>
        <v>0.74</v>
      </c>
      <c r="W113" s="146"/>
      <c r="X113" s="146" t="e">
        <f>IF(V113&lt;=0,0,(IF(R113="Rated",(V113+W113)*#REF!,(V113+W113))))</f>
        <v>#REF!</v>
      </c>
      <c r="Y113" s="146" t="e">
        <f>IF(R113="Rated",T113*#REF!,T113)</f>
        <v>#REF!</v>
      </c>
      <c r="Z113" s="361">
        <v>1.6</v>
      </c>
      <c r="AA113" s="146">
        <f t="shared" si="166"/>
        <v>0</v>
      </c>
      <c r="AB113" s="152">
        <f>95000/12</f>
        <v>7916.666666666667</v>
      </c>
      <c r="AC113" s="153" t="str">
        <f t="shared" si="107"/>
        <v>Bundled</v>
      </c>
      <c r="AD113" s="146"/>
      <c r="AE113" s="146"/>
      <c r="AF113" s="154"/>
      <c r="AG113" s="146"/>
      <c r="AH113" s="155"/>
      <c r="AI113" s="156"/>
      <c r="AJ113" s="146"/>
      <c r="AK113" s="146"/>
      <c r="AL113" s="146">
        <f>AJ113-AK113</f>
        <v>0</v>
      </c>
      <c r="AM113" s="146"/>
      <c r="AN113" s="146"/>
      <c r="AO113" s="149">
        <f>(0)/12</f>
        <v>0</v>
      </c>
      <c r="AP113" s="157">
        <f>Q113*O113</f>
        <v>10000</v>
      </c>
      <c r="AQ113" s="157">
        <f>AB113*AA113</f>
        <v>0</v>
      </c>
      <c r="AR113" s="158">
        <f>AG113*AF113*AD113</f>
        <v>0</v>
      </c>
      <c r="AS113" s="157">
        <f>AO113*AM113</f>
        <v>0</v>
      </c>
      <c r="AT113" s="159">
        <f t="shared" si="170"/>
        <v>0</v>
      </c>
      <c r="AU113" s="160">
        <f>SUBTOTAL(9,AP113:AT113)</f>
        <v>10000</v>
      </c>
      <c r="AV113" s="160"/>
      <c r="AW113" s="161"/>
      <c r="AX113" s="162"/>
      <c r="AY113" s="163"/>
      <c r="AZ113" s="162"/>
      <c r="BA113" s="164"/>
      <c r="BB113" s="5"/>
      <c r="BC113" s="165">
        <f>IF(I113="Rack",AU113/L113,0)+IF(I113="U Space",AU113*40/L113,0)+IF(I113="Space",AU113*30/L113,0)</f>
        <v>40000</v>
      </c>
      <c r="BD113" s="165" t="e">
        <f>+AU113/Y113</f>
        <v>#REF!</v>
      </c>
      <c r="BE113" s="165" t="e">
        <f t="shared" si="172"/>
        <v>#REF!</v>
      </c>
      <c r="BF113" s="165" t="e">
        <f t="shared" si="172"/>
        <v>#REF!</v>
      </c>
      <c r="BG113" s="165" t="e">
        <f>+($AP113+$AQ113+IF(H113="Bundled",0,Y113*0.85*AD113*AF113*30.5*24)-BN113)/$Y113</f>
        <v>#REF!</v>
      </c>
      <c r="BH113" s="165"/>
      <c r="BI113" s="166">
        <f>+AP113+AQ113+AR113</f>
        <v>10000</v>
      </c>
      <c r="BJ113" s="166" t="e">
        <f>+BI113-BK113</f>
        <v>#REF!</v>
      </c>
      <c r="BK113" s="166" t="e">
        <f>IF(H113="Bundled",MIN(Y113*#REF!*(1+#REF!),BI113),AR113)</f>
        <v>#REF!</v>
      </c>
      <c r="BL113" s="167" t="e">
        <f>IF($AG113&gt;0,$AG113*#REF!*#REF!*(1+#REF!*(20/#REF!)/732),#REF!*Z113)</f>
        <v>#REF!</v>
      </c>
      <c r="BM113" s="167" t="e">
        <f>IF($AG113&gt;0,$AG113*#REF!*#REF!*(1+#REF!*(20/#REF!)/732),+#REF!*(Z113+X113))</f>
        <v>#REF!</v>
      </c>
      <c r="BN113" s="167" t="e">
        <f>IF(H113="Bundled",#REF!*Y113,#REF!*Y113*0.85)</f>
        <v>#REF!</v>
      </c>
      <c r="BO113" s="167" t="e">
        <f>+BE113*Y113</f>
        <v>#REF!</v>
      </c>
      <c r="BP113" s="167" t="e">
        <f>+#REF!*Y113</f>
        <v>#REF!</v>
      </c>
      <c r="BQ113" s="167" t="e">
        <f>+BJ113-BP113</f>
        <v>#REF!</v>
      </c>
      <c r="BR113" s="167" t="e">
        <f>+BK113-BL113</f>
        <v>#REF!</v>
      </c>
      <c r="BS113" s="167" t="e">
        <f>+BQ113+BR113</f>
        <v>#REF!</v>
      </c>
      <c r="BT113" s="167" t="e">
        <f>+Y113</f>
        <v>#REF!</v>
      </c>
      <c r="BU113" s="167" t="e">
        <f>+BE113</f>
        <v>#REF!</v>
      </c>
      <c r="BV113" s="167" t="e">
        <f>IF(H113="Bundled",BN113-BL113,AR113-BL113)</f>
        <v>#REF!</v>
      </c>
      <c r="BW113" s="167" t="e">
        <f>IF(H113="Bundled",+(BG113-#REF!)*Y113,(AP113+AQ113)-Y113*#REF!)</f>
        <v>#REF!</v>
      </c>
      <c r="BX113" s="167" t="e">
        <f>+BV113+BW113</f>
        <v>#REF!</v>
      </c>
      <c r="BY113" s="167" t="e">
        <f t="shared" si="173"/>
        <v>#REF!</v>
      </c>
      <c r="BZ113" s="167" t="e">
        <f t="shared" si="173"/>
        <v>#REF!</v>
      </c>
      <c r="CA113" s="167" t="e">
        <f t="shared" si="173"/>
        <v>#REF!</v>
      </c>
    </row>
    <row r="114" spans="1:79" s="16" customFormat="1">
      <c r="A114" s="142" t="s">
        <v>45</v>
      </c>
      <c r="B114" s="362"/>
      <c r="C114" s="144" t="s">
        <v>428</v>
      </c>
      <c r="D114" s="144" t="s">
        <v>239</v>
      </c>
      <c r="E114" s="144"/>
      <c r="F114" s="144"/>
      <c r="G114" s="145" t="s">
        <v>130</v>
      </c>
      <c r="H114" s="146" t="s">
        <v>131</v>
      </c>
      <c r="I114" s="145" t="s">
        <v>144</v>
      </c>
      <c r="J114" s="145" t="s">
        <v>133</v>
      </c>
      <c r="K114" s="147" t="str">
        <f t="shared" si="161"/>
        <v>U Space</v>
      </c>
      <c r="L114" s="145">
        <v>3</v>
      </c>
      <c r="M114" s="145">
        <v>3</v>
      </c>
      <c r="N114" s="148">
        <f t="shared" si="156"/>
        <v>0</v>
      </c>
      <c r="O114" s="145">
        <v>3</v>
      </c>
      <c r="P114" s="145"/>
      <c r="Q114" s="149">
        <f>(35000)/12</f>
        <v>2916.6666666666665</v>
      </c>
      <c r="R114" s="150" t="str">
        <f t="shared" si="171"/>
        <v>Rated</v>
      </c>
      <c r="S114" s="145" t="s">
        <v>134</v>
      </c>
      <c r="T114" s="146">
        <v>0.75</v>
      </c>
      <c r="U114" s="151">
        <v>0.33</v>
      </c>
      <c r="V114" s="232">
        <f t="shared" si="105"/>
        <v>0.42</v>
      </c>
      <c r="W114" s="146"/>
      <c r="X114" s="146" t="e">
        <f>IF(V114&lt;=0,0,(IF(R114="Rated",(V114+W114)*#REF!,(V114+W114))))</f>
        <v>#REF!</v>
      </c>
      <c r="Y114" s="146" t="e">
        <f>IF(R114="Rated",T114*#REF!,T114)</f>
        <v>#REF!</v>
      </c>
      <c r="Z114" s="361"/>
      <c r="AA114" s="146">
        <f t="shared" si="166"/>
        <v>0</v>
      </c>
      <c r="AB114" s="152"/>
      <c r="AC114" s="153" t="str">
        <f t="shared" si="107"/>
        <v>Bundled</v>
      </c>
      <c r="AD114" s="146"/>
      <c r="AE114" s="146"/>
      <c r="AF114" s="154"/>
      <c r="AG114" s="146"/>
      <c r="AH114" s="155"/>
      <c r="AI114" s="156"/>
      <c r="AJ114" s="146"/>
      <c r="AK114" s="146"/>
      <c r="AL114" s="146">
        <f>AJ114-AK114</f>
        <v>0</v>
      </c>
      <c r="AM114" s="146"/>
      <c r="AN114" s="146"/>
      <c r="AO114" s="149">
        <f>(0)/12</f>
        <v>0</v>
      </c>
      <c r="AP114" s="157">
        <f>Q114*O114</f>
        <v>8750</v>
      </c>
      <c r="AQ114" s="157">
        <f>AB114*AA114</f>
        <v>0</v>
      </c>
      <c r="AR114" s="158">
        <f>AG114*AF114*AD114</f>
        <v>0</v>
      </c>
      <c r="AS114" s="157">
        <f>AO114*AM114</f>
        <v>0</v>
      </c>
      <c r="AT114" s="159">
        <f t="shared" si="170"/>
        <v>0</v>
      </c>
      <c r="AU114" s="160">
        <f>SUBTOTAL(9,AP114:AT114)</f>
        <v>8750</v>
      </c>
      <c r="AV114" s="160"/>
      <c r="AW114" s="161"/>
      <c r="AX114" s="162"/>
      <c r="AY114" s="163"/>
      <c r="AZ114" s="162"/>
      <c r="BA114" s="164"/>
      <c r="BB114" s="5"/>
      <c r="BC114" s="165">
        <f>IF(I114="Rack",AU114/L114,0)+IF(I114="U Space",AU114*40/L114,0)+IF(I114="Space",AU114*30/L114,0)</f>
        <v>116666.66666666667</v>
      </c>
      <c r="BD114" s="165" t="e">
        <f>+AU114/Y114</f>
        <v>#REF!</v>
      </c>
      <c r="BE114" s="165" t="e">
        <f t="shared" si="172"/>
        <v>#REF!</v>
      </c>
      <c r="BF114" s="165" t="e">
        <f t="shared" si="172"/>
        <v>#REF!</v>
      </c>
      <c r="BG114" s="165" t="e">
        <f>+($AP114+$AQ114+IF(H114="Bundled",0,Y114*0.85*AD114*AF114*30.5*24)-BN114)/$Y114</f>
        <v>#REF!</v>
      </c>
      <c r="BH114" s="165"/>
      <c r="BI114" s="166">
        <f>+AP114+AQ114+AR114</f>
        <v>8750</v>
      </c>
      <c r="BJ114" s="166" t="e">
        <f>+BI114-BK114</f>
        <v>#REF!</v>
      </c>
      <c r="BK114" s="166" t="e">
        <f>IF(H114="Bundled",MIN(Y114*#REF!*(1+#REF!),BI114),AR114)</f>
        <v>#REF!</v>
      </c>
      <c r="BL114" s="167" t="e">
        <f>IF($AG114&gt;0,$AG114*#REF!*#REF!*(1+#REF!*(20/#REF!)/732),#REF!*Z114)</f>
        <v>#REF!</v>
      </c>
      <c r="BM114" s="167" t="e">
        <f>IF($AG114&gt;0,$AG114*#REF!*#REF!*(1+#REF!*(20/#REF!)/732),+#REF!*(Z114+X114))</f>
        <v>#REF!</v>
      </c>
      <c r="BN114" s="167" t="e">
        <f>IF(H114="Bundled",#REF!*Y114,#REF!*Y114*0.85)</f>
        <v>#REF!</v>
      </c>
      <c r="BO114" s="167" t="e">
        <f>+BE114*Y114</f>
        <v>#REF!</v>
      </c>
      <c r="BP114" s="167" t="e">
        <f>+#REF!*Y114</f>
        <v>#REF!</v>
      </c>
      <c r="BQ114" s="167" t="e">
        <f>+BJ114-BP114</f>
        <v>#REF!</v>
      </c>
      <c r="BR114" s="167" t="e">
        <f>+BK114-BL114</f>
        <v>#REF!</v>
      </c>
      <c r="BS114" s="167" t="e">
        <f>+BQ114+BR114</f>
        <v>#REF!</v>
      </c>
      <c r="BT114" s="167" t="e">
        <f>+Y114</f>
        <v>#REF!</v>
      </c>
      <c r="BU114" s="167" t="e">
        <f>+BE114</f>
        <v>#REF!</v>
      </c>
      <c r="BV114" s="167" t="e">
        <f>IF(H114="Bundled",BN114-BL114,AR114-BL114)</f>
        <v>#REF!</v>
      </c>
      <c r="BW114" s="167" t="e">
        <f>IF(H114="Bundled",+(BG114-#REF!)*Y114,(AP114+AQ114)-Y114*#REF!)</f>
        <v>#REF!</v>
      </c>
      <c r="BX114" s="167" t="e">
        <f>+BV114+BW114</f>
        <v>#REF!</v>
      </c>
      <c r="BY114" s="167" t="e">
        <f t="shared" si="173"/>
        <v>#REF!</v>
      </c>
      <c r="BZ114" s="167" t="e">
        <f t="shared" si="173"/>
        <v>#REF!</v>
      </c>
      <c r="CA114" s="167" t="e">
        <f t="shared" si="173"/>
        <v>#REF!</v>
      </c>
    </row>
    <row r="115" spans="1:79" s="16" customFormat="1">
      <c r="A115" s="142" t="s">
        <v>45</v>
      </c>
      <c r="B115" s="362"/>
      <c r="C115" s="144" t="s">
        <v>429</v>
      </c>
      <c r="D115" s="144" t="s">
        <v>239</v>
      </c>
      <c r="E115" s="144"/>
      <c r="F115" s="144"/>
      <c r="G115" s="145" t="s">
        <v>130</v>
      </c>
      <c r="H115" s="146" t="s">
        <v>131</v>
      </c>
      <c r="I115" s="145" t="s">
        <v>144</v>
      </c>
      <c r="J115" s="145" t="s">
        <v>133</v>
      </c>
      <c r="K115" s="147" t="str">
        <f t="shared" si="161"/>
        <v>U Space</v>
      </c>
      <c r="L115" s="145">
        <v>4</v>
      </c>
      <c r="M115" s="145">
        <v>4</v>
      </c>
      <c r="N115" s="148">
        <f t="shared" si="156"/>
        <v>0</v>
      </c>
      <c r="O115" s="145">
        <v>4</v>
      </c>
      <c r="P115" s="145"/>
      <c r="Q115" s="149"/>
      <c r="R115" s="150" t="str">
        <f t="shared" si="171"/>
        <v>Rated</v>
      </c>
      <c r="S115" s="145" t="s">
        <v>134</v>
      </c>
      <c r="T115" s="146">
        <v>1.5</v>
      </c>
      <c r="U115" s="151">
        <v>0.56000000000000005</v>
      </c>
      <c r="V115" s="232">
        <f t="shared" si="105"/>
        <v>0.94</v>
      </c>
      <c r="W115" s="146"/>
      <c r="X115" s="146" t="e">
        <f>IF(V115&lt;=0,0,(IF(R115="Rated",(V115+W115)*#REF!,(V115+W115))))</f>
        <v>#REF!</v>
      </c>
      <c r="Y115" s="146" t="e">
        <f>IF(R115="Rated",T115*#REF!,T115)</f>
        <v>#REF!</v>
      </c>
      <c r="Z115" s="361"/>
      <c r="AA115" s="146">
        <f t="shared" si="166"/>
        <v>0</v>
      </c>
      <c r="AB115" s="152"/>
      <c r="AC115" s="153" t="str">
        <f t="shared" si="107"/>
        <v>Bundled</v>
      </c>
      <c r="AD115" s="146"/>
      <c r="AE115" s="146"/>
      <c r="AF115" s="154"/>
      <c r="AG115" s="146"/>
      <c r="AH115" s="155"/>
      <c r="AI115" s="156"/>
      <c r="AJ115" s="146"/>
      <c r="AK115" s="146"/>
      <c r="AL115" s="146"/>
      <c r="AM115" s="146"/>
      <c r="AN115" s="146"/>
      <c r="AO115" s="149"/>
      <c r="AP115" s="157"/>
      <c r="AQ115" s="157"/>
      <c r="AR115" s="158"/>
      <c r="AS115" s="157"/>
      <c r="AT115" s="159"/>
      <c r="AU115" s="160"/>
      <c r="AV115" s="160"/>
      <c r="AW115" s="161"/>
      <c r="AX115" s="162"/>
      <c r="AY115" s="163"/>
      <c r="AZ115" s="162"/>
      <c r="BA115" s="164"/>
      <c r="BB115" s="5"/>
      <c r="BC115" s="165"/>
      <c r="BD115" s="165"/>
      <c r="BE115" s="165"/>
      <c r="BF115" s="165"/>
      <c r="BG115" s="165"/>
      <c r="BH115" s="165"/>
      <c r="BI115" s="166"/>
      <c r="BJ115" s="166"/>
      <c r="BK115" s="166"/>
      <c r="BL115" s="167"/>
      <c r="BM115" s="167"/>
      <c r="BN115" s="167"/>
      <c r="BO115" s="167"/>
      <c r="BP115" s="167"/>
      <c r="BQ115" s="167"/>
      <c r="BR115" s="167"/>
      <c r="BS115" s="167"/>
      <c r="BT115" s="167"/>
      <c r="BU115" s="167"/>
      <c r="BV115" s="167"/>
      <c r="BW115" s="167"/>
      <c r="BX115" s="167"/>
      <c r="BY115" s="167"/>
      <c r="BZ115" s="167"/>
      <c r="CA115" s="167"/>
    </row>
    <row r="116" spans="1:79" s="16" customFormat="1">
      <c r="A116" s="142" t="s">
        <v>45</v>
      </c>
      <c r="B116" s="362"/>
      <c r="C116" s="144" t="s">
        <v>430</v>
      </c>
      <c r="D116" s="144" t="s">
        <v>235</v>
      </c>
      <c r="E116" s="144"/>
      <c r="F116" s="144"/>
      <c r="G116" s="145" t="s">
        <v>130</v>
      </c>
      <c r="H116" s="146" t="s">
        <v>131</v>
      </c>
      <c r="I116" s="145" t="s">
        <v>144</v>
      </c>
      <c r="J116" s="145" t="s">
        <v>133</v>
      </c>
      <c r="K116" s="147" t="str">
        <f t="shared" si="161"/>
        <v>U Space</v>
      </c>
      <c r="L116" s="145">
        <v>1</v>
      </c>
      <c r="M116" s="145">
        <v>1</v>
      </c>
      <c r="N116" s="148">
        <v>0</v>
      </c>
      <c r="O116" s="145">
        <v>1</v>
      </c>
      <c r="P116" s="145"/>
      <c r="Q116" s="149"/>
      <c r="R116" s="150" t="str">
        <f t="shared" si="171"/>
        <v>Rated</v>
      </c>
      <c r="S116" s="145" t="s">
        <v>134</v>
      </c>
      <c r="T116" s="146">
        <v>0.25</v>
      </c>
      <c r="U116" s="151">
        <v>0.09</v>
      </c>
      <c r="V116" s="232">
        <f t="shared" si="105"/>
        <v>0.16</v>
      </c>
      <c r="W116" s="146"/>
      <c r="X116" s="146" t="e">
        <f>IF(V116&lt;=0,0,(IF(R116="Rated",(V116+W116)*#REF!,(V116+W116))))</f>
        <v>#REF!</v>
      </c>
      <c r="Y116" s="146" t="e">
        <f>IF(R116="Rated",T116*#REF!,T116)</f>
        <v>#REF!</v>
      </c>
      <c r="Z116" s="361"/>
      <c r="AA116" s="146">
        <f t="shared" si="166"/>
        <v>0</v>
      </c>
      <c r="AB116" s="152"/>
      <c r="AC116" s="153" t="str">
        <f t="shared" si="107"/>
        <v>Bundled</v>
      </c>
      <c r="AD116" s="146"/>
      <c r="AE116" s="146"/>
      <c r="AF116" s="154"/>
      <c r="AG116" s="146"/>
      <c r="AH116" s="155"/>
      <c r="AI116" s="156"/>
      <c r="AJ116" s="146"/>
      <c r="AK116" s="146"/>
      <c r="AL116" s="146"/>
      <c r="AM116" s="146"/>
      <c r="AN116" s="146"/>
      <c r="AO116" s="149"/>
      <c r="AP116" s="157"/>
      <c r="AQ116" s="157"/>
      <c r="AR116" s="158"/>
      <c r="AS116" s="157"/>
      <c r="AT116" s="159"/>
      <c r="AU116" s="160"/>
      <c r="AV116" s="160"/>
      <c r="AW116" s="161"/>
      <c r="AX116" s="162"/>
      <c r="AY116" s="163"/>
      <c r="AZ116" s="162"/>
      <c r="BA116" s="164"/>
      <c r="BB116" s="5"/>
      <c r="BC116" s="165"/>
      <c r="BD116" s="165"/>
      <c r="BE116" s="165"/>
      <c r="BF116" s="165"/>
      <c r="BG116" s="165"/>
      <c r="BH116" s="165"/>
      <c r="BI116" s="166"/>
      <c r="BJ116" s="166"/>
      <c r="BK116" s="166"/>
      <c r="BL116" s="167"/>
      <c r="BM116" s="167"/>
      <c r="BN116" s="167"/>
      <c r="BO116" s="167"/>
      <c r="BP116" s="167"/>
      <c r="BQ116" s="167"/>
      <c r="BR116" s="167"/>
      <c r="BS116" s="167"/>
      <c r="BT116" s="167"/>
      <c r="BU116" s="167"/>
      <c r="BV116" s="167"/>
      <c r="BW116" s="167"/>
      <c r="BX116" s="167"/>
      <c r="BY116" s="167"/>
      <c r="BZ116" s="167"/>
      <c r="CA116" s="167"/>
    </row>
    <row r="117" spans="1:79" s="16" customFormat="1">
      <c r="A117" s="142"/>
      <c r="B117" s="362"/>
      <c r="C117" s="144" t="s">
        <v>431</v>
      </c>
      <c r="D117" s="144" t="s">
        <v>235</v>
      </c>
      <c r="E117" s="144"/>
      <c r="F117" s="144"/>
      <c r="G117" s="145" t="s">
        <v>130</v>
      </c>
      <c r="H117" s="146" t="s">
        <v>131</v>
      </c>
      <c r="I117" s="145" t="s">
        <v>144</v>
      </c>
      <c r="J117" s="145" t="s">
        <v>133</v>
      </c>
      <c r="K117" s="147" t="str">
        <f t="shared" si="161"/>
        <v>U Space</v>
      </c>
      <c r="L117" s="145">
        <v>1</v>
      </c>
      <c r="M117" s="145">
        <v>1</v>
      </c>
      <c r="N117" s="148">
        <v>0</v>
      </c>
      <c r="O117" s="145">
        <v>1</v>
      </c>
      <c r="P117" s="145"/>
      <c r="Q117" s="149"/>
      <c r="R117" s="150" t="str">
        <f t="shared" si="171"/>
        <v>Rated</v>
      </c>
      <c r="S117" s="145" t="s">
        <v>134</v>
      </c>
      <c r="T117" s="146">
        <v>0.25</v>
      </c>
      <c r="U117" s="151">
        <v>0.52</v>
      </c>
      <c r="V117" s="232">
        <f t="shared" si="105"/>
        <v>-0.27</v>
      </c>
      <c r="W117" s="146"/>
      <c r="X117" s="146">
        <f>IF(V117&lt;=0,0,(IF(R117="Rated",(V117+W117)*#REF!,(V117+W117))))</f>
        <v>0</v>
      </c>
      <c r="Y117" s="146" t="e">
        <f>IF(R117="Rated",T117*#REF!,T117)</f>
        <v>#REF!</v>
      </c>
      <c r="Z117" s="361"/>
      <c r="AA117" s="146">
        <f t="shared" si="166"/>
        <v>0.27</v>
      </c>
      <c r="AB117" s="152"/>
      <c r="AC117" s="153" t="s">
        <v>131</v>
      </c>
      <c r="AD117" s="146"/>
      <c r="AE117" s="146"/>
      <c r="AF117" s="154"/>
      <c r="AG117" s="146"/>
      <c r="AH117" s="155"/>
      <c r="AI117" s="156"/>
      <c r="AJ117" s="146"/>
      <c r="AK117" s="146"/>
      <c r="AL117" s="146"/>
      <c r="AM117" s="146"/>
      <c r="AN117" s="146"/>
      <c r="AO117" s="149"/>
      <c r="AP117" s="157"/>
      <c r="AQ117" s="157"/>
      <c r="AR117" s="158"/>
      <c r="AS117" s="157"/>
      <c r="AT117" s="159"/>
      <c r="AU117" s="160"/>
      <c r="AV117" s="160"/>
      <c r="AW117" s="161"/>
      <c r="AX117" s="162"/>
      <c r="AY117" s="163"/>
      <c r="AZ117" s="162"/>
      <c r="BA117" s="164"/>
      <c r="BB117" s="5"/>
      <c r="BC117" s="165"/>
      <c r="BD117" s="165"/>
      <c r="BE117" s="165"/>
      <c r="BF117" s="165"/>
      <c r="BG117" s="165"/>
      <c r="BH117" s="165"/>
      <c r="BI117" s="166"/>
      <c r="BJ117" s="166"/>
      <c r="BK117" s="166"/>
      <c r="BL117" s="167"/>
      <c r="BM117" s="167"/>
      <c r="BN117" s="167"/>
      <c r="BO117" s="167"/>
      <c r="BP117" s="167"/>
      <c r="BQ117" s="167"/>
      <c r="BR117" s="167"/>
      <c r="BS117" s="167"/>
      <c r="BT117" s="167"/>
      <c r="BU117" s="167"/>
      <c r="BV117" s="167"/>
      <c r="BW117" s="167"/>
      <c r="BX117" s="167"/>
      <c r="BY117" s="167"/>
      <c r="BZ117" s="167"/>
      <c r="CA117" s="167"/>
    </row>
    <row r="118" spans="1:79" s="16" customFormat="1">
      <c r="A118" s="142" t="s">
        <v>45</v>
      </c>
      <c r="B118" s="362"/>
      <c r="C118" s="196" t="s">
        <v>194</v>
      </c>
      <c r="D118" s="196" t="s">
        <v>239</v>
      </c>
      <c r="E118" s="196"/>
      <c r="F118" s="196"/>
      <c r="G118" s="145" t="s">
        <v>130</v>
      </c>
      <c r="H118" s="146" t="s">
        <v>131</v>
      </c>
      <c r="I118" s="145" t="s">
        <v>144</v>
      </c>
      <c r="J118" s="145" t="s">
        <v>133</v>
      </c>
      <c r="K118" s="147" t="str">
        <f t="shared" si="161"/>
        <v>U Space</v>
      </c>
      <c r="L118" s="145">
        <v>4</v>
      </c>
      <c r="M118" s="145">
        <v>4</v>
      </c>
      <c r="N118" s="148">
        <f>L118-M118</f>
        <v>0</v>
      </c>
      <c r="O118" s="145">
        <v>4</v>
      </c>
      <c r="P118" s="145"/>
      <c r="Q118" s="149">
        <f>(35000)/12</f>
        <v>2916.6666666666665</v>
      </c>
      <c r="R118" s="150" t="str">
        <f t="shared" si="171"/>
        <v>Rated</v>
      </c>
      <c r="S118" s="145" t="s">
        <v>134</v>
      </c>
      <c r="T118" s="146">
        <v>1</v>
      </c>
      <c r="U118" s="151">
        <v>0.61</v>
      </c>
      <c r="V118" s="232">
        <f t="shared" si="105"/>
        <v>0.39</v>
      </c>
      <c r="W118" s="146"/>
      <c r="X118" s="146" t="e">
        <f>IF(V118&lt;=0,0,(IF(R118="Rated",(V118+W118)*#REF!,(V118+W118))))</f>
        <v>#REF!</v>
      </c>
      <c r="Y118" s="146" t="e">
        <f>IF(R118="Rated",T118*#REF!,T118)</f>
        <v>#REF!</v>
      </c>
      <c r="Z118" s="361"/>
      <c r="AA118" s="146">
        <f t="shared" si="166"/>
        <v>0</v>
      </c>
      <c r="AB118" s="152">
        <f>0/12</f>
        <v>0</v>
      </c>
      <c r="AC118" s="153" t="str">
        <f>H118</f>
        <v>Bundled</v>
      </c>
      <c r="AD118" s="146"/>
      <c r="AE118" s="146"/>
      <c r="AF118" s="154"/>
      <c r="AG118" s="146"/>
      <c r="AH118" s="155"/>
      <c r="AI118" s="156"/>
      <c r="AJ118" s="146"/>
      <c r="AK118" s="146"/>
      <c r="AL118" s="146">
        <f>AJ118-AK118</f>
        <v>0</v>
      </c>
      <c r="AM118" s="146"/>
      <c r="AN118" s="146"/>
      <c r="AO118" s="149">
        <f>(0)/12</f>
        <v>0</v>
      </c>
      <c r="AP118" s="157">
        <f>Q118*O118</f>
        <v>11666.666666666666</v>
      </c>
      <c r="AQ118" s="157">
        <f>AB118*AA118</f>
        <v>0</v>
      </c>
      <c r="AR118" s="158">
        <f>AG118*AF118*AD118</f>
        <v>0</v>
      </c>
      <c r="AS118" s="157">
        <f>AO118*AM118</f>
        <v>0</v>
      </c>
      <c r="AT118" s="159">
        <f t="shared" si="170"/>
        <v>0</v>
      </c>
      <c r="AU118" s="160">
        <f>SUBTOTAL(9,AP118:AT118)</f>
        <v>11666.666666666666</v>
      </c>
      <c r="AV118" s="160"/>
      <c r="AW118" s="161"/>
      <c r="AX118" s="162"/>
      <c r="AY118" s="163"/>
      <c r="AZ118" s="162"/>
      <c r="BA118" s="164"/>
      <c r="BB118" s="5"/>
      <c r="BC118" s="165">
        <f>IF(I118="Rack",AU118/L118,0)+IF(I118="U Space",AU118*40/L118,0)+IF(I118="Space",AU118*30/L118,0)</f>
        <v>116666.66666666666</v>
      </c>
      <c r="BD118" s="165" t="e">
        <f>+AU118/Y118</f>
        <v>#REF!</v>
      </c>
      <c r="BE118" s="165" t="e">
        <f>+($AP118+$AQ118+$AR118-BL118)/$Y118</f>
        <v>#REF!</v>
      </c>
      <c r="BF118" s="165" t="e">
        <f>+($AP118+$AQ118+$AR118-BM118)/$Y118</f>
        <v>#REF!</v>
      </c>
      <c r="BG118" s="165" t="e">
        <f>+($AP118+$AQ118+IF(H118="Bundled",0,Y118*0.85*AD118*AF118*30.5*24)-BN118)/$Y118</f>
        <v>#REF!</v>
      </c>
      <c r="BH118" s="165"/>
      <c r="BI118" s="166">
        <f>+AP118+AQ118+AR118</f>
        <v>11666.666666666666</v>
      </c>
      <c r="BJ118" s="166" t="e">
        <f>+BI118-BK118</f>
        <v>#REF!</v>
      </c>
      <c r="BK118" s="166" t="e">
        <f>IF(H118="Bundled",MIN(Y118*#REF!*(1+#REF!),BI118),AR118)</f>
        <v>#REF!</v>
      </c>
      <c r="BL118" s="167" t="e">
        <f>IF($AG118&gt;0,$AG118*#REF!*#REF!*(1+#REF!*(20/#REF!)/732),#REF!*Z118)</f>
        <v>#REF!</v>
      </c>
      <c r="BM118" s="167" t="e">
        <f>IF($AG118&gt;0,$AG118*#REF!*#REF!*(1+#REF!*(20/#REF!)/732),+#REF!*(Z118+X118))</f>
        <v>#REF!</v>
      </c>
      <c r="BN118" s="167" t="e">
        <f>IF(H118="Bundled",#REF!*Y118,#REF!*Y118*0.85)</f>
        <v>#REF!</v>
      </c>
      <c r="BO118" s="167" t="e">
        <f>+BE118*Y118</f>
        <v>#REF!</v>
      </c>
      <c r="BP118" s="167" t="e">
        <f>+#REF!*Y118</f>
        <v>#REF!</v>
      </c>
      <c r="BQ118" s="167" t="e">
        <f>+BJ118-BP118</f>
        <v>#REF!</v>
      </c>
      <c r="BR118" s="167" t="e">
        <f>+BK118-BL118</f>
        <v>#REF!</v>
      </c>
      <c r="BS118" s="167" t="e">
        <f>+BQ118+BR118</f>
        <v>#REF!</v>
      </c>
      <c r="BT118" s="167" t="e">
        <f>+Y118</f>
        <v>#REF!</v>
      </c>
      <c r="BU118" s="167" t="e">
        <f>+BE118</f>
        <v>#REF!</v>
      </c>
      <c r="BV118" s="167" t="e">
        <f>IF(H118="Bundled",BN118-BL118,AR118-BL118)</f>
        <v>#REF!</v>
      </c>
      <c r="BW118" s="167" t="e">
        <f>IF(H118="Bundled",+(BG118-#REF!)*Y118,(AP118+AQ118)-Y118*#REF!)</f>
        <v>#REF!</v>
      </c>
      <c r="BX118" s="167" t="e">
        <f>+BV118+BW118</f>
        <v>#REF!</v>
      </c>
      <c r="BY118" s="167" t="e">
        <f t="shared" ref="BY118:CA119" si="174">+BV118/$BT118</f>
        <v>#REF!</v>
      </c>
      <c r="BZ118" s="167" t="e">
        <f t="shared" si="174"/>
        <v>#REF!</v>
      </c>
      <c r="CA118" s="167" t="e">
        <f t="shared" si="174"/>
        <v>#REF!</v>
      </c>
    </row>
    <row r="119" spans="1:79" s="16" customFormat="1">
      <c r="A119" s="142" t="s">
        <v>45</v>
      </c>
      <c r="B119" s="321" t="s">
        <v>432</v>
      </c>
      <c r="C119" s="144" t="s">
        <v>309</v>
      </c>
      <c r="D119" s="144" t="s">
        <v>239</v>
      </c>
      <c r="E119" s="144"/>
      <c r="F119" s="144"/>
      <c r="G119" s="145" t="s">
        <v>130</v>
      </c>
      <c r="H119" s="146" t="s">
        <v>131</v>
      </c>
      <c r="I119" s="145" t="s">
        <v>132</v>
      </c>
      <c r="J119" s="145" t="s">
        <v>133</v>
      </c>
      <c r="K119" s="147" t="str">
        <f t="shared" si="161"/>
        <v>No of Racks</v>
      </c>
      <c r="L119" s="145">
        <v>1</v>
      </c>
      <c r="M119" s="145">
        <v>1</v>
      </c>
      <c r="N119" s="148">
        <f>L119-M119</f>
        <v>0</v>
      </c>
      <c r="O119" s="145">
        <v>1</v>
      </c>
      <c r="P119" s="145"/>
      <c r="Q119" s="149">
        <f>(430000)/12</f>
        <v>35833.333333333336</v>
      </c>
      <c r="R119" s="150" t="str">
        <f t="shared" si="171"/>
        <v>Rated</v>
      </c>
      <c r="S119" s="145" t="s">
        <v>134</v>
      </c>
      <c r="T119" s="146">
        <v>3</v>
      </c>
      <c r="U119" s="151">
        <v>1.82</v>
      </c>
      <c r="V119" s="232">
        <f t="shared" si="105"/>
        <v>1.18</v>
      </c>
      <c r="W119" s="146"/>
      <c r="X119" s="146" t="e">
        <f>IF(V119&lt;=0,0,(IF(R119="Rated",(V119+W119)*#REF!,(V119+W119))))</f>
        <v>#REF!</v>
      </c>
      <c r="Y119" s="146" t="e">
        <f>IF(R119="Rated",T119*#REF!,T119)</f>
        <v>#REF!</v>
      </c>
      <c r="Z119" s="231">
        <v>0.57999999999999996</v>
      </c>
      <c r="AA119" s="146">
        <f t="shared" si="166"/>
        <v>0</v>
      </c>
      <c r="AB119" s="152">
        <f>110000/12</f>
        <v>9166.6666666666661</v>
      </c>
      <c r="AC119" s="153" t="str">
        <f>H119</f>
        <v>Bundled</v>
      </c>
      <c r="AD119" s="146"/>
      <c r="AE119" s="146"/>
      <c r="AF119" s="154"/>
      <c r="AG119" s="146"/>
      <c r="AH119" s="155"/>
      <c r="AI119" s="156"/>
      <c r="AJ119" s="146"/>
      <c r="AK119" s="146"/>
      <c r="AL119" s="146">
        <f>AJ119-AK119</f>
        <v>0</v>
      </c>
      <c r="AM119" s="146"/>
      <c r="AN119" s="146"/>
      <c r="AO119" s="149">
        <f>(0)/12</f>
        <v>0</v>
      </c>
      <c r="AP119" s="157">
        <f>Q119*O119</f>
        <v>35833.333333333336</v>
      </c>
      <c r="AQ119" s="157">
        <f>AB119*AA119</f>
        <v>0</v>
      </c>
      <c r="AR119" s="158">
        <f>AG119*AF119*AD119</f>
        <v>0</v>
      </c>
      <c r="AS119" s="157">
        <f>AO119*AM119</f>
        <v>0</v>
      </c>
      <c r="AT119" s="159">
        <f t="shared" si="170"/>
        <v>0</v>
      </c>
      <c r="AU119" s="160">
        <f>SUBTOTAL(9,AP119:AT119)</f>
        <v>35833.333333333336</v>
      </c>
      <c r="AV119" s="160"/>
      <c r="AW119" s="161"/>
      <c r="AX119" s="162"/>
      <c r="AY119" s="163"/>
      <c r="AZ119" s="162"/>
      <c r="BA119" s="164"/>
      <c r="BB119" s="5"/>
      <c r="BC119" s="165">
        <f>IF(I119="Rack",AU119/L119,0)+IF(I119="U Space",AU119*40/L119,0)+IF(I119="Space",AU119*30/L119,0)</f>
        <v>35833.333333333336</v>
      </c>
      <c r="BD119" s="165" t="e">
        <f>+AU119/Y119</f>
        <v>#REF!</v>
      </c>
      <c r="BE119" s="165" t="e">
        <f>+($AP119+$AQ119+$AR119-BL119)/$Y119</f>
        <v>#REF!</v>
      </c>
      <c r="BF119" s="165" t="e">
        <f>+($AP119+$AQ119+$AR119-BM119)/$Y119</f>
        <v>#REF!</v>
      </c>
      <c r="BG119" s="165" t="e">
        <f>+($AP119+$AQ119+IF(H119="Bundled",0,Y119*0.85*AD119*AF119*30.5*24)-BN119)/$Y119</f>
        <v>#REF!</v>
      </c>
      <c r="BH119" s="165"/>
      <c r="BI119" s="166">
        <f>+AP119+AQ119+AR119</f>
        <v>35833.333333333336</v>
      </c>
      <c r="BJ119" s="166" t="e">
        <f>+BI119-BK119</f>
        <v>#REF!</v>
      </c>
      <c r="BK119" s="166" t="e">
        <f>IF(H119="Bundled",MIN(Y119*#REF!*(1+#REF!),BI119),AR119)</f>
        <v>#REF!</v>
      </c>
      <c r="BL119" s="167" t="e">
        <f>IF($AG119&gt;0,$AG119*#REF!*#REF!*(1+#REF!*(20/#REF!)/732),#REF!*Z119)</f>
        <v>#REF!</v>
      </c>
      <c r="BM119" s="167" t="e">
        <f>IF($AG119&gt;0,$AG119*#REF!*#REF!*(1+#REF!*(20/#REF!)/732),+#REF!*(Z119+X119))</f>
        <v>#REF!</v>
      </c>
      <c r="BN119" s="167" t="e">
        <f>IF(H119="Bundled",#REF!*Y119,#REF!*Y119*0.85)</f>
        <v>#REF!</v>
      </c>
      <c r="BO119" s="167" t="e">
        <f>+BE119*Y119</f>
        <v>#REF!</v>
      </c>
      <c r="BP119" s="167" t="e">
        <f>+#REF!*Y119</f>
        <v>#REF!</v>
      </c>
      <c r="BQ119" s="167" t="e">
        <f>+BJ119-BP119</f>
        <v>#REF!</v>
      </c>
      <c r="BR119" s="167" t="e">
        <f>+BK119-BL119</f>
        <v>#REF!</v>
      </c>
      <c r="BS119" s="167" t="e">
        <f>+BQ119+BR119</f>
        <v>#REF!</v>
      </c>
      <c r="BT119" s="167" t="e">
        <f>+Y119</f>
        <v>#REF!</v>
      </c>
      <c r="BU119" s="167" t="e">
        <f>+BE119</f>
        <v>#REF!</v>
      </c>
      <c r="BV119" s="167" t="e">
        <f>IF(H119="Bundled",BN119-BL119,AR119-BL119)</f>
        <v>#REF!</v>
      </c>
      <c r="BW119" s="167" t="e">
        <f>IF(H119="Bundled",+(BG119-#REF!)*Y119,(AP119+AQ119)-Y119*#REF!)</f>
        <v>#REF!</v>
      </c>
      <c r="BX119" s="167" t="e">
        <f>+BV119+BW119</f>
        <v>#REF!</v>
      </c>
      <c r="BY119" s="167" t="e">
        <f t="shared" si="174"/>
        <v>#REF!</v>
      </c>
      <c r="BZ119" s="167" t="e">
        <f t="shared" si="174"/>
        <v>#REF!</v>
      </c>
      <c r="CA119" s="167" t="e">
        <f t="shared" si="174"/>
        <v>#REF!</v>
      </c>
    </row>
    <row r="120" spans="1:79" s="64" customFormat="1" ht="13.5" thickBot="1">
      <c r="A120" s="375"/>
      <c r="B120" s="377" t="s">
        <v>433</v>
      </c>
      <c r="C120" s="377"/>
      <c r="D120" s="377"/>
      <c r="E120" s="377"/>
      <c r="F120" s="377"/>
      <c r="G120" s="378"/>
      <c r="H120" s="378"/>
      <c r="I120" s="378"/>
      <c r="J120" s="378"/>
      <c r="K120" s="378"/>
      <c r="L120" s="377"/>
      <c r="M120" s="377"/>
      <c r="N120" s="381"/>
      <c r="O120" s="377"/>
      <c r="P120" s="377"/>
      <c r="Q120" s="377"/>
      <c r="R120" s="382"/>
      <c r="S120" s="377"/>
      <c r="T120" s="385">
        <f>SUM(T75:T119)</f>
        <v>1484.18</v>
      </c>
      <c r="U120" s="385">
        <f>SUM(U75:U119)</f>
        <v>727.36858630952372</v>
      </c>
      <c r="V120" s="431"/>
      <c r="W120" s="385"/>
      <c r="X120" s="385" t="e">
        <f>SUM(X75:X119)</f>
        <v>#REF!</v>
      </c>
      <c r="Y120" s="385" t="e">
        <f>SUM(Y75:Y119)</f>
        <v>#REF!</v>
      </c>
      <c r="Z120" s="385">
        <f>SUM(Z75:Z119)</f>
        <v>614.16729166666676</v>
      </c>
      <c r="AA120" s="385"/>
      <c r="AB120" s="385"/>
      <c r="AC120" s="386"/>
      <c r="AD120" s="385"/>
      <c r="AE120" s="385"/>
      <c r="AF120" s="385"/>
      <c r="AG120" s="385"/>
      <c r="AH120" s="387" t="s">
        <v>141</v>
      </c>
      <c r="AI120" s="388" t="str">
        <f>IF(AH120="No of Seats","No of Seats",(IF(AH120="Space","Sq Ft","")))</f>
        <v>No of Seats</v>
      </c>
      <c r="AJ120" s="385">
        <f>SUM(AJ75:AJ100)</f>
        <v>9</v>
      </c>
      <c r="AK120" s="385">
        <f>SUM(AK75:AK100)</f>
        <v>9</v>
      </c>
      <c r="AL120" s="385">
        <f>SUM(AL75:AL100)</f>
        <v>0</v>
      </c>
      <c r="AM120" s="385">
        <f>SUM(AM75:AM100)</f>
        <v>9</v>
      </c>
      <c r="AN120" s="385"/>
      <c r="AO120" s="385"/>
      <c r="AP120" s="389"/>
      <c r="AQ120" s="389"/>
      <c r="AR120" s="389"/>
      <c r="AS120" s="389"/>
      <c r="AT120" s="389"/>
      <c r="AU120" s="385">
        <f>SUM(AU75:AU100)</f>
        <v>11884984.32186389</v>
      </c>
      <c r="AV120" s="378" t="s">
        <v>354</v>
      </c>
      <c r="AW120" s="390"/>
      <c r="AX120" s="390"/>
      <c r="AY120" s="391"/>
      <c r="AZ120" s="390"/>
      <c r="BA120" s="392"/>
      <c r="CA120" s="65"/>
    </row>
    <row r="121" spans="1:79" s="16" customFormat="1">
      <c r="A121" s="142"/>
      <c r="B121" s="168"/>
      <c r="C121" s="168"/>
      <c r="D121" s="168"/>
      <c r="E121" s="168"/>
      <c r="F121" s="168"/>
      <c r="G121" s="145"/>
      <c r="H121" s="71" t="s">
        <v>132</v>
      </c>
      <c r="I121" s="72">
        <f>COUNTIF(I75:I119,"=Rack")</f>
        <v>18</v>
      </c>
      <c r="J121" s="72"/>
      <c r="K121" s="72" t="s">
        <v>355</v>
      </c>
      <c r="L121" s="73">
        <f>SUMIF(I75:I119,"Rack",L75:L119)</f>
        <v>44</v>
      </c>
      <c r="M121" s="145"/>
      <c r="N121" s="148"/>
      <c r="O121" s="145"/>
      <c r="P121" s="145"/>
      <c r="Q121" s="149"/>
      <c r="R121" s="150"/>
      <c r="S121" s="145"/>
      <c r="T121" s="146"/>
      <c r="U121" s="327"/>
      <c r="V121" s="232"/>
      <c r="W121" s="146"/>
      <c r="X121" s="146"/>
      <c r="Y121" s="146"/>
      <c r="Z121" s="231"/>
      <c r="AA121" s="146"/>
      <c r="AB121" s="152"/>
      <c r="AC121" s="153"/>
      <c r="AD121" s="146"/>
      <c r="AE121" s="146"/>
      <c r="AF121" s="154"/>
      <c r="AG121" s="146"/>
      <c r="AH121" s="155"/>
      <c r="AI121" s="156"/>
      <c r="AJ121" s="146"/>
      <c r="AK121" s="146"/>
      <c r="AL121" s="146"/>
      <c r="AM121" s="146"/>
      <c r="AN121" s="146"/>
      <c r="AO121" s="149"/>
      <c r="AP121" s="157"/>
      <c r="AQ121" s="157"/>
      <c r="AR121" s="158"/>
      <c r="AS121" s="157"/>
      <c r="AT121" s="159"/>
      <c r="AU121" s="160"/>
      <c r="AV121" s="160"/>
      <c r="AW121" s="161"/>
      <c r="AX121" s="162"/>
      <c r="AY121" s="163"/>
      <c r="AZ121" s="162"/>
      <c r="BA121" s="164"/>
      <c r="BB121" s="5"/>
      <c r="BC121" s="25"/>
      <c r="BD121" s="25"/>
      <c r="BE121" s="25"/>
      <c r="BF121" s="25"/>
      <c r="BG121" s="25"/>
      <c r="BH121" s="25"/>
      <c r="BI121" s="26"/>
      <c r="BJ121" s="26"/>
      <c r="BK121" s="26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</row>
    <row r="122" spans="1:79" s="16" customFormat="1">
      <c r="A122" s="142"/>
      <c r="B122" s="168"/>
      <c r="C122" s="168"/>
      <c r="D122" s="168"/>
      <c r="E122" s="168"/>
      <c r="F122" s="168"/>
      <c r="G122" s="145"/>
      <c r="H122" s="409" t="s">
        <v>59</v>
      </c>
      <c r="I122" s="410">
        <f>COUNTIF(I75:I119,"=Space")</f>
        <v>10</v>
      </c>
      <c r="J122" s="410"/>
      <c r="K122" s="410" t="s">
        <v>356</v>
      </c>
      <c r="L122" s="411">
        <f>SUMIF(I75:I119,"Space",L75:L119)/21</f>
        <v>266.95238095238096</v>
      </c>
      <c r="M122" s="145"/>
      <c r="N122" s="148"/>
      <c r="O122" s="145"/>
      <c r="P122" s="145"/>
      <c r="Q122" s="149"/>
      <c r="R122" s="150"/>
      <c r="S122" s="145"/>
      <c r="T122" s="146"/>
      <c r="U122" s="327"/>
      <c r="V122" s="232"/>
      <c r="W122" s="146"/>
      <c r="X122" s="146"/>
      <c r="Y122" s="146"/>
      <c r="Z122" s="231"/>
      <c r="AA122" s="146"/>
      <c r="AB122" s="152"/>
      <c r="AC122" s="153"/>
      <c r="AD122" s="146"/>
      <c r="AE122" s="146"/>
      <c r="AF122" s="154"/>
      <c r="AG122" s="146"/>
      <c r="AH122" s="155"/>
      <c r="AI122" s="156"/>
      <c r="AJ122" s="146"/>
      <c r="AK122" s="146"/>
      <c r="AL122" s="146"/>
      <c r="AM122" s="146"/>
      <c r="AN122" s="146"/>
      <c r="AO122" s="149"/>
      <c r="AP122" s="157"/>
      <c r="AQ122" s="157"/>
      <c r="AR122" s="158"/>
      <c r="AS122" s="157"/>
      <c r="AT122" s="159"/>
      <c r="AU122" s="160"/>
      <c r="AV122" s="160"/>
      <c r="AW122" s="161"/>
      <c r="AX122" s="162"/>
      <c r="AY122" s="163"/>
      <c r="AZ122" s="162"/>
      <c r="BA122" s="164"/>
      <c r="BB122" s="5"/>
      <c r="BC122" s="25"/>
      <c r="BD122" s="25"/>
      <c r="BE122" s="25"/>
      <c r="BF122" s="25"/>
      <c r="BG122" s="25"/>
      <c r="BH122" s="25"/>
      <c r="BI122" s="26"/>
      <c r="BJ122" s="26"/>
      <c r="BK122" s="26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</row>
    <row r="123" spans="1:79" s="16" customFormat="1">
      <c r="A123" s="142"/>
      <c r="C123" s="168"/>
      <c r="D123" s="168"/>
      <c r="E123" s="168"/>
      <c r="F123" s="168"/>
      <c r="G123" s="145"/>
      <c r="H123" s="409" t="s">
        <v>144</v>
      </c>
      <c r="I123" s="410">
        <f>COUNTIF(I75:I119,"=U space")</f>
        <v>15</v>
      </c>
      <c r="J123" s="410"/>
      <c r="K123" s="410" t="s">
        <v>144</v>
      </c>
      <c r="L123" s="432">
        <v>3</v>
      </c>
      <c r="M123" s="145"/>
      <c r="N123" s="148"/>
      <c r="O123" s="145"/>
      <c r="P123" s="145"/>
      <c r="Q123" s="149"/>
      <c r="R123" s="150"/>
      <c r="S123" s="145"/>
      <c r="T123" s="146"/>
      <c r="U123" s="327"/>
      <c r="V123" s="232"/>
      <c r="W123" s="146"/>
      <c r="X123" s="146"/>
      <c r="Y123" s="146"/>
      <c r="Z123" s="231"/>
      <c r="AA123" s="146"/>
      <c r="AB123" s="152"/>
      <c r="AC123" s="153"/>
      <c r="AD123" s="146"/>
      <c r="AE123" s="146"/>
      <c r="AF123" s="154"/>
      <c r="AG123" s="146"/>
      <c r="AH123" s="155"/>
      <c r="AI123" s="156"/>
      <c r="AJ123" s="146"/>
      <c r="AK123" s="146"/>
      <c r="AL123" s="146"/>
      <c r="AM123" s="146"/>
      <c r="AN123" s="146"/>
      <c r="AO123" s="149"/>
      <c r="AP123" s="157"/>
      <c r="AQ123" s="157"/>
      <c r="AR123" s="158"/>
      <c r="AS123" s="157"/>
      <c r="AT123" s="159"/>
      <c r="AU123" s="160"/>
      <c r="AV123" s="160"/>
      <c r="AW123" s="161"/>
      <c r="AX123" s="162"/>
      <c r="AY123" s="163"/>
      <c r="AZ123" s="162"/>
      <c r="BA123" s="164"/>
      <c r="BB123" s="5"/>
      <c r="BC123" s="25"/>
      <c r="BD123" s="25"/>
      <c r="BE123" s="25"/>
      <c r="BF123" s="25"/>
      <c r="BG123" s="25"/>
      <c r="BH123" s="25"/>
      <c r="BI123" s="26"/>
      <c r="BJ123" s="26"/>
      <c r="BK123" s="26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</row>
    <row r="124" spans="1:79" s="16" customFormat="1" ht="13.5" thickBot="1">
      <c r="A124" s="142"/>
      <c r="B124" s="168"/>
      <c r="C124" s="168"/>
      <c r="D124" s="168"/>
      <c r="E124" s="168"/>
      <c r="F124" s="168"/>
      <c r="G124" s="145"/>
      <c r="H124" s="414"/>
      <c r="I124" s="415"/>
      <c r="J124" s="415"/>
      <c r="K124" s="416" t="s">
        <v>52</v>
      </c>
      <c r="L124" s="417">
        <f>SUM(L121:L123)</f>
        <v>313.95238095238096</v>
      </c>
      <c r="M124" s="145"/>
      <c r="N124" s="148"/>
      <c r="O124" s="145"/>
      <c r="P124" s="145"/>
      <c r="Q124" s="149"/>
      <c r="R124" s="150"/>
      <c r="S124" s="145"/>
      <c r="T124" s="146"/>
      <c r="U124" s="327"/>
      <c r="V124" s="232"/>
      <c r="W124" s="146"/>
      <c r="X124" s="146"/>
      <c r="Y124" s="146"/>
      <c r="Z124" s="231"/>
      <c r="AA124" s="146"/>
      <c r="AB124" s="152"/>
      <c r="AC124" s="153"/>
      <c r="AD124" s="146"/>
      <c r="AE124" s="146"/>
      <c r="AF124" s="154"/>
      <c r="AG124" s="146"/>
      <c r="AH124" s="155"/>
      <c r="AI124" s="156"/>
      <c r="AJ124" s="146"/>
      <c r="AK124" s="146"/>
      <c r="AL124" s="146"/>
      <c r="AM124" s="146"/>
      <c r="AN124" s="146"/>
      <c r="AO124" s="149"/>
      <c r="AP124" s="157"/>
      <c r="AQ124" s="157"/>
      <c r="AR124" s="158"/>
      <c r="AS124" s="157"/>
      <c r="AT124" s="159"/>
      <c r="AU124" s="160"/>
      <c r="AV124" s="160"/>
      <c r="AW124" s="161"/>
      <c r="AX124" s="162"/>
      <c r="AY124" s="163"/>
      <c r="AZ124" s="162"/>
      <c r="BA124" s="164"/>
      <c r="BB124" s="5"/>
      <c r="BC124" s="25"/>
      <c r="BD124" s="25"/>
      <c r="BE124" s="25"/>
      <c r="BF124" s="25"/>
      <c r="BG124" s="25"/>
      <c r="BH124" s="25"/>
      <c r="BI124" s="26"/>
      <c r="BJ124" s="26"/>
      <c r="BK124" s="26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</row>
    <row r="125" spans="1:79" s="16" customFormat="1">
      <c r="A125" s="142"/>
      <c r="B125" s="168"/>
      <c r="C125" s="168"/>
      <c r="D125" s="168"/>
      <c r="E125" s="168"/>
      <c r="F125" s="168"/>
      <c r="G125" s="145"/>
      <c r="H125" s="146"/>
      <c r="I125" s="145"/>
      <c r="J125" s="145"/>
      <c r="K125" s="147"/>
      <c r="L125" s="145"/>
      <c r="M125" s="145"/>
      <c r="N125" s="148"/>
      <c r="O125" s="145"/>
      <c r="P125" s="145"/>
      <c r="Q125" s="149"/>
      <c r="R125" s="150"/>
      <c r="S125" s="145"/>
      <c r="T125" s="146"/>
      <c r="U125" s="327"/>
      <c r="V125" s="232"/>
      <c r="W125" s="146"/>
      <c r="X125" s="146"/>
      <c r="Y125" s="146"/>
      <c r="Z125" s="231"/>
      <c r="AA125" s="146"/>
      <c r="AB125" s="152"/>
      <c r="AC125" s="153"/>
      <c r="AD125" s="146"/>
      <c r="AE125" s="146"/>
      <c r="AF125" s="154"/>
      <c r="AG125" s="146"/>
      <c r="AH125" s="155"/>
      <c r="AI125" s="156"/>
      <c r="AJ125" s="146"/>
      <c r="AK125" s="146"/>
      <c r="AL125" s="146"/>
      <c r="AM125" s="146"/>
      <c r="AN125" s="146"/>
      <c r="AO125" s="149"/>
      <c r="AP125" s="157"/>
      <c r="AQ125" s="157"/>
      <c r="AR125" s="158"/>
      <c r="AS125" s="157"/>
      <c r="AT125" s="159"/>
      <c r="AU125" s="160"/>
      <c r="AV125" s="160"/>
      <c r="AW125" s="161"/>
      <c r="AX125" s="162"/>
      <c r="AY125" s="163"/>
      <c r="AZ125" s="162"/>
      <c r="BA125" s="164"/>
      <c r="BB125" s="5"/>
      <c r="BC125" s="25"/>
      <c r="BD125" s="25"/>
      <c r="BE125" s="25"/>
      <c r="BF125" s="25"/>
      <c r="BG125" s="25"/>
      <c r="BH125" s="25"/>
      <c r="BI125" s="26"/>
      <c r="BJ125" s="26"/>
      <c r="BK125" s="26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</row>
    <row r="126" spans="1:79" s="16" customFormat="1">
      <c r="A126" s="142" t="s">
        <v>48</v>
      </c>
      <c r="B126" s="143" t="s">
        <v>434</v>
      </c>
      <c r="C126" s="196" t="s">
        <v>435</v>
      </c>
      <c r="D126" s="196"/>
      <c r="E126" s="146">
        <v>5</v>
      </c>
      <c r="F126" s="146"/>
      <c r="G126" s="145" t="s">
        <v>130</v>
      </c>
      <c r="H126" s="146" t="s">
        <v>170</v>
      </c>
      <c r="I126" s="145" t="s">
        <v>59</v>
      </c>
      <c r="J126" s="145" t="s">
        <v>185</v>
      </c>
      <c r="K126" s="147" t="str">
        <f t="shared" ref="K126:K131" si="175">IF(I126="Rack","No of Racks",(IF(I126="Space","Sq Ft","U Space")))</f>
        <v>Sq Ft</v>
      </c>
      <c r="L126" s="145">
        <v>1200</v>
      </c>
      <c r="M126" s="145">
        <v>1200</v>
      </c>
      <c r="N126" s="148">
        <f>L126-M126</f>
        <v>0</v>
      </c>
      <c r="O126" s="145">
        <v>1200</v>
      </c>
      <c r="P126" s="145"/>
      <c r="Q126" s="149">
        <f>(11503.38)/12</f>
        <v>958.6149999999999</v>
      </c>
      <c r="R126" s="150" t="str">
        <f t="shared" ref="R126:R138" si="176">G126</f>
        <v>Rated</v>
      </c>
      <c r="S126" s="145" t="s">
        <v>134</v>
      </c>
      <c r="T126" s="146">
        <v>300</v>
      </c>
      <c r="U126" s="151">
        <v>252.43</v>
      </c>
      <c r="V126" s="232">
        <f>T126-U126</f>
        <v>47.569999999999993</v>
      </c>
      <c r="W126" s="146"/>
      <c r="X126" s="146" t="e">
        <f>IF(V126&lt;=0,0,(IF(R126="Rated",(V126+W126)*#REF!,(V126+W126))))</f>
        <v>#REF!</v>
      </c>
      <c r="Y126" s="146" t="e">
        <f>IF(R126="Rated",T126*#REF!,T126)</f>
        <v>#REF!</v>
      </c>
      <c r="Z126" s="231">
        <f>AG126/28/24</f>
        <v>95.887336309523803</v>
      </c>
      <c r="AA126" s="146">
        <f>IF((V126*-1)&gt;0, (V126*-1), 0)</f>
        <v>0</v>
      </c>
      <c r="AB126" s="152">
        <f>0/12</f>
        <v>0</v>
      </c>
      <c r="AC126" s="153" t="str">
        <f>H126</f>
        <v>Metered</v>
      </c>
      <c r="AD126" s="146">
        <v>1</v>
      </c>
      <c r="AE126" s="146" t="s">
        <v>171</v>
      </c>
      <c r="AF126" s="154">
        <v>17.5</v>
      </c>
      <c r="AG126" s="146">
        <v>64436.29</v>
      </c>
      <c r="AH126" s="155" t="s">
        <v>141</v>
      </c>
      <c r="AI126" s="156" t="str">
        <f>IF(AH126="No of Seats","No of Seats",(IF(AH126="Space","Sq Ft","")))</f>
        <v>No of Seats</v>
      </c>
      <c r="AJ126" s="146">
        <v>5</v>
      </c>
      <c r="AK126" s="146">
        <v>5</v>
      </c>
      <c r="AL126" s="146">
        <f>AJ126-AK126</f>
        <v>0</v>
      </c>
      <c r="AM126" s="146">
        <v>5</v>
      </c>
      <c r="AN126" s="146"/>
      <c r="AO126" s="149">
        <f>(10000)/12</f>
        <v>833.33333333333337</v>
      </c>
      <c r="AP126" s="157">
        <f>Q126*O126</f>
        <v>1150337.9999999998</v>
      </c>
      <c r="AQ126" s="157">
        <f>AB126*AA126</f>
        <v>0</v>
      </c>
      <c r="AR126" s="158">
        <f>AG126*AF126*AD126</f>
        <v>1127635.075</v>
      </c>
      <c r="AS126" s="157">
        <f>AO126*AM126</f>
        <v>4166.666666666667</v>
      </c>
      <c r="AT126" s="159">
        <f>0/12</f>
        <v>0</v>
      </c>
      <c r="AU126" s="160">
        <f>SUBTOTAL(9,AP126:AT126)</f>
        <v>2282139.7416666662</v>
      </c>
      <c r="AV126" s="160"/>
      <c r="AW126" s="161">
        <v>121000871</v>
      </c>
      <c r="AX126" s="162"/>
      <c r="AY126" s="163"/>
      <c r="AZ126" s="162"/>
      <c r="BA126" s="164"/>
      <c r="BB126" s="5"/>
      <c r="BC126" s="165">
        <f>IF(I126="Rack",AU126/L126,0)+IF(I126="U Space",AU126*40/L126,0)+IF(I126="Space",AU126*30/L126,0)</f>
        <v>57053.493541666656</v>
      </c>
      <c r="BD126" s="165" t="e">
        <f>+AU126/Y126</f>
        <v>#REF!</v>
      </c>
      <c r="BE126" s="165" t="e">
        <f>+($AP126+$AQ126+$AR126-BL126)/$Y126</f>
        <v>#REF!</v>
      </c>
      <c r="BF126" s="165" t="e">
        <f>+($AP126+$AQ126+$AR126-BM126)/$Y126</f>
        <v>#REF!</v>
      </c>
      <c r="BG126" s="165" t="e">
        <f>+($AP126+$AQ126+IF(H126="Bundled",0,Y126*0.85*AD126*AF126*30.5*24)-BN126)/$Y126</f>
        <v>#REF!</v>
      </c>
      <c r="BH126" s="165"/>
      <c r="BI126" s="166">
        <f>+AP126+AQ126+AR126</f>
        <v>2277973.0749999997</v>
      </c>
      <c r="BJ126" s="166">
        <f>+BI126-BK126</f>
        <v>1150337.9999999998</v>
      </c>
      <c r="BK126" s="166">
        <f>IF(H126="Bundled",MIN(Y126*#REF!*(1+#REF!),BI126),AR126)</f>
        <v>1127635.075</v>
      </c>
      <c r="BL126" s="167" t="e">
        <f>IF($AG126&gt;0,$AG126*#REF!*#REF!*(1+#REF!*(20/#REF!)/732),#REF!*Z126)</f>
        <v>#REF!</v>
      </c>
      <c r="BM126" s="167" t="e">
        <f>IF($AG126&gt;0,$AG126*#REF!*#REF!*(1+#REF!*(20/#REF!)/732),+#REF!*(Z126+X126))</f>
        <v>#REF!</v>
      </c>
      <c r="BN126" s="167" t="e">
        <f>IF(H126="Bundled",#REF!*Y126,#REF!*Y126*0.85)</f>
        <v>#REF!</v>
      </c>
      <c r="BO126" s="167" t="e">
        <f>+BE126*Y126</f>
        <v>#REF!</v>
      </c>
      <c r="BP126" s="167" t="e">
        <f>+#REF!*Y126</f>
        <v>#REF!</v>
      </c>
      <c r="BQ126" s="167" t="e">
        <f>+BJ126-BP126</f>
        <v>#REF!</v>
      </c>
      <c r="BR126" s="167" t="e">
        <f>+BK126-BL126</f>
        <v>#REF!</v>
      </c>
      <c r="BS126" s="167" t="e">
        <f>+BQ126+BR126</f>
        <v>#REF!</v>
      </c>
      <c r="BT126" s="167" t="e">
        <f>+Y126</f>
        <v>#REF!</v>
      </c>
      <c r="BU126" s="167" t="e">
        <f>+BE126</f>
        <v>#REF!</v>
      </c>
      <c r="BV126" s="167" t="e">
        <f>IF(H126="Bundled",BN126-BL126,AR126-BL126)</f>
        <v>#REF!</v>
      </c>
      <c r="BW126" s="167" t="e">
        <f>IF(H126="Bundled",+(BG126-#REF!)*Y126,(AP126+AQ126)-Y126*#REF!)</f>
        <v>#REF!</v>
      </c>
      <c r="BX126" s="167" t="e">
        <f>+BV126+BW126</f>
        <v>#REF!</v>
      </c>
      <c r="BY126" s="167" t="e">
        <f t="shared" ref="BY126:CA127" si="177">+BV126/$BT126</f>
        <v>#REF!</v>
      </c>
      <c r="BZ126" s="167" t="e">
        <f t="shared" si="177"/>
        <v>#REF!</v>
      </c>
      <c r="CA126" s="167" t="e">
        <f t="shared" si="177"/>
        <v>#REF!</v>
      </c>
    </row>
    <row r="127" spans="1:79" s="16" customFormat="1">
      <c r="A127" s="142" t="s">
        <v>48</v>
      </c>
      <c r="B127" s="143" t="s">
        <v>48</v>
      </c>
      <c r="C127" s="168" t="s">
        <v>347</v>
      </c>
      <c r="D127" s="168" t="s">
        <v>239</v>
      </c>
      <c r="E127" s="168"/>
      <c r="F127" s="168"/>
      <c r="G127" s="145" t="s">
        <v>169</v>
      </c>
      <c r="H127" s="146" t="s">
        <v>170</v>
      </c>
      <c r="I127" s="145" t="s">
        <v>132</v>
      </c>
      <c r="J127" s="145" t="s">
        <v>133</v>
      </c>
      <c r="K127" s="147" t="str">
        <f t="shared" si="175"/>
        <v>No of Racks</v>
      </c>
      <c r="L127" s="145">
        <v>25</v>
      </c>
      <c r="M127" s="145">
        <v>25</v>
      </c>
      <c r="N127" s="148">
        <f>L127-M127</f>
        <v>0</v>
      </c>
      <c r="O127" s="145">
        <v>25</v>
      </c>
      <c r="P127" s="145"/>
      <c r="Q127" s="149">
        <f>(390000)/12</f>
        <v>32500</v>
      </c>
      <c r="R127" s="150" t="str">
        <f t="shared" si="176"/>
        <v>Subscribed</v>
      </c>
      <c r="S127" s="145" t="s">
        <v>123</v>
      </c>
      <c r="T127" s="146">
        <v>125</v>
      </c>
      <c r="U127" s="327">
        <f t="shared" ref="U127:U132" si="178">Z127</f>
        <v>82.305744047619044</v>
      </c>
      <c r="V127" s="232">
        <f>T127-U127</f>
        <v>42.694255952380956</v>
      </c>
      <c r="W127" s="146"/>
      <c r="X127" s="146">
        <f>IF(V127&lt;=0,0,(IF(R127="Rated",(V127+W127)*#REF!,(V127+W127))))</f>
        <v>42.694255952380956</v>
      </c>
      <c r="Y127" s="146">
        <f>IF(R127="Rated",T127*#REF!,T127)</f>
        <v>125</v>
      </c>
      <c r="Z127" s="231">
        <f t="shared" ref="Z127:Z132" si="179">AG127/28/24</f>
        <v>82.305744047619044</v>
      </c>
      <c r="AA127" s="146">
        <f>IF((V127*-1)&gt;0, (V127*-1), 0)</f>
        <v>0</v>
      </c>
      <c r="AB127" s="152">
        <f>95000/12</f>
        <v>7916.666666666667</v>
      </c>
      <c r="AC127" s="153" t="str">
        <f>H127</f>
        <v>Metered</v>
      </c>
      <c r="AD127" s="146">
        <v>1</v>
      </c>
      <c r="AE127" s="146" t="s">
        <v>171</v>
      </c>
      <c r="AF127" s="154">
        <v>16.5</v>
      </c>
      <c r="AG127" s="146">
        <v>55309.46</v>
      </c>
      <c r="AH127" s="155"/>
      <c r="AI127" s="156"/>
      <c r="AJ127" s="146"/>
      <c r="AK127" s="146"/>
      <c r="AL127" s="146">
        <f>AJ127-AK127</f>
        <v>0</v>
      </c>
      <c r="AM127" s="146"/>
      <c r="AN127" s="146"/>
      <c r="AO127" s="149">
        <f>(0)/12</f>
        <v>0</v>
      </c>
      <c r="AP127" s="157">
        <f>Q127*O127</f>
        <v>812500</v>
      </c>
      <c r="AQ127" s="157">
        <f>AB127*AA127</f>
        <v>0</v>
      </c>
      <c r="AR127" s="158">
        <f>AG127*AF127*AD127</f>
        <v>912606.09</v>
      </c>
      <c r="AS127" s="157">
        <f>AO127*AM127</f>
        <v>0</v>
      </c>
      <c r="AT127" s="159">
        <f>(70000+12500)/12</f>
        <v>6875</v>
      </c>
      <c r="AU127" s="160">
        <f>SUBTOTAL(9,AP127:AT127)</f>
        <v>1731981.0899999999</v>
      </c>
      <c r="AV127" s="160"/>
      <c r="AW127" s="161">
        <v>121001252</v>
      </c>
      <c r="AX127" s="162"/>
      <c r="AY127" s="163"/>
      <c r="AZ127" s="162"/>
      <c r="BA127" s="164"/>
      <c r="BB127" s="5"/>
      <c r="BC127" s="165">
        <f>IF(I127="Rack",AU127/L127,0)+IF(I127="U Space",AU127*40/L127,0)+IF(I127="Space",AU127*30/L127,0)</f>
        <v>69279.243599999987</v>
      </c>
      <c r="BD127" s="165">
        <f>+AU127/Y127</f>
        <v>13855.848719999998</v>
      </c>
      <c r="BE127" s="165" t="e">
        <f>+($AP127+$AQ127+$AR127-BL127)/$Y127</f>
        <v>#REF!</v>
      </c>
      <c r="BF127" s="165" t="e">
        <f>+($AP127+$AQ127+$AR127-BM127)/$Y127</f>
        <v>#REF!</v>
      </c>
      <c r="BG127" s="165" t="e">
        <f>+($AP127+$AQ127+IF(H127="Bundled",0,Y127*0.85*AD127*AF127*30.5*24)-BN127)/$Y127</f>
        <v>#REF!</v>
      </c>
      <c r="BH127" s="165"/>
      <c r="BI127" s="166">
        <f>+AP127+AQ127+AR127</f>
        <v>1725106.0899999999</v>
      </c>
      <c r="BJ127" s="166">
        <f>+BI127-BK127</f>
        <v>812499.99999999988</v>
      </c>
      <c r="BK127" s="166">
        <f>IF(H127="Bundled",MIN(Y127*#REF!*(1+#REF!),BI127),AR127)</f>
        <v>912606.09</v>
      </c>
      <c r="BL127" s="167" t="e">
        <f>IF($AG127&gt;0,$AG127*#REF!*#REF!*(1+#REF!*(20/#REF!)/732),#REF!*Z127)</f>
        <v>#REF!</v>
      </c>
      <c r="BM127" s="167" t="e">
        <f>IF($AG127&gt;0,$AG127*#REF!*#REF!*(1+#REF!*(20/#REF!)/732),+#REF!*(Z127+X127))</f>
        <v>#REF!</v>
      </c>
      <c r="BN127" s="167" t="e">
        <f>IF(H127="Bundled",#REF!*Y127,#REF!*Y127*0.85)</f>
        <v>#REF!</v>
      </c>
      <c r="BO127" s="167" t="e">
        <f>+BE127*Y127</f>
        <v>#REF!</v>
      </c>
      <c r="BP127" s="167" t="e">
        <f>+#REF!*Y127</f>
        <v>#REF!</v>
      </c>
      <c r="BQ127" s="167" t="e">
        <f>+BJ127-BP127</f>
        <v>#REF!</v>
      </c>
      <c r="BR127" s="167" t="e">
        <f>+BK127-BL127</f>
        <v>#REF!</v>
      </c>
      <c r="BS127" s="167" t="e">
        <f>+BQ127+BR127</f>
        <v>#REF!</v>
      </c>
      <c r="BT127" s="167">
        <f>+Y127</f>
        <v>125</v>
      </c>
      <c r="BU127" s="167" t="e">
        <f>+BE127</f>
        <v>#REF!</v>
      </c>
      <c r="BV127" s="167" t="e">
        <f>IF(H127="Bundled",BN127-BL127,AR127-BL127)</f>
        <v>#REF!</v>
      </c>
      <c r="BW127" s="167" t="e">
        <f>IF(H127="Bundled",+(BG127-#REF!)*Y127,(AP127+AQ127)-Y127*#REF!)</f>
        <v>#REF!</v>
      </c>
      <c r="BX127" s="167" t="e">
        <f>+BV127+BW127</f>
        <v>#REF!</v>
      </c>
      <c r="BY127" s="167" t="e">
        <f t="shared" si="177"/>
        <v>#REF!</v>
      </c>
      <c r="BZ127" s="167" t="e">
        <f t="shared" si="177"/>
        <v>#REF!</v>
      </c>
      <c r="CA127" s="167" t="e">
        <f t="shared" si="177"/>
        <v>#REF!</v>
      </c>
    </row>
    <row r="128" spans="1:79" s="16" customFormat="1" ht="26.1">
      <c r="A128" s="142" t="s">
        <v>48</v>
      </c>
      <c r="B128" s="168" t="s">
        <v>436</v>
      </c>
      <c r="C128" s="168" t="s">
        <v>347</v>
      </c>
      <c r="D128" s="168" t="s">
        <v>239</v>
      </c>
      <c r="E128" s="168"/>
      <c r="F128" s="168"/>
      <c r="G128" s="145" t="s">
        <v>169</v>
      </c>
      <c r="H128" s="146" t="s">
        <v>131</v>
      </c>
      <c r="I128" s="145" t="s">
        <v>132</v>
      </c>
      <c r="J128" s="145" t="s">
        <v>133</v>
      </c>
      <c r="K128" s="147" t="str">
        <f t="shared" si="175"/>
        <v>No of Racks</v>
      </c>
      <c r="L128" s="145">
        <v>5</v>
      </c>
      <c r="M128" s="145">
        <v>5</v>
      </c>
      <c r="N128" s="148">
        <v>0</v>
      </c>
      <c r="O128" s="145">
        <v>5</v>
      </c>
      <c r="P128" s="145"/>
      <c r="Q128" s="336"/>
      <c r="R128" s="150" t="str">
        <f t="shared" si="176"/>
        <v>Subscribed</v>
      </c>
      <c r="S128" s="145" t="s">
        <v>123</v>
      </c>
      <c r="T128" s="146">
        <v>25</v>
      </c>
      <c r="U128" s="327">
        <f t="shared" si="178"/>
        <v>19.303229166666668</v>
      </c>
      <c r="V128" s="232">
        <f>T128-U128</f>
        <v>5.696770833333332</v>
      </c>
      <c r="W128" s="146"/>
      <c r="X128" s="146">
        <f>IF(V128&lt;=0,0,(IF(R128="Rated",(V128+W128)*#REF!,(V128+W128))))</f>
        <v>5.696770833333332</v>
      </c>
      <c r="Y128" s="146">
        <f>IF(R128="Rated",T128*#REF!,T128)</f>
        <v>25</v>
      </c>
      <c r="Z128" s="231">
        <f t="shared" si="179"/>
        <v>19.303229166666668</v>
      </c>
      <c r="AA128" s="146"/>
      <c r="AB128" s="152"/>
      <c r="AC128" s="153" t="s">
        <v>170</v>
      </c>
      <c r="AD128" s="146"/>
      <c r="AE128" s="146"/>
      <c r="AF128" s="154"/>
      <c r="AG128" s="146">
        <v>12971.77</v>
      </c>
      <c r="AH128" s="155"/>
      <c r="AI128" s="156"/>
      <c r="AJ128" s="146"/>
      <c r="AK128" s="146"/>
      <c r="AL128" s="146"/>
      <c r="AM128" s="146"/>
      <c r="AN128" s="146"/>
      <c r="AO128" s="149"/>
      <c r="AP128" s="157"/>
      <c r="AQ128" s="157"/>
      <c r="AR128" s="158"/>
      <c r="AS128" s="157"/>
      <c r="AT128" s="159"/>
      <c r="AU128" s="160"/>
      <c r="AV128" s="160"/>
      <c r="AW128" s="161"/>
      <c r="AX128" s="162"/>
      <c r="AY128" s="163"/>
      <c r="AZ128" s="162"/>
      <c r="BA128" s="164"/>
      <c r="BB128" s="5"/>
      <c r="BC128" s="165"/>
      <c r="BD128" s="165"/>
      <c r="BE128" s="165"/>
      <c r="BF128" s="165"/>
      <c r="BG128" s="165"/>
      <c r="BH128" s="165"/>
      <c r="BI128" s="166"/>
      <c r="BJ128" s="166"/>
      <c r="BK128" s="166"/>
      <c r="BL128" s="167" t="e">
        <f>IF($AG128&gt;0,$AG128*#REF!*#REF!*(1+#REF!*(20/#REF!)/732),#REF!*Z128)</f>
        <v>#REF!</v>
      </c>
      <c r="BM128" s="167" t="e">
        <f>IF($AG128&gt;0,$AG128*#REF!*#REF!*(1+#REF!*(20/#REF!)/732),+#REF!*(Z128+X128))</f>
        <v>#REF!</v>
      </c>
      <c r="BN128" s="167" t="e">
        <f>IF(H128="Bundled",#REF!*Y128,#REF!*Y128*0.85)</f>
        <v>#REF!</v>
      </c>
      <c r="BO128" s="167"/>
      <c r="BP128" s="167"/>
      <c r="BQ128" s="167"/>
      <c r="BR128" s="167"/>
      <c r="BS128" s="167"/>
      <c r="BT128" s="167"/>
      <c r="BU128" s="167"/>
      <c r="BV128" s="167"/>
      <c r="BW128" s="167"/>
      <c r="BX128" s="167"/>
      <c r="BY128" s="167"/>
      <c r="BZ128" s="167"/>
      <c r="CA128" s="167"/>
    </row>
    <row r="129" spans="1:79" s="16" customFormat="1" ht="26.1">
      <c r="A129" s="142" t="s">
        <v>48</v>
      </c>
      <c r="B129" s="168" t="s">
        <v>437</v>
      </c>
      <c r="C129" s="168" t="s">
        <v>347</v>
      </c>
      <c r="D129" s="168" t="s">
        <v>239</v>
      </c>
      <c r="E129" s="168"/>
      <c r="F129" s="168"/>
      <c r="G129" s="145" t="s">
        <v>169</v>
      </c>
      <c r="H129" s="146" t="s">
        <v>131</v>
      </c>
      <c r="I129" s="145" t="s">
        <v>132</v>
      </c>
      <c r="J129" s="145" t="s">
        <v>133</v>
      </c>
      <c r="K129" s="147" t="str">
        <f t="shared" si="175"/>
        <v>No of Racks</v>
      </c>
      <c r="L129" s="145">
        <v>6</v>
      </c>
      <c r="M129" s="145">
        <v>6</v>
      </c>
      <c r="N129" s="148">
        <v>0</v>
      </c>
      <c r="O129" s="145">
        <v>6</v>
      </c>
      <c r="P129" s="145"/>
      <c r="Q129" s="336"/>
      <c r="R129" s="150" t="str">
        <f t="shared" si="176"/>
        <v>Subscribed</v>
      </c>
      <c r="S129" s="145" t="s">
        <v>123</v>
      </c>
      <c r="T129" s="146">
        <v>30</v>
      </c>
      <c r="U129" s="327">
        <f t="shared" si="178"/>
        <v>18.113764880952381</v>
      </c>
      <c r="V129" s="232">
        <f>T129-U129</f>
        <v>11.886235119047619</v>
      </c>
      <c r="W129" s="146"/>
      <c r="X129" s="146">
        <f>IF(V129&lt;=0,0,(IF(R129="Rated",(V129+W129)*#REF!,(V129+W129))))</f>
        <v>11.886235119047619</v>
      </c>
      <c r="Y129" s="146">
        <f>IF(R129="Rated",T129*#REF!,T129)</f>
        <v>30</v>
      </c>
      <c r="Z129" s="231">
        <f t="shared" si="179"/>
        <v>18.113764880952381</v>
      </c>
      <c r="AA129" s="146"/>
      <c r="AB129" s="152"/>
      <c r="AC129" s="153" t="s">
        <v>170</v>
      </c>
      <c r="AD129" s="146"/>
      <c r="AE129" s="146"/>
      <c r="AF129" s="154"/>
      <c r="AG129" s="146">
        <v>12172.45</v>
      </c>
      <c r="AH129" s="155"/>
      <c r="AI129" s="156"/>
      <c r="AJ129" s="146"/>
      <c r="AK129" s="146"/>
      <c r="AL129" s="146"/>
      <c r="AM129" s="146"/>
      <c r="AN129" s="146"/>
      <c r="AO129" s="149"/>
      <c r="AP129" s="157"/>
      <c r="AQ129" s="157"/>
      <c r="AR129" s="158"/>
      <c r="AS129" s="157"/>
      <c r="AT129" s="159"/>
      <c r="AU129" s="160"/>
      <c r="AV129" s="160"/>
      <c r="AW129" s="161"/>
      <c r="AX129" s="162"/>
      <c r="AY129" s="163"/>
      <c r="AZ129" s="162"/>
      <c r="BA129" s="164"/>
      <c r="BB129" s="5"/>
      <c r="BC129" s="165"/>
      <c r="BD129" s="165"/>
      <c r="BE129" s="165"/>
      <c r="BF129" s="165"/>
      <c r="BG129" s="165"/>
      <c r="BH129" s="165"/>
      <c r="BI129" s="166"/>
      <c r="BJ129" s="166"/>
      <c r="BK129" s="166"/>
      <c r="BL129" s="167" t="e">
        <f>IF($AG129&gt;0,$AG129*#REF!*#REF!*(1+#REF!*(20/#REF!)/732),#REF!*Z129)</f>
        <v>#REF!</v>
      </c>
      <c r="BM129" s="167"/>
      <c r="BN129" s="167"/>
      <c r="BO129" s="167"/>
      <c r="BP129" s="167"/>
      <c r="BQ129" s="167"/>
      <c r="BR129" s="167"/>
      <c r="BS129" s="167"/>
      <c r="BT129" s="167"/>
      <c r="BU129" s="167"/>
      <c r="BV129" s="167"/>
      <c r="BW129" s="167"/>
      <c r="BX129" s="167"/>
      <c r="BY129" s="167"/>
      <c r="BZ129" s="167"/>
      <c r="CA129" s="167"/>
    </row>
    <row r="130" spans="1:79" s="16" customFormat="1">
      <c r="A130" s="142" t="s">
        <v>48</v>
      </c>
      <c r="B130" s="168" t="s">
        <v>438</v>
      </c>
      <c r="C130" s="168" t="s">
        <v>439</v>
      </c>
      <c r="D130" s="168"/>
      <c r="E130" s="168"/>
      <c r="F130" s="433">
        <v>45823</v>
      </c>
      <c r="G130" s="145" t="s">
        <v>169</v>
      </c>
      <c r="H130" s="146" t="s">
        <v>131</v>
      </c>
      <c r="I130" s="145" t="s">
        <v>132</v>
      </c>
      <c r="J130" s="145" t="s">
        <v>133</v>
      </c>
      <c r="K130" s="147" t="str">
        <f t="shared" si="175"/>
        <v>No of Racks</v>
      </c>
      <c r="L130" s="145">
        <v>7</v>
      </c>
      <c r="M130" s="145">
        <v>7</v>
      </c>
      <c r="N130" s="148">
        <v>0</v>
      </c>
      <c r="O130" s="145">
        <v>7</v>
      </c>
      <c r="P130" s="145"/>
      <c r="Q130" s="336"/>
      <c r="R130" s="150" t="str">
        <f t="shared" si="176"/>
        <v>Subscribed</v>
      </c>
      <c r="S130" s="145" t="s">
        <v>123</v>
      </c>
      <c r="T130" s="146">
        <v>21</v>
      </c>
      <c r="U130" s="327">
        <f t="shared" si="178"/>
        <v>6.1875148809523814</v>
      </c>
      <c r="V130" s="232"/>
      <c r="W130" s="146"/>
      <c r="X130" s="146"/>
      <c r="Y130" s="146">
        <f>IF(R130="Rated",T130*#REF!,T130)</f>
        <v>21</v>
      </c>
      <c r="Z130" s="231">
        <f t="shared" si="179"/>
        <v>6.1875148809523814</v>
      </c>
      <c r="AA130" s="146"/>
      <c r="AB130" s="152"/>
      <c r="AC130" s="153"/>
      <c r="AD130" s="146"/>
      <c r="AE130" s="146"/>
      <c r="AF130" s="154"/>
      <c r="AG130" s="146">
        <v>4158.01</v>
      </c>
      <c r="AH130" s="155"/>
      <c r="AI130" s="156"/>
      <c r="AJ130" s="146"/>
      <c r="AK130" s="146"/>
      <c r="AL130" s="146"/>
      <c r="AM130" s="146"/>
      <c r="AN130" s="146"/>
      <c r="AO130" s="149"/>
      <c r="AP130" s="157"/>
      <c r="AQ130" s="157"/>
      <c r="AR130" s="158"/>
      <c r="AS130" s="157"/>
      <c r="AT130" s="159"/>
      <c r="AU130" s="160"/>
      <c r="AV130" s="160"/>
      <c r="AW130" s="161"/>
      <c r="AX130" s="162"/>
      <c r="AY130" s="163"/>
      <c r="AZ130" s="162"/>
      <c r="BA130" s="164"/>
      <c r="BB130" s="5"/>
      <c r="BC130" s="165"/>
      <c r="BD130" s="165"/>
      <c r="BE130" s="165"/>
      <c r="BF130" s="165"/>
      <c r="BG130" s="165"/>
      <c r="BH130" s="165"/>
      <c r="BI130" s="166"/>
      <c r="BJ130" s="166"/>
      <c r="BK130" s="166"/>
      <c r="BL130" s="167" t="e">
        <f>IF($AG130&gt;0,$AG130*#REF!*#REF!*(1+#REF!*(20/#REF!)/732),#REF!*Z130)</f>
        <v>#REF!</v>
      </c>
      <c r="BM130" s="167"/>
      <c r="BN130" s="167"/>
      <c r="BO130" s="167"/>
      <c r="BP130" s="167"/>
      <c r="BQ130" s="167"/>
      <c r="BR130" s="167"/>
      <c r="BS130" s="167"/>
      <c r="BT130" s="167"/>
      <c r="BU130" s="167"/>
      <c r="BV130" s="167"/>
      <c r="BW130" s="167"/>
      <c r="BX130" s="167"/>
      <c r="BY130" s="167"/>
      <c r="BZ130" s="167"/>
      <c r="CA130" s="167"/>
    </row>
    <row r="131" spans="1:79" s="16" customFormat="1">
      <c r="A131" s="142" t="s">
        <v>48</v>
      </c>
      <c r="B131" s="143" t="s">
        <v>440</v>
      </c>
      <c r="C131" s="144" t="s">
        <v>441</v>
      </c>
      <c r="D131" s="144" t="s">
        <v>239</v>
      </c>
      <c r="E131" s="146">
        <v>7</v>
      </c>
      <c r="F131" s="146"/>
      <c r="G131" s="145" t="s">
        <v>169</v>
      </c>
      <c r="H131" s="146" t="s">
        <v>170</v>
      </c>
      <c r="I131" s="145" t="s">
        <v>59</v>
      </c>
      <c r="J131" s="145" t="s">
        <v>185</v>
      </c>
      <c r="K131" s="147" t="str">
        <f t="shared" si="175"/>
        <v>Sq Ft</v>
      </c>
      <c r="L131" s="200">
        <v>416</v>
      </c>
      <c r="M131" s="145">
        <v>416</v>
      </c>
      <c r="N131" s="148">
        <f t="shared" ref="N131:N155" si="180">L131-M131</f>
        <v>0</v>
      </c>
      <c r="O131" s="145">
        <v>20</v>
      </c>
      <c r="P131" s="145"/>
      <c r="Q131" s="149">
        <f>(3866280)/12</f>
        <v>322190</v>
      </c>
      <c r="R131" s="150" t="str">
        <f t="shared" si="176"/>
        <v>Subscribed</v>
      </c>
      <c r="S131" s="145" t="s">
        <v>123</v>
      </c>
      <c r="T131" s="146">
        <v>72</v>
      </c>
      <c r="U131" s="327">
        <f t="shared" si="178"/>
        <v>45.421443452380949</v>
      </c>
      <c r="V131" s="232">
        <f t="shared" ref="V131:V157" si="181">T131-U131</f>
        <v>26.578556547619051</v>
      </c>
      <c r="W131" s="146"/>
      <c r="X131" s="146">
        <f>IF(V131&lt;=0,0,(IF(R131="Rated",(V131+W131)*#REF!,(V131+W131))))</f>
        <v>26.578556547619051</v>
      </c>
      <c r="Y131" s="146">
        <f>IF(R131="Rated",T131*#REF!,T131)</f>
        <v>72</v>
      </c>
      <c r="Z131" s="231">
        <f t="shared" si="179"/>
        <v>45.421443452380949</v>
      </c>
      <c r="AA131" s="146">
        <f t="shared" ref="AA131:AA141" si="182">IF((V131*-1)&gt;0, (V131*-1), 0)</f>
        <v>0</v>
      </c>
      <c r="AB131" s="152">
        <f>70000/12</f>
        <v>5833.333333333333</v>
      </c>
      <c r="AC131" s="153" t="str">
        <f t="shared" ref="AC131:AC157" si="183">H131</f>
        <v>Metered</v>
      </c>
      <c r="AD131" s="146">
        <v>1</v>
      </c>
      <c r="AE131" s="146" t="s">
        <v>171</v>
      </c>
      <c r="AF131" s="154">
        <v>13.571</v>
      </c>
      <c r="AG131" s="146">
        <v>30523.21</v>
      </c>
      <c r="AH131" s="155" t="s">
        <v>141</v>
      </c>
      <c r="AI131" s="156" t="s">
        <v>141</v>
      </c>
      <c r="AJ131" s="146">
        <v>7</v>
      </c>
      <c r="AK131" s="146">
        <v>7</v>
      </c>
      <c r="AL131" s="146">
        <f t="shared" ref="AL131:AL141" si="184">AJ131-AK131</f>
        <v>0</v>
      </c>
      <c r="AM131" s="146">
        <v>7</v>
      </c>
      <c r="AN131" s="146"/>
      <c r="AO131" s="149">
        <f>(160000+200000)/12/7</f>
        <v>4285.7142857142853</v>
      </c>
      <c r="AP131" s="157">
        <f t="shared" ref="AP131:AP141" si="185">Q131*O131</f>
        <v>6443800</v>
      </c>
      <c r="AQ131" s="157">
        <f t="shared" ref="AQ131:AQ141" si="186">AB131*AA131</f>
        <v>0</v>
      </c>
      <c r="AR131" s="158">
        <f t="shared" ref="AR131:AR141" si="187">AG131*AF131*AD131</f>
        <v>414230.48290999996</v>
      </c>
      <c r="AS131" s="157">
        <f t="shared" ref="AS131:AS141" si="188">AO131*AM131</f>
        <v>29999.999999999996</v>
      </c>
      <c r="AT131" s="159">
        <f t="shared" ref="AT131:AT138" si="189">0/12</f>
        <v>0</v>
      </c>
      <c r="AU131" s="160">
        <f t="shared" ref="AU131:AU141" si="190">SUBTOTAL(9,AP131:AT131)</f>
        <v>6888030.4829099998</v>
      </c>
      <c r="AV131" s="160"/>
      <c r="AW131" s="161"/>
      <c r="AX131" s="162"/>
      <c r="AY131" s="163"/>
      <c r="AZ131" s="162"/>
      <c r="BA131" s="164"/>
      <c r="BB131" s="5"/>
      <c r="BC131" s="165">
        <f t="shared" ref="BC131:BC141" si="191">IF(I131="Rack",AU131/L131,0)+IF(I131="U Space",AU131*40/L131,0)+IF(I131="Space",AU131*30/L131,0)</f>
        <v>496732.96751754801</v>
      </c>
      <c r="BD131" s="165">
        <f t="shared" ref="BD131:BD141" si="192">+AU131/Y131</f>
        <v>95667.09004041666</v>
      </c>
      <c r="BE131" s="165" t="e">
        <f t="shared" ref="BE131:BF138" si="193">+($AP131+$AQ131+$AR131-BL131)/$Y131</f>
        <v>#REF!</v>
      </c>
      <c r="BF131" s="165" t="e">
        <f t="shared" si="193"/>
        <v>#REF!</v>
      </c>
      <c r="BG131" s="165" t="e">
        <f t="shared" ref="BG131:BG138" si="194">+($AP131+$AQ131+IF(H131="Bundled",0,Y131*0.85*AD131*AF131*30.5*24)-BN131)/$Y131</f>
        <v>#REF!</v>
      </c>
      <c r="BH131" s="165"/>
      <c r="BI131" s="166">
        <f t="shared" ref="BI131:BI141" si="195">+AP131+AQ131+AR131</f>
        <v>6858030.4829099998</v>
      </c>
      <c r="BJ131" s="166">
        <f t="shared" ref="BJ131:BJ141" si="196">+BI131-BK131</f>
        <v>6443800</v>
      </c>
      <c r="BK131" s="166">
        <f>IF(H131="Bundled",MIN(Y131*#REF!*(1+#REF!),BI131),AR131)</f>
        <v>414230.48290999996</v>
      </c>
      <c r="BL131" s="167" t="e">
        <f>IF($AG131&gt;0,$AG131*#REF!*#REF!*(1+#REF!*(20/#REF!)/732),#REF!*Z131)</f>
        <v>#REF!</v>
      </c>
      <c r="BM131" s="167" t="e">
        <f>IF($AG131&gt;0,$AG131*#REF!*#REF!*(1+#REF!*(20/#REF!)/732),+#REF!*(Z131+X131))</f>
        <v>#REF!</v>
      </c>
      <c r="BN131" s="167" t="e">
        <f>IF(H131="Bundled",#REF!*Y131,#REF!*Y131*0.85)</f>
        <v>#REF!</v>
      </c>
      <c r="BO131" s="167" t="e">
        <f t="shared" ref="BO131:BO141" si="197">+BE131*Y131</f>
        <v>#REF!</v>
      </c>
      <c r="BP131" s="167" t="e">
        <f>+#REF!*Y131</f>
        <v>#REF!</v>
      </c>
      <c r="BQ131" s="167" t="e">
        <f t="shared" ref="BQ131:BQ141" si="198">+BJ131-BP131</f>
        <v>#REF!</v>
      </c>
      <c r="BR131" s="167" t="e">
        <f t="shared" ref="BR131:BR141" si="199">+BK131-BL131</f>
        <v>#REF!</v>
      </c>
      <c r="BS131" s="167" t="e">
        <f t="shared" ref="BS131:BS141" si="200">+BQ131+BR131</f>
        <v>#REF!</v>
      </c>
      <c r="BT131" s="167">
        <f t="shared" ref="BT131:BT157" si="201">+Y131</f>
        <v>72</v>
      </c>
      <c r="BU131" s="167" t="e">
        <f t="shared" ref="BU131:BU141" si="202">+BE131</f>
        <v>#REF!</v>
      </c>
      <c r="BV131" s="167" t="e">
        <f t="shared" ref="BV131:BV141" si="203">IF(H131="Bundled",BN131-BL131,AR131-BL131)</f>
        <v>#REF!</v>
      </c>
      <c r="BW131" s="167" t="e">
        <f>IF(H131="Bundled",+(BG131-#REF!)*Y131,(AP131+AQ131)-Y131*#REF!)</f>
        <v>#REF!</v>
      </c>
      <c r="BX131" s="167" t="e">
        <f t="shared" ref="BX131:BX141" si="204">+BV131+BW131</f>
        <v>#REF!</v>
      </c>
      <c r="BY131" s="167" t="e">
        <f t="shared" ref="BY131:CA138" si="205">+BV131/$BT131</f>
        <v>#REF!</v>
      </c>
      <c r="BZ131" s="167" t="e">
        <f t="shared" si="205"/>
        <v>#REF!</v>
      </c>
      <c r="CA131" s="167" t="e">
        <f t="shared" si="205"/>
        <v>#REF!</v>
      </c>
    </row>
    <row r="132" spans="1:79" s="16" customFormat="1">
      <c r="A132" s="142" t="s">
        <v>48</v>
      </c>
      <c r="B132" s="321" t="s">
        <v>48</v>
      </c>
      <c r="C132" s="196" t="s">
        <v>332</v>
      </c>
      <c r="D132" s="196" t="s">
        <v>239</v>
      </c>
      <c r="E132" s="196"/>
      <c r="F132" s="196"/>
      <c r="G132" s="145" t="s">
        <v>169</v>
      </c>
      <c r="H132" s="146" t="s">
        <v>170</v>
      </c>
      <c r="I132" s="145" t="s">
        <v>59</v>
      </c>
      <c r="J132" s="145" t="s">
        <v>185</v>
      </c>
      <c r="K132" s="147" t="s">
        <v>252</v>
      </c>
      <c r="L132" s="145">
        <v>904</v>
      </c>
      <c r="M132" s="145">
        <v>904</v>
      </c>
      <c r="N132" s="148">
        <f t="shared" si="180"/>
        <v>0</v>
      </c>
      <c r="O132" s="145">
        <v>19</v>
      </c>
      <c r="P132" s="145"/>
      <c r="Q132" s="149">
        <f>(0)/12</f>
        <v>0</v>
      </c>
      <c r="R132" s="150" t="str">
        <f t="shared" si="176"/>
        <v>Subscribed</v>
      </c>
      <c r="S132" s="145" t="s">
        <v>123</v>
      </c>
      <c r="T132" s="146">
        <v>119</v>
      </c>
      <c r="U132" s="327">
        <f t="shared" si="178"/>
        <v>110.23504464285713</v>
      </c>
      <c r="V132" s="232">
        <f t="shared" si="181"/>
        <v>8.7649553571428669</v>
      </c>
      <c r="W132" s="146"/>
      <c r="X132" s="146">
        <f>IF(V132&lt;=0,0,(IF(R132="Rated",(V132+W132)*#REF!,(V132+W132))))</f>
        <v>8.7649553571428669</v>
      </c>
      <c r="Y132" s="146">
        <f>IF(R132="Rated",T132*#REF!,T132)</f>
        <v>119</v>
      </c>
      <c r="Z132" s="231">
        <f t="shared" si="179"/>
        <v>110.23504464285713</v>
      </c>
      <c r="AA132" s="146">
        <f t="shared" si="182"/>
        <v>0</v>
      </c>
      <c r="AB132" s="152">
        <v>0</v>
      </c>
      <c r="AC132" s="153" t="str">
        <f t="shared" si="183"/>
        <v>Metered</v>
      </c>
      <c r="AD132" s="146">
        <v>1.7</v>
      </c>
      <c r="AE132" s="146" t="s">
        <v>171</v>
      </c>
      <c r="AF132" s="154"/>
      <c r="AG132" s="146">
        <v>74077.95</v>
      </c>
      <c r="AH132" s="155"/>
      <c r="AI132" s="156"/>
      <c r="AJ132" s="146"/>
      <c r="AK132" s="146"/>
      <c r="AL132" s="146">
        <f t="shared" si="184"/>
        <v>0</v>
      </c>
      <c r="AM132" s="146"/>
      <c r="AN132" s="146"/>
      <c r="AO132" s="149">
        <f t="shared" ref="AO132" si="206">(0)/12</f>
        <v>0</v>
      </c>
      <c r="AP132" s="157">
        <f t="shared" si="185"/>
        <v>0</v>
      </c>
      <c r="AQ132" s="157">
        <f t="shared" si="186"/>
        <v>0</v>
      </c>
      <c r="AR132" s="158">
        <f t="shared" si="187"/>
        <v>0</v>
      </c>
      <c r="AS132" s="157">
        <f t="shared" si="188"/>
        <v>0</v>
      </c>
      <c r="AT132" s="159">
        <f t="shared" si="189"/>
        <v>0</v>
      </c>
      <c r="AU132" s="160">
        <f t="shared" si="190"/>
        <v>0</v>
      </c>
      <c r="AV132" s="160"/>
      <c r="AW132" s="161"/>
      <c r="AX132" s="162"/>
      <c r="AY132" s="163"/>
      <c r="AZ132" s="162"/>
      <c r="BA132" s="164"/>
      <c r="BB132" s="5"/>
      <c r="BC132" s="165">
        <f t="shared" si="191"/>
        <v>0</v>
      </c>
      <c r="BD132" s="165">
        <f t="shared" si="192"/>
        <v>0</v>
      </c>
      <c r="BE132" s="165" t="e">
        <f t="shared" si="193"/>
        <v>#REF!</v>
      </c>
      <c r="BF132" s="165" t="e">
        <f t="shared" si="193"/>
        <v>#REF!</v>
      </c>
      <c r="BG132" s="165" t="e">
        <f t="shared" si="194"/>
        <v>#REF!</v>
      </c>
      <c r="BH132" s="165"/>
      <c r="BI132" s="166">
        <f t="shared" si="195"/>
        <v>0</v>
      </c>
      <c r="BJ132" s="166">
        <f t="shared" si="196"/>
        <v>0</v>
      </c>
      <c r="BK132" s="166">
        <f>IF(H132="Bundled",MIN(Y132*#REF!*(1+#REF!),BI132),AR132)</f>
        <v>0</v>
      </c>
      <c r="BL132" s="167" t="e">
        <f>IF($AG132&gt;0,$AG132*#REF!*#REF!*(1+#REF!*(20/#REF!)/732),#REF!*Z132)</f>
        <v>#REF!</v>
      </c>
      <c r="BM132" s="167" t="e">
        <f>IF($AG132&gt;0,$AG132*#REF!*#REF!*(1+#REF!*(20/#REF!)/732),+#REF!*(Z132+X132))</f>
        <v>#REF!</v>
      </c>
      <c r="BN132" s="167" t="e">
        <f>IF(H132="Bundled",#REF!*Y132,#REF!*Y132*0.85)</f>
        <v>#REF!</v>
      </c>
      <c r="BO132" s="167" t="e">
        <f t="shared" si="197"/>
        <v>#REF!</v>
      </c>
      <c r="BP132" s="167" t="e">
        <f>+#REF!*Y132</f>
        <v>#REF!</v>
      </c>
      <c r="BQ132" s="167" t="e">
        <f t="shared" si="198"/>
        <v>#REF!</v>
      </c>
      <c r="BR132" s="167" t="e">
        <f t="shared" si="199"/>
        <v>#REF!</v>
      </c>
      <c r="BS132" s="167" t="e">
        <f t="shared" si="200"/>
        <v>#REF!</v>
      </c>
      <c r="BT132" s="167">
        <f t="shared" si="201"/>
        <v>119</v>
      </c>
      <c r="BU132" s="167" t="e">
        <f t="shared" si="202"/>
        <v>#REF!</v>
      </c>
      <c r="BV132" s="167" t="e">
        <f t="shared" si="203"/>
        <v>#REF!</v>
      </c>
      <c r="BW132" s="167" t="e">
        <f>IF(H132="Bundled",+(BG132-#REF!)*Y132,(AP132+AQ132)-Y132*#REF!)</f>
        <v>#REF!</v>
      </c>
      <c r="BX132" s="167" t="e">
        <f t="shared" si="204"/>
        <v>#REF!</v>
      </c>
      <c r="BY132" s="167" t="e">
        <f t="shared" si="205"/>
        <v>#REF!</v>
      </c>
      <c r="BZ132" s="167" t="e">
        <f t="shared" si="205"/>
        <v>#REF!</v>
      </c>
      <c r="CA132" s="167" t="e">
        <f t="shared" si="205"/>
        <v>#REF!</v>
      </c>
    </row>
    <row r="133" spans="1:79" s="16" customFormat="1">
      <c r="A133" s="142" t="s">
        <v>48</v>
      </c>
      <c r="B133" s="143" t="s">
        <v>442</v>
      </c>
      <c r="C133" s="144" t="s">
        <v>443</v>
      </c>
      <c r="D133" s="144" t="s">
        <v>239</v>
      </c>
      <c r="E133" s="144"/>
      <c r="F133" s="144"/>
      <c r="G133" s="145" t="s">
        <v>130</v>
      </c>
      <c r="H133" s="146" t="s">
        <v>131</v>
      </c>
      <c r="I133" s="145" t="s">
        <v>132</v>
      </c>
      <c r="J133" s="145" t="s">
        <v>133</v>
      </c>
      <c r="K133" s="147" t="str">
        <f t="shared" ref="K133:K155" si="207">IF(I133="Rack","No of Racks",(IF(I133="Space","Sq Ft","U Space")))</f>
        <v>No of Racks</v>
      </c>
      <c r="L133" s="145">
        <v>4</v>
      </c>
      <c r="M133" s="145">
        <v>4</v>
      </c>
      <c r="N133" s="148">
        <f t="shared" si="180"/>
        <v>0</v>
      </c>
      <c r="O133" s="145">
        <v>4</v>
      </c>
      <c r="P133" s="145"/>
      <c r="Q133" s="149">
        <f>(883647)/12</f>
        <v>73637.25</v>
      </c>
      <c r="R133" s="150" t="str">
        <f t="shared" si="176"/>
        <v>Rated</v>
      </c>
      <c r="S133" s="145" t="s">
        <v>134</v>
      </c>
      <c r="T133" s="146">
        <v>40</v>
      </c>
      <c r="U133" s="151">
        <v>45.34</v>
      </c>
      <c r="V133" s="232">
        <f t="shared" si="181"/>
        <v>-5.3400000000000034</v>
      </c>
      <c r="W133" s="146"/>
      <c r="X133" s="146">
        <f>IF(V133&lt;=0,0,(IF(R133="Rated",(V133+W133)*#REF!,(V133+W133))))</f>
        <v>0</v>
      </c>
      <c r="Y133" s="146" t="e">
        <f>IF(R133="Rated",T133*#REF!,T133)</f>
        <v>#REF!</v>
      </c>
      <c r="Z133" s="231">
        <v>12.98</v>
      </c>
      <c r="AA133" s="146">
        <f t="shared" si="182"/>
        <v>5.3400000000000034</v>
      </c>
      <c r="AB133" s="152">
        <f>99000/12</f>
        <v>8250</v>
      </c>
      <c r="AC133" s="153" t="str">
        <f t="shared" si="183"/>
        <v>Bundled</v>
      </c>
      <c r="AD133" s="146"/>
      <c r="AE133" s="146"/>
      <c r="AF133" s="154"/>
      <c r="AG133" s="146"/>
      <c r="AH133" s="155"/>
      <c r="AI133" s="156"/>
      <c r="AJ133" s="146"/>
      <c r="AK133" s="146"/>
      <c r="AL133" s="146">
        <f t="shared" si="184"/>
        <v>0</v>
      </c>
      <c r="AM133" s="146"/>
      <c r="AN133" s="146"/>
      <c r="AO133" s="149">
        <f>(0)/12</f>
        <v>0</v>
      </c>
      <c r="AP133" s="157">
        <f t="shared" si="185"/>
        <v>294549</v>
      </c>
      <c r="AQ133" s="157">
        <f t="shared" si="186"/>
        <v>44055.000000000029</v>
      </c>
      <c r="AR133" s="158">
        <f t="shared" si="187"/>
        <v>0</v>
      </c>
      <c r="AS133" s="157">
        <f t="shared" si="188"/>
        <v>0</v>
      </c>
      <c r="AT133" s="159">
        <f t="shared" si="189"/>
        <v>0</v>
      </c>
      <c r="AU133" s="160">
        <f t="shared" si="190"/>
        <v>338604</v>
      </c>
      <c r="AV133" s="160"/>
      <c r="AW133" s="161"/>
      <c r="AX133" s="162"/>
      <c r="AY133" s="163"/>
      <c r="AZ133" s="162"/>
      <c r="BA133" s="164"/>
      <c r="BB133" s="5"/>
      <c r="BC133" s="165">
        <f t="shared" si="191"/>
        <v>84651</v>
      </c>
      <c r="BD133" s="165" t="e">
        <f t="shared" si="192"/>
        <v>#REF!</v>
      </c>
      <c r="BE133" s="165" t="e">
        <f t="shared" si="193"/>
        <v>#REF!</v>
      </c>
      <c r="BF133" s="165" t="e">
        <f t="shared" si="193"/>
        <v>#REF!</v>
      </c>
      <c r="BG133" s="165" t="e">
        <f t="shared" si="194"/>
        <v>#REF!</v>
      </c>
      <c r="BH133" s="165"/>
      <c r="BI133" s="166">
        <f t="shared" si="195"/>
        <v>338604</v>
      </c>
      <c r="BJ133" s="166" t="e">
        <f t="shared" si="196"/>
        <v>#REF!</v>
      </c>
      <c r="BK133" s="166" t="e">
        <f>IF(H133="Bundled",MIN(Y133*#REF!*(1+#REF!),BI133),AR133)</f>
        <v>#REF!</v>
      </c>
      <c r="BL133" s="167" t="e">
        <f>IF($AG133&gt;0,$AG133*#REF!*#REF!*(1+#REF!*(20/#REF!)/732),#REF!*Z133)</f>
        <v>#REF!</v>
      </c>
      <c r="BM133" s="167" t="e">
        <f>IF($AG133&gt;0,$AG133*#REF!*#REF!*(1+#REF!*(20/#REF!)/732),+#REF!*(Z133+X133))</f>
        <v>#REF!</v>
      </c>
      <c r="BN133" s="167" t="e">
        <f>IF(H133="Bundled",#REF!*Y133,#REF!*Y133*0.85)</f>
        <v>#REF!</v>
      </c>
      <c r="BO133" s="167" t="e">
        <f t="shared" si="197"/>
        <v>#REF!</v>
      </c>
      <c r="BP133" s="167" t="e">
        <f>+#REF!*Y133</f>
        <v>#REF!</v>
      </c>
      <c r="BQ133" s="167" t="e">
        <f t="shared" si="198"/>
        <v>#REF!</v>
      </c>
      <c r="BR133" s="167" t="e">
        <f t="shared" si="199"/>
        <v>#REF!</v>
      </c>
      <c r="BS133" s="167" t="e">
        <f t="shared" si="200"/>
        <v>#REF!</v>
      </c>
      <c r="BT133" s="167" t="e">
        <f t="shared" si="201"/>
        <v>#REF!</v>
      </c>
      <c r="BU133" s="167" t="e">
        <f t="shared" si="202"/>
        <v>#REF!</v>
      </c>
      <c r="BV133" s="167" t="e">
        <f t="shared" si="203"/>
        <v>#REF!</v>
      </c>
      <c r="BW133" s="167" t="e">
        <f>IF(H133="Bundled",+(BG133-#REF!)*Y133,(AP133+AQ133)-Y133*#REF!)</f>
        <v>#REF!</v>
      </c>
      <c r="BX133" s="167" t="e">
        <f t="shared" si="204"/>
        <v>#REF!</v>
      </c>
      <c r="BY133" s="167" t="e">
        <f t="shared" si="205"/>
        <v>#REF!</v>
      </c>
      <c r="BZ133" s="167" t="e">
        <f t="shared" si="205"/>
        <v>#REF!</v>
      </c>
      <c r="CA133" s="167" t="e">
        <f t="shared" si="205"/>
        <v>#REF!</v>
      </c>
    </row>
    <row r="134" spans="1:79" s="16" customFormat="1">
      <c r="A134" s="142" t="s">
        <v>48</v>
      </c>
      <c r="B134" s="143" t="s">
        <v>444</v>
      </c>
      <c r="C134" s="144" t="s">
        <v>443</v>
      </c>
      <c r="D134" s="144" t="s">
        <v>239</v>
      </c>
      <c r="E134" s="144"/>
      <c r="F134" s="144"/>
      <c r="G134" s="145" t="s">
        <v>130</v>
      </c>
      <c r="H134" s="146" t="s">
        <v>131</v>
      </c>
      <c r="I134" s="145" t="s">
        <v>132</v>
      </c>
      <c r="J134" s="145" t="s">
        <v>133</v>
      </c>
      <c r="K134" s="147" t="str">
        <f t="shared" si="207"/>
        <v>No of Racks</v>
      </c>
      <c r="L134" s="145">
        <v>1</v>
      </c>
      <c r="M134" s="145">
        <v>1</v>
      </c>
      <c r="N134" s="148">
        <f t="shared" si="180"/>
        <v>0</v>
      </c>
      <c r="O134" s="145">
        <v>1</v>
      </c>
      <c r="P134" s="145"/>
      <c r="Q134" s="149"/>
      <c r="R134" s="150" t="str">
        <f t="shared" si="176"/>
        <v>Rated</v>
      </c>
      <c r="S134" s="145" t="s">
        <v>134</v>
      </c>
      <c r="T134" s="146">
        <v>6</v>
      </c>
      <c r="U134" s="151">
        <v>7.54</v>
      </c>
      <c r="V134" s="232">
        <f t="shared" si="181"/>
        <v>-1.54</v>
      </c>
      <c r="W134" s="146"/>
      <c r="X134" s="146">
        <f>IF(V134&lt;=0,0,(IF(R134="Rated",(V134+W134)*#REF!,(V134+W134))))</f>
        <v>0</v>
      </c>
      <c r="Y134" s="146" t="e">
        <f>IF(R134="Rated",T134*#REF!,T134)</f>
        <v>#REF!</v>
      </c>
      <c r="Z134" s="231">
        <v>3.03</v>
      </c>
      <c r="AA134" s="146">
        <f t="shared" si="182"/>
        <v>1.54</v>
      </c>
      <c r="AB134" s="152">
        <f>99000/12</f>
        <v>8250</v>
      </c>
      <c r="AC134" s="153" t="str">
        <f t="shared" si="183"/>
        <v>Bundled</v>
      </c>
      <c r="AD134" s="146"/>
      <c r="AE134" s="146"/>
      <c r="AF134" s="154"/>
      <c r="AG134" s="146"/>
      <c r="AH134" s="155"/>
      <c r="AI134" s="156"/>
      <c r="AJ134" s="146"/>
      <c r="AK134" s="146"/>
      <c r="AL134" s="146">
        <f t="shared" si="184"/>
        <v>0</v>
      </c>
      <c r="AM134" s="146"/>
      <c r="AN134" s="146"/>
      <c r="AO134" s="149">
        <f>(0)/12</f>
        <v>0</v>
      </c>
      <c r="AP134" s="157">
        <f t="shared" si="185"/>
        <v>0</v>
      </c>
      <c r="AQ134" s="157">
        <f t="shared" si="186"/>
        <v>12705</v>
      </c>
      <c r="AR134" s="158">
        <f t="shared" si="187"/>
        <v>0</v>
      </c>
      <c r="AS134" s="157">
        <f t="shared" si="188"/>
        <v>0</v>
      </c>
      <c r="AT134" s="159">
        <f t="shared" si="189"/>
        <v>0</v>
      </c>
      <c r="AU134" s="160">
        <f t="shared" si="190"/>
        <v>12705</v>
      </c>
      <c r="AV134" s="160"/>
      <c r="AW134" s="161"/>
      <c r="AX134" s="162"/>
      <c r="AY134" s="163"/>
      <c r="AZ134" s="162"/>
      <c r="BA134" s="164"/>
      <c r="BB134" s="5"/>
      <c r="BC134" s="165">
        <f t="shared" si="191"/>
        <v>12705</v>
      </c>
      <c r="BD134" s="165" t="e">
        <f t="shared" si="192"/>
        <v>#REF!</v>
      </c>
      <c r="BE134" s="165" t="e">
        <f t="shared" si="193"/>
        <v>#REF!</v>
      </c>
      <c r="BF134" s="165" t="e">
        <f t="shared" si="193"/>
        <v>#REF!</v>
      </c>
      <c r="BG134" s="165" t="e">
        <f t="shared" si="194"/>
        <v>#REF!</v>
      </c>
      <c r="BH134" s="165"/>
      <c r="BI134" s="166">
        <f t="shared" si="195"/>
        <v>12705</v>
      </c>
      <c r="BJ134" s="166" t="e">
        <f t="shared" si="196"/>
        <v>#REF!</v>
      </c>
      <c r="BK134" s="166" t="e">
        <f>IF(H134="Bundled",MIN(Y134*#REF!*(1+#REF!),BI134),AR134)</f>
        <v>#REF!</v>
      </c>
      <c r="BL134" s="167" t="e">
        <f>IF($AG134&gt;0,$AG134*#REF!*#REF!*(1+#REF!*(20/#REF!)/732),#REF!*Z134)</f>
        <v>#REF!</v>
      </c>
      <c r="BM134" s="167" t="e">
        <f>IF($AG134&gt;0,$AG134*#REF!*#REF!*(1+#REF!*(20/#REF!)/732),+#REF!*(Z134+X134))</f>
        <v>#REF!</v>
      </c>
      <c r="BN134" s="167" t="e">
        <f>IF(H134="Bundled",#REF!*Y134,#REF!*Y134*0.85)</f>
        <v>#REF!</v>
      </c>
      <c r="BO134" s="167" t="e">
        <f t="shared" si="197"/>
        <v>#REF!</v>
      </c>
      <c r="BP134" s="167" t="e">
        <f>+#REF!*Y134</f>
        <v>#REF!</v>
      </c>
      <c r="BQ134" s="167" t="e">
        <f t="shared" si="198"/>
        <v>#REF!</v>
      </c>
      <c r="BR134" s="167" t="e">
        <f t="shared" si="199"/>
        <v>#REF!</v>
      </c>
      <c r="BS134" s="167" t="e">
        <f t="shared" si="200"/>
        <v>#REF!</v>
      </c>
      <c r="BT134" s="167" t="e">
        <f t="shared" si="201"/>
        <v>#REF!</v>
      </c>
      <c r="BU134" s="167" t="e">
        <f t="shared" si="202"/>
        <v>#REF!</v>
      </c>
      <c r="BV134" s="167" t="e">
        <f t="shared" si="203"/>
        <v>#REF!</v>
      </c>
      <c r="BW134" s="167" t="e">
        <f>IF(H134="Bundled",+(BG134-#REF!)*Y134,(AP134+AQ134)-Y134*#REF!)</f>
        <v>#REF!</v>
      </c>
      <c r="BX134" s="167" t="e">
        <f t="shared" si="204"/>
        <v>#REF!</v>
      </c>
      <c r="BY134" s="167" t="e">
        <f t="shared" si="205"/>
        <v>#REF!</v>
      </c>
      <c r="BZ134" s="167" t="e">
        <f t="shared" si="205"/>
        <v>#REF!</v>
      </c>
      <c r="CA134" s="167" t="e">
        <f t="shared" si="205"/>
        <v>#REF!</v>
      </c>
    </row>
    <row r="135" spans="1:79" s="16" customFormat="1">
      <c r="A135" s="142" t="s">
        <v>48</v>
      </c>
      <c r="B135" s="143" t="s">
        <v>445</v>
      </c>
      <c r="C135" s="144" t="s">
        <v>443</v>
      </c>
      <c r="D135" s="144" t="s">
        <v>239</v>
      </c>
      <c r="E135" s="144"/>
      <c r="F135" s="144"/>
      <c r="G135" s="145" t="s">
        <v>130</v>
      </c>
      <c r="H135" s="146" t="s">
        <v>131</v>
      </c>
      <c r="I135" s="145" t="s">
        <v>132</v>
      </c>
      <c r="J135" s="145" t="s">
        <v>133</v>
      </c>
      <c r="K135" s="147" t="str">
        <f t="shared" si="207"/>
        <v>No of Racks</v>
      </c>
      <c r="L135" s="145">
        <v>1</v>
      </c>
      <c r="M135" s="145">
        <v>1</v>
      </c>
      <c r="N135" s="148">
        <f t="shared" si="180"/>
        <v>0</v>
      </c>
      <c r="O135" s="145">
        <v>1</v>
      </c>
      <c r="P135" s="145"/>
      <c r="Q135" s="149"/>
      <c r="R135" s="150" t="str">
        <f t="shared" si="176"/>
        <v>Rated</v>
      </c>
      <c r="S135" s="145" t="s">
        <v>134</v>
      </c>
      <c r="T135" s="146">
        <v>10</v>
      </c>
      <c r="U135" s="151">
        <v>6.03</v>
      </c>
      <c r="V135" s="232">
        <f t="shared" si="181"/>
        <v>3.9699999999999998</v>
      </c>
      <c r="W135" s="146"/>
      <c r="X135" s="146" t="e">
        <f>IF(V135&lt;=0,0,(IF(R135="Rated",(V135+W135)*#REF!,(V135+W135))))</f>
        <v>#REF!</v>
      </c>
      <c r="Y135" s="146" t="e">
        <f>IF(R135="Rated",T135*#REF!,T135)</f>
        <v>#REF!</v>
      </c>
      <c r="Z135" s="231">
        <v>1.86</v>
      </c>
      <c r="AA135" s="146">
        <f t="shared" si="182"/>
        <v>0</v>
      </c>
      <c r="AB135" s="152">
        <f>99000/12</f>
        <v>8250</v>
      </c>
      <c r="AC135" s="153" t="str">
        <f t="shared" si="183"/>
        <v>Bundled</v>
      </c>
      <c r="AD135" s="146"/>
      <c r="AE135" s="146"/>
      <c r="AF135" s="154"/>
      <c r="AG135" s="146"/>
      <c r="AH135" s="155"/>
      <c r="AI135" s="156"/>
      <c r="AJ135" s="146"/>
      <c r="AK135" s="146"/>
      <c r="AL135" s="146">
        <f t="shared" si="184"/>
        <v>0</v>
      </c>
      <c r="AM135" s="146"/>
      <c r="AN135" s="146"/>
      <c r="AO135" s="149">
        <f>(0)/12</f>
        <v>0</v>
      </c>
      <c r="AP135" s="157">
        <f t="shared" si="185"/>
        <v>0</v>
      </c>
      <c r="AQ135" s="157">
        <f t="shared" si="186"/>
        <v>0</v>
      </c>
      <c r="AR135" s="158">
        <f t="shared" si="187"/>
        <v>0</v>
      </c>
      <c r="AS135" s="157">
        <f t="shared" si="188"/>
        <v>0</v>
      </c>
      <c r="AT135" s="159">
        <f t="shared" si="189"/>
        <v>0</v>
      </c>
      <c r="AU135" s="160">
        <f t="shared" si="190"/>
        <v>0</v>
      </c>
      <c r="AV135" s="160"/>
      <c r="AW135" s="161"/>
      <c r="AX135" s="162"/>
      <c r="AY135" s="163"/>
      <c r="AZ135" s="162"/>
      <c r="BA135" s="164"/>
      <c r="BB135" s="5"/>
      <c r="BC135" s="165">
        <f t="shared" si="191"/>
        <v>0</v>
      </c>
      <c r="BD135" s="165" t="e">
        <f t="shared" si="192"/>
        <v>#REF!</v>
      </c>
      <c r="BE135" s="165" t="e">
        <f t="shared" si="193"/>
        <v>#REF!</v>
      </c>
      <c r="BF135" s="165" t="e">
        <f t="shared" si="193"/>
        <v>#REF!</v>
      </c>
      <c r="BG135" s="165" t="e">
        <f t="shared" si="194"/>
        <v>#REF!</v>
      </c>
      <c r="BH135" s="165"/>
      <c r="BI135" s="166">
        <f t="shared" si="195"/>
        <v>0</v>
      </c>
      <c r="BJ135" s="166" t="e">
        <f t="shared" si="196"/>
        <v>#REF!</v>
      </c>
      <c r="BK135" s="166" t="e">
        <f>IF(H135="Bundled",MIN(Y135*#REF!*(1+#REF!),BI135),AR135)</f>
        <v>#REF!</v>
      </c>
      <c r="BL135" s="167" t="e">
        <f>IF($AG135&gt;0,$AG135*#REF!*#REF!*(1+#REF!*(20/#REF!)/732),#REF!*Z135)</f>
        <v>#REF!</v>
      </c>
      <c r="BM135" s="167" t="e">
        <f>IF($AG135&gt;0,$AG135*#REF!*#REF!*(1+#REF!*(20/#REF!)/732),+#REF!*(Z135+X135))</f>
        <v>#REF!</v>
      </c>
      <c r="BN135" s="167" t="e">
        <f>IF(H135="Bundled",#REF!*Y135,#REF!*Y135*0.85)</f>
        <v>#REF!</v>
      </c>
      <c r="BO135" s="167" t="e">
        <f t="shared" si="197"/>
        <v>#REF!</v>
      </c>
      <c r="BP135" s="167" t="e">
        <f>+#REF!*Y135</f>
        <v>#REF!</v>
      </c>
      <c r="BQ135" s="167" t="e">
        <f t="shared" si="198"/>
        <v>#REF!</v>
      </c>
      <c r="BR135" s="167" t="e">
        <f t="shared" si="199"/>
        <v>#REF!</v>
      </c>
      <c r="BS135" s="167" t="e">
        <f t="shared" si="200"/>
        <v>#REF!</v>
      </c>
      <c r="BT135" s="167" t="e">
        <f t="shared" si="201"/>
        <v>#REF!</v>
      </c>
      <c r="BU135" s="167" t="e">
        <f t="shared" si="202"/>
        <v>#REF!</v>
      </c>
      <c r="BV135" s="167" t="e">
        <f t="shared" si="203"/>
        <v>#REF!</v>
      </c>
      <c r="BW135" s="167" t="e">
        <f>IF(H135="Bundled",+(BG135-#REF!)*Y135,(AP135+AQ135)-Y135*#REF!)</f>
        <v>#REF!</v>
      </c>
      <c r="BX135" s="167" t="e">
        <f t="shared" si="204"/>
        <v>#REF!</v>
      </c>
      <c r="BY135" s="167" t="e">
        <f t="shared" si="205"/>
        <v>#REF!</v>
      </c>
      <c r="BZ135" s="167" t="e">
        <f t="shared" si="205"/>
        <v>#REF!</v>
      </c>
      <c r="CA135" s="167" t="e">
        <f t="shared" si="205"/>
        <v>#REF!</v>
      </c>
    </row>
    <row r="136" spans="1:79" s="16" customFormat="1">
      <c r="A136" s="142" t="s">
        <v>48</v>
      </c>
      <c r="B136" s="143" t="s">
        <v>446</v>
      </c>
      <c r="C136" s="144" t="s">
        <v>443</v>
      </c>
      <c r="D136" s="144" t="s">
        <v>239</v>
      </c>
      <c r="E136" s="144"/>
      <c r="F136" s="144"/>
      <c r="G136" s="145" t="s">
        <v>130</v>
      </c>
      <c r="H136" s="146" t="s">
        <v>131</v>
      </c>
      <c r="I136" s="145" t="s">
        <v>132</v>
      </c>
      <c r="J136" s="145" t="s">
        <v>133</v>
      </c>
      <c r="K136" s="147" t="str">
        <f t="shared" si="207"/>
        <v>No of Racks</v>
      </c>
      <c r="L136" s="145">
        <v>1</v>
      </c>
      <c r="M136" s="145">
        <v>1</v>
      </c>
      <c r="N136" s="148">
        <f t="shared" si="180"/>
        <v>0</v>
      </c>
      <c r="O136" s="145">
        <v>1</v>
      </c>
      <c r="P136" s="145"/>
      <c r="Q136" s="149"/>
      <c r="R136" s="150" t="str">
        <f t="shared" si="176"/>
        <v>Rated</v>
      </c>
      <c r="S136" s="145" t="s">
        <v>134</v>
      </c>
      <c r="T136" s="146">
        <v>10</v>
      </c>
      <c r="U136" s="151">
        <v>5.41</v>
      </c>
      <c r="V136" s="232">
        <f t="shared" si="181"/>
        <v>4.59</v>
      </c>
      <c r="W136" s="146"/>
      <c r="X136" s="146" t="e">
        <f>IF(V136&lt;=0,0,(IF(R136="Rated",(V136+W136)*#REF!,(V136+W136))))</f>
        <v>#REF!</v>
      </c>
      <c r="Y136" s="146" t="e">
        <f>IF(R136="Rated",T136*#REF!,T136)</f>
        <v>#REF!</v>
      </c>
      <c r="Z136" s="231">
        <v>0.66</v>
      </c>
      <c r="AA136" s="146">
        <f t="shared" si="182"/>
        <v>0</v>
      </c>
      <c r="AB136" s="152">
        <f>99000/12</f>
        <v>8250</v>
      </c>
      <c r="AC136" s="153" t="str">
        <f t="shared" si="183"/>
        <v>Bundled</v>
      </c>
      <c r="AD136" s="146"/>
      <c r="AE136" s="146"/>
      <c r="AF136" s="154"/>
      <c r="AG136" s="146"/>
      <c r="AH136" s="155"/>
      <c r="AI136" s="156"/>
      <c r="AJ136" s="146"/>
      <c r="AK136" s="146"/>
      <c r="AL136" s="146">
        <f t="shared" si="184"/>
        <v>0</v>
      </c>
      <c r="AM136" s="146"/>
      <c r="AN136" s="146"/>
      <c r="AO136" s="149">
        <f>(0)/12</f>
        <v>0</v>
      </c>
      <c r="AP136" s="157">
        <f t="shared" si="185"/>
        <v>0</v>
      </c>
      <c r="AQ136" s="157">
        <f t="shared" si="186"/>
        <v>0</v>
      </c>
      <c r="AR136" s="158">
        <f t="shared" si="187"/>
        <v>0</v>
      </c>
      <c r="AS136" s="157">
        <f t="shared" si="188"/>
        <v>0</v>
      </c>
      <c r="AT136" s="159">
        <f t="shared" si="189"/>
        <v>0</v>
      </c>
      <c r="AU136" s="160">
        <f t="shared" si="190"/>
        <v>0</v>
      </c>
      <c r="AV136" s="160"/>
      <c r="AW136" s="161"/>
      <c r="AX136" s="162"/>
      <c r="AY136" s="163"/>
      <c r="AZ136" s="162"/>
      <c r="BA136" s="164"/>
      <c r="BB136" s="5"/>
      <c r="BC136" s="165">
        <f t="shared" si="191"/>
        <v>0</v>
      </c>
      <c r="BD136" s="165" t="e">
        <f t="shared" si="192"/>
        <v>#REF!</v>
      </c>
      <c r="BE136" s="165" t="e">
        <f t="shared" si="193"/>
        <v>#REF!</v>
      </c>
      <c r="BF136" s="165" t="e">
        <f t="shared" si="193"/>
        <v>#REF!</v>
      </c>
      <c r="BG136" s="165" t="e">
        <f t="shared" si="194"/>
        <v>#REF!</v>
      </c>
      <c r="BH136" s="165"/>
      <c r="BI136" s="166">
        <f t="shared" si="195"/>
        <v>0</v>
      </c>
      <c r="BJ136" s="166" t="e">
        <f t="shared" si="196"/>
        <v>#REF!</v>
      </c>
      <c r="BK136" s="166" t="e">
        <f>IF(H136="Bundled",MIN(Y136*#REF!*(1+#REF!),BI136),AR136)</f>
        <v>#REF!</v>
      </c>
      <c r="BL136" s="167" t="e">
        <f>IF($AG136&gt;0,$AG136*#REF!*#REF!*(1+#REF!*(20/#REF!)/732),#REF!*Z136)</f>
        <v>#REF!</v>
      </c>
      <c r="BM136" s="167" t="e">
        <f>IF($AG136&gt;0,$AG136*#REF!*#REF!*(1+#REF!*(20/#REF!)/732),+#REF!*(Z136+X136))</f>
        <v>#REF!</v>
      </c>
      <c r="BN136" s="167" t="e">
        <f>IF(H136="Bundled",#REF!*Y136,#REF!*Y136*0.85)</f>
        <v>#REF!</v>
      </c>
      <c r="BO136" s="167" t="e">
        <f t="shared" si="197"/>
        <v>#REF!</v>
      </c>
      <c r="BP136" s="167" t="e">
        <f>+#REF!*Y136</f>
        <v>#REF!</v>
      </c>
      <c r="BQ136" s="167" t="e">
        <f t="shared" si="198"/>
        <v>#REF!</v>
      </c>
      <c r="BR136" s="167" t="e">
        <f t="shared" si="199"/>
        <v>#REF!</v>
      </c>
      <c r="BS136" s="167" t="e">
        <f t="shared" si="200"/>
        <v>#REF!</v>
      </c>
      <c r="BT136" s="167" t="e">
        <f t="shared" si="201"/>
        <v>#REF!</v>
      </c>
      <c r="BU136" s="167" t="e">
        <f t="shared" si="202"/>
        <v>#REF!</v>
      </c>
      <c r="BV136" s="167" t="e">
        <f t="shared" si="203"/>
        <v>#REF!</v>
      </c>
      <c r="BW136" s="167" t="e">
        <f>IF(H136="Bundled",+(BG136-#REF!)*Y136,(AP136+AQ136)-Y136*#REF!)</f>
        <v>#REF!</v>
      </c>
      <c r="BX136" s="167" t="e">
        <f t="shared" si="204"/>
        <v>#REF!</v>
      </c>
      <c r="BY136" s="167" t="e">
        <f t="shared" si="205"/>
        <v>#REF!</v>
      </c>
      <c r="BZ136" s="167" t="e">
        <f t="shared" si="205"/>
        <v>#REF!</v>
      </c>
      <c r="CA136" s="167" t="e">
        <f t="shared" si="205"/>
        <v>#REF!</v>
      </c>
    </row>
    <row r="137" spans="1:79" s="16" customFormat="1">
      <c r="A137" s="142" t="s">
        <v>48</v>
      </c>
      <c r="B137" s="143" t="s">
        <v>167</v>
      </c>
      <c r="C137" s="144" t="s">
        <v>443</v>
      </c>
      <c r="D137" s="144" t="s">
        <v>239</v>
      </c>
      <c r="E137" s="144"/>
      <c r="F137" s="144"/>
      <c r="G137" s="145" t="s">
        <v>130</v>
      </c>
      <c r="H137" s="146" t="s">
        <v>131</v>
      </c>
      <c r="I137" s="145" t="s">
        <v>132</v>
      </c>
      <c r="J137" s="145" t="s">
        <v>133</v>
      </c>
      <c r="K137" s="147" t="str">
        <f t="shared" si="207"/>
        <v>No of Racks</v>
      </c>
      <c r="L137" s="145">
        <v>1</v>
      </c>
      <c r="M137" s="145">
        <v>0</v>
      </c>
      <c r="N137" s="148">
        <f t="shared" si="180"/>
        <v>1</v>
      </c>
      <c r="O137" s="145">
        <v>0</v>
      </c>
      <c r="P137" s="145"/>
      <c r="Q137" s="149"/>
      <c r="R137" s="150" t="str">
        <f t="shared" si="176"/>
        <v>Rated</v>
      </c>
      <c r="S137" s="145" t="s">
        <v>134</v>
      </c>
      <c r="T137" s="146">
        <v>10</v>
      </c>
      <c r="U137" s="151"/>
      <c r="V137" s="232">
        <f t="shared" ref="V137" si="208">T137-U137</f>
        <v>10</v>
      </c>
      <c r="W137" s="146"/>
      <c r="X137" s="146" t="e">
        <f>IF(V137&lt;=0,0,(IF(R137="Rated",(V137+W137)*#REF!,(V137+W137))))</f>
        <v>#REF!</v>
      </c>
      <c r="Y137" s="146" t="e">
        <f>IF(R137="Rated",T137*#REF!,T137)</f>
        <v>#REF!</v>
      </c>
      <c r="Z137" s="231">
        <v>1.66</v>
      </c>
      <c r="AA137" s="146">
        <f t="shared" ref="AA137" si="209">IF((V137*-1)&gt;0, (V137*-1), 0)</f>
        <v>0</v>
      </c>
      <c r="AB137" s="152"/>
      <c r="AC137" s="153" t="str">
        <f t="shared" si="183"/>
        <v>Bundled</v>
      </c>
      <c r="AD137" s="146"/>
      <c r="AE137" s="146"/>
      <c r="AF137" s="154"/>
      <c r="AG137" s="146"/>
      <c r="AH137" s="155"/>
      <c r="AI137" s="156"/>
      <c r="AJ137" s="146"/>
      <c r="AK137" s="146"/>
      <c r="AL137" s="146"/>
      <c r="AM137" s="146"/>
      <c r="AN137" s="146"/>
      <c r="AO137" s="149"/>
      <c r="AP137" s="157">
        <f t="shared" si="185"/>
        <v>0</v>
      </c>
      <c r="AQ137" s="157"/>
      <c r="AR137" s="158"/>
      <c r="AS137" s="157"/>
      <c r="AT137" s="159"/>
      <c r="AU137" s="160"/>
      <c r="AV137" s="160"/>
      <c r="AW137" s="161"/>
      <c r="AX137" s="162"/>
      <c r="AY137" s="163"/>
      <c r="AZ137" s="162"/>
      <c r="BA137" s="164"/>
      <c r="BB137" s="5"/>
      <c r="BC137" s="165"/>
      <c r="BD137" s="165"/>
      <c r="BE137" s="165"/>
      <c r="BF137" s="165"/>
      <c r="BG137" s="165"/>
      <c r="BH137" s="165"/>
      <c r="BI137" s="166"/>
      <c r="BJ137" s="166"/>
      <c r="BK137" s="166"/>
      <c r="BL137" s="167"/>
      <c r="BM137" s="167"/>
      <c r="BN137" s="167"/>
      <c r="BO137" s="167"/>
      <c r="BP137" s="167"/>
      <c r="BQ137" s="167"/>
      <c r="BR137" s="167"/>
      <c r="BS137" s="167"/>
      <c r="BT137" s="167"/>
      <c r="BU137" s="167"/>
      <c r="BV137" s="167"/>
      <c r="BW137" s="167"/>
      <c r="BX137" s="167"/>
      <c r="BY137" s="167"/>
      <c r="BZ137" s="167"/>
      <c r="CA137" s="167"/>
    </row>
    <row r="138" spans="1:79" s="16" customFormat="1">
      <c r="A138" s="142" t="s">
        <v>48</v>
      </c>
      <c r="B138" s="143" t="s">
        <v>447</v>
      </c>
      <c r="C138" s="168" t="s">
        <v>448</v>
      </c>
      <c r="D138" s="168" t="s">
        <v>235</v>
      </c>
      <c r="E138" s="168"/>
      <c r="F138" s="168"/>
      <c r="G138" s="145" t="s">
        <v>169</v>
      </c>
      <c r="H138" s="146" t="s">
        <v>170</v>
      </c>
      <c r="I138" s="145" t="s">
        <v>132</v>
      </c>
      <c r="J138" s="145" t="s">
        <v>133</v>
      </c>
      <c r="K138" s="147" t="str">
        <f t="shared" si="207"/>
        <v>No of Racks</v>
      </c>
      <c r="L138" s="145">
        <v>1</v>
      </c>
      <c r="M138" s="145">
        <v>1</v>
      </c>
      <c r="N138" s="148">
        <f t="shared" si="180"/>
        <v>0</v>
      </c>
      <c r="O138" s="145">
        <v>1</v>
      </c>
      <c r="P138" s="145"/>
      <c r="Q138" s="149">
        <f>(270000)/12</f>
        <v>22500</v>
      </c>
      <c r="R138" s="150" t="str">
        <f t="shared" si="176"/>
        <v>Subscribed</v>
      </c>
      <c r="S138" s="145" t="s">
        <v>123</v>
      </c>
      <c r="T138" s="146">
        <v>3</v>
      </c>
      <c r="U138" s="327">
        <f>Z138</f>
        <v>0.58782738095238096</v>
      </c>
      <c r="V138" s="232">
        <f t="shared" si="181"/>
        <v>2.4121726190476189</v>
      </c>
      <c r="W138" s="146"/>
      <c r="X138" s="146">
        <f>IF(V138&lt;=0,0,(IF(R138="Rated",(V138+W138)*#REF!,(V138+W138))))</f>
        <v>2.4121726190476189</v>
      </c>
      <c r="Y138" s="146">
        <f>IF(R138="Rated",T138*#REF!,T138)</f>
        <v>3</v>
      </c>
      <c r="Z138" s="231">
        <f>AG138/28/24</f>
        <v>0.58782738095238096</v>
      </c>
      <c r="AA138" s="146">
        <f t="shared" si="182"/>
        <v>0</v>
      </c>
      <c r="AB138" s="152">
        <f>85000/12</f>
        <v>7083.333333333333</v>
      </c>
      <c r="AC138" s="153" t="str">
        <f t="shared" si="183"/>
        <v>Metered</v>
      </c>
      <c r="AD138" s="146">
        <v>1</v>
      </c>
      <c r="AE138" s="146" t="s">
        <v>171</v>
      </c>
      <c r="AF138" s="154">
        <v>17.5</v>
      </c>
      <c r="AG138" s="146">
        <v>395.02</v>
      </c>
      <c r="AH138" s="155"/>
      <c r="AI138" s="156"/>
      <c r="AJ138" s="146"/>
      <c r="AK138" s="146"/>
      <c r="AL138" s="146">
        <f t="shared" si="184"/>
        <v>0</v>
      </c>
      <c r="AM138" s="146"/>
      <c r="AN138" s="146"/>
      <c r="AO138" s="149">
        <f>(0)/12</f>
        <v>0</v>
      </c>
      <c r="AP138" s="157">
        <f t="shared" si="185"/>
        <v>22500</v>
      </c>
      <c r="AQ138" s="157">
        <f t="shared" si="186"/>
        <v>0</v>
      </c>
      <c r="AR138" s="158">
        <f t="shared" si="187"/>
        <v>6912.8499999999995</v>
      </c>
      <c r="AS138" s="157">
        <f t="shared" si="188"/>
        <v>0</v>
      </c>
      <c r="AT138" s="159">
        <f t="shared" si="189"/>
        <v>0</v>
      </c>
      <c r="AU138" s="160">
        <f t="shared" si="190"/>
        <v>29412.85</v>
      </c>
      <c r="AV138" s="160"/>
      <c r="AW138" s="161"/>
      <c r="AX138" s="162"/>
      <c r="AY138" s="163"/>
      <c r="AZ138" s="162"/>
      <c r="BA138" s="164"/>
      <c r="BB138" s="5"/>
      <c r="BC138" s="165">
        <f t="shared" si="191"/>
        <v>29412.85</v>
      </c>
      <c r="BD138" s="165">
        <f t="shared" si="192"/>
        <v>9804.2833333333328</v>
      </c>
      <c r="BE138" s="165" t="e">
        <f t="shared" si="193"/>
        <v>#REF!</v>
      </c>
      <c r="BF138" s="165" t="e">
        <f t="shared" si="193"/>
        <v>#REF!</v>
      </c>
      <c r="BG138" s="165" t="e">
        <f t="shared" si="194"/>
        <v>#REF!</v>
      </c>
      <c r="BH138" s="165"/>
      <c r="BI138" s="166">
        <f t="shared" si="195"/>
        <v>29412.85</v>
      </c>
      <c r="BJ138" s="166">
        <f t="shared" si="196"/>
        <v>22500</v>
      </c>
      <c r="BK138" s="166">
        <f>IF(H138="Bundled",MIN(Y138*#REF!*(1+#REF!),BI138),AR138)</f>
        <v>6912.8499999999995</v>
      </c>
      <c r="BL138" s="167" t="e">
        <f>IF($AG138&gt;0,$AG138*#REF!*#REF!*(1+#REF!*(20/#REF!)/732),#REF!*Z138)</f>
        <v>#REF!</v>
      </c>
      <c r="BM138" s="167" t="e">
        <f>IF($AG138&gt;0,$AG138*#REF!*#REF!*(1+#REF!*(20/#REF!)/732),+#REF!*(Z138+X138))</f>
        <v>#REF!</v>
      </c>
      <c r="BN138" s="167" t="e">
        <f>IF(H138="Bundled",#REF!*Y138,#REF!*Y138*0.85)</f>
        <v>#REF!</v>
      </c>
      <c r="BO138" s="167" t="e">
        <f t="shared" si="197"/>
        <v>#REF!</v>
      </c>
      <c r="BP138" s="167" t="e">
        <f>+#REF!*Y138</f>
        <v>#REF!</v>
      </c>
      <c r="BQ138" s="167" t="e">
        <f t="shared" si="198"/>
        <v>#REF!</v>
      </c>
      <c r="BR138" s="167" t="e">
        <f t="shared" si="199"/>
        <v>#REF!</v>
      </c>
      <c r="BS138" s="167" t="e">
        <f t="shared" si="200"/>
        <v>#REF!</v>
      </c>
      <c r="BT138" s="167">
        <f t="shared" si="201"/>
        <v>3</v>
      </c>
      <c r="BU138" s="167" t="e">
        <f t="shared" si="202"/>
        <v>#REF!</v>
      </c>
      <c r="BV138" s="167" t="e">
        <f t="shared" si="203"/>
        <v>#REF!</v>
      </c>
      <c r="BW138" s="167" t="e">
        <f>IF(H138="Bundled",+(BG138-#REF!)*Y138,(AP138+AQ138)-Y138*#REF!)</f>
        <v>#REF!</v>
      </c>
      <c r="BX138" s="167" t="e">
        <f t="shared" si="204"/>
        <v>#REF!</v>
      </c>
      <c r="BY138" s="167" t="e">
        <f t="shared" si="205"/>
        <v>#REF!</v>
      </c>
      <c r="BZ138" s="167" t="e">
        <f t="shared" si="205"/>
        <v>#REF!</v>
      </c>
      <c r="CA138" s="167" t="e">
        <f t="shared" si="205"/>
        <v>#REF!</v>
      </c>
    </row>
    <row r="139" spans="1:79" customFormat="1">
      <c r="A139" s="142" t="s">
        <v>48</v>
      </c>
      <c r="B139" s="143" t="s">
        <v>449</v>
      </c>
      <c r="C139" s="168" t="s">
        <v>450</v>
      </c>
      <c r="D139" s="163" t="s">
        <v>235</v>
      </c>
      <c r="E139" s="163"/>
      <c r="F139" s="163"/>
      <c r="G139" s="145" t="s">
        <v>169</v>
      </c>
      <c r="H139" s="146" t="s">
        <v>170</v>
      </c>
      <c r="I139" s="145" t="s">
        <v>132</v>
      </c>
      <c r="J139" s="145" t="s">
        <v>133</v>
      </c>
      <c r="K139" s="147" t="str">
        <f t="shared" si="207"/>
        <v>No of Racks</v>
      </c>
      <c r="L139" s="145">
        <v>1</v>
      </c>
      <c r="M139" s="145">
        <v>1</v>
      </c>
      <c r="N139" s="148">
        <f t="shared" si="180"/>
        <v>0</v>
      </c>
      <c r="O139" s="145">
        <v>0</v>
      </c>
      <c r="P139" s="145"/>
      <c r="Q139" s="331">
        <v>1840</v>
      </c>
      <c r="R139" s="150" t="s">
        <v>169</v>
      </c>
      <c r="S139" s="145" t="s">
        <v>123</v>
      </c>
      <c r="T139" s="146">
        <v>3</v>
      </c>
      <c r="U139" s="327">
        <f>Z139</f>
        <v>1.126279761904762</v>
      </c>
      <c r="V139" s="232">
        <f t="shared" si="181"/>
        <v>1.873720238095238</v>
      </c>
      <c r="W139" s="146"/>
      <c r="X139" s="146">
        <f>IF(V139&lt;=0,0,(IF(R139="Rated",(V139+W139)*#REF!,(V139+W139))))</f>
        <v>1.873720238095238</v>
      </c>
      <c r="Y139" s="146">
        <f>IF(R139="Rated",T139*#REF!,T139)</f>
        <v>3</v>
      </c>
      <c r="Z139" s="231">
        <f t="shared" ref="Z139:Z140" si="210">AG139/28/24</f>
        <v>1.126279761904762</v>
      </c>
      <c r="AA139" s="146">
        <f t="shared" si="182"/>
        <v>0</v>
      </c>
      <c r="AB139" s="331">
        <v>283</v>
      </c>
      <c r="AC139" s="153" t="str">
        <f t="shared" si="183"/>
        <v>Metered</v>
      </c>
      <c r="AD139" s="146">
        <v>1</v>
      </c>
      <c r="AE139" s="146" t="s">
        <v>171</v>
      </c>
      <c r="AF139" s="154">
        <v>0</v>
      </c>
      <c r="AG139" s="146">
        <v>756.86</v>
      </c>
      <c r="AH139" s="155"/>
      <c r="AI139" s="156"/>
      <c r="AJ139" s="146"/>
      <c r="AK139" s="146"/>
      <c r="AL139" s="146">
        <f t="shared" si="184"/>
        <v>0</v>
      </c>
      <c r="AM139" s="146"/>
      <c r="AN139" s="146"/>
      <c r="AO139" s="149"/>
      <c r="AP139" s="331">
        <f t="shared" si="185"/>
        <v>0</v>
      </c>
      <c r="AQ139" s="331">
        <f t="shared" si="186"/>
        <v>0</v>
      </c>
      <c r="AR139" s="158">
        <f t="shared" si="187"/>
        <v>0</v>
      </c>
      <c r="AS139" s="331">
        <f t="shared" si="188"/>
        <v>0</v>
      </c>
      <c r="AT139" s="331">
        <v>0</v>
      </c>
      <c r="AU139" s="332">
        <f t="shared" si="190"/>
        <v>0</v>
      </c>
      <c r="AV139" s="160"/>
      <c r="AW139" s="161"/>
      <c r="AX139" s="162"/>
      <c r="AY139" s="163"/>
      <c r="AZ139" s="162"/>
      <c r="BA139" s="164"/>
      <c r="BB139" s="5"/>
      <c r="BC139" s="165">
        <f t="shared" si="191"/>
        <v>0</v>
      </c>
      <c r="BD139" s="165">
        <f t="shared" si="192"/>
        <v>0</v>
      </c>
      <c r="BE139" s="165" t="e">
        <f>+($AQ139+$AR139+$AS139-BL139)/$Z139</f>
        <v>#REF!</v>
      </c>
      <c r="BF139" s="165" t="e">
        <f>+($AQ139+$AR139+$AS139-BM139)/$Z139</f>
        <v>#REF!</v>
      </c>
      <c r="BG139" s="165" t="e">
        <f>+($AQ139+$AR139+IF(H139="Bundled",0,Y139*0.85*AD139*AF139*30.5*24)-BN139)/$Z139</f>
        <v>#REF!</v>
      </c>
      <c r="BH139" s="165"/>
      <c r="BI139" s="166">
        <f t="shared" si="195"/>
        <v>0</v>
      </c>
      <c r="BJ139" s="166">
        <f t="shared" si="196"/>
        <v>0</v>
      </c>
      <c r="BK139" s="166">
        <f>IF(H139="Bundled",MIN(Y139*#REF!*(1+#REF!),BI139),AR139)</f>
        <v>0</v>
      </c>
      <c r="BL139" s="167" t="e">
        <f>IF($AH139&gt;0,$AH139*#REF!*#REF!*(1+#REF!*(20/#REF!)/732),#REF!*Z139)</f>
        <v>#REF!</v>
      </c>
      <c r="BM139" s="167" t="e">
        <f>IF($AH139&gt;0,$AH139*#REF!*#REF!*(1+#REF!*(20/#REF!)/732),+#REF!*(Z139+X139))</f>
        <v>#REF!</v>
      </c>
      <c r="BN139" s="167" t="e">
        <f>IF(H139="Bundled",#REF!*Y139,#REF!*Y139*0.85)</f>
        <v>#REF!</v>
      </c>
      <c r="BO139" s="167" t="e">
        <f t="shared" si="197"/>
        <v>#REF!</v>
      </c>
      <c r="BP139" s="167" t="e">
        <f>+#REF!*Y139</f>
        <v>#REF!</v>
      </c>
      <c r="BQ139" s="167" t="e">
        <f t="shared" si="198"/>
        <v>#REF!</v>
      </c>
      <c r="BR139" s="167" t="e">
        <f t="shared" si="199"/>
        <v>#REF!</v>
      </c>
      <c r="BS139" s="167" t="e">
        <f t="shared" si="200"/>
        <v>#REF!</v>
      </c>
      <c r="BT139" s="167">
        <f t="shared" si="201"/>
        <v>3</v>
      </c>
      <c r="BU139" s="167" t="e">
        <f t="shared" si="202"/>
        <v>#REF!</v>
      </c>
      <c r="BV139" s="167" t="e">
        <f t="shared" si="203"/>
        <v>#REF!</v>
      </c>
      <c r="BW139" s="167" t="e">
        <f>IF(H139="Bundled",+(BG139-#REF!)*Y139,(AP139+AQ139)-Y139*#REF!)</f>
        <v>#REF!</v>
      </c>
      <c r="BX139" s="167" t="e">
        <f t="shared" si="204"/>
        <v>#REF!</v>
      </c>
      <c r="BY139" s="167" t="e">
        <f>+BV139/$BU139</f>
        <v>#REF!</v>
      </c>
      <c r="BZ139" s="167" t="e">
        <f>+BW139/$BU139</f>
        <v>#REF!</v>
      </c>
      <c r="CA139" s="167" t="e">
        <f>+BX139/$BU139</f>
        <v>#REF!</v>
      </c>
    </row>
    <row r="140" spans="1:79" s="16" customFormat="1" ht="26.1">
      <c r="A140" s="142" t="s">
        <v>48</v>
      </c>
      <c r="B140" s="143" t="s">
        <v>451</v>
      </c>
      <c r="C140" s="196" t="s">
        <v>452</v>
      </c>
      <c r="D140" s="196"/>
      <c r="E140" s="196"/>
      <c r="F140" s="196"/>
      <c r="G140" s="145" t="s">
        <v>169</v>
      </c>
      <c r="H140" s="146" t="s">
        <v>170</v>
      </c>
      <c r="I140" s="145" t="s">
        <v>59</v>
      </c>
      <c r="J140" s="145" t="s">
        <v>185</v>
      </c>
      <c r="K140" s="147" t="str">
        <f t="shared" si="207"/>
        <v>Sq Ft</v>
      </c>
      <c r="L140" s="145">
        <v>904</v>
      </c>
      <c r="M140" s="145">
        <v>904</v>
      </c>
      <c r="N140" s="148">
        <f t="shared" si="180"/>
        <v>0</v>
      </c>
      <c r="O140" s="145">
        <v>904</v>
      </c>
      <c r="P140" s="145"/>
      <c r="Q140" s="149">
        <f>(1451520)/904</f>
        <v>1605.6637168141592</v>
      </c>
      <c r="R140" s="150" t="str">
        <f t="shared" ref="R140:R157" si="211">G140</f>
        <v>Subscribed</v>
      </c>
      <c r="S140" s="145" t="s">
        <v>123</v>
      </c>
      <c r="T140" s="146">
        <v>180</v>
      </c>
      <c r="U140" s="327">
        <f>Z140</f>
        <v>72.666681547619049</v>
      </c>
      <c r="V140" s="232">
        <f t="shared" si="181"/>
        <v>107.33331845238095</v>
      </c>
      <c r="W140" s="146"/>
      <c r="X140" s="146">
        <f>IF(V140&lt;=0,0,(IF(R140="Rated",(V140+W140)*#REF!,(V140+W140))))</f>
        <v>107.33331845238095</v>
      </c>
      <c r="Y140" s="146">
        <f>IF(R140="Rated",T140*#REF!,T140)</f>
        <v>180</v>
      </c>
      <c r="Z140" s="231">
        <f t="shared" si="210"/>
        <v>72.666681547619049</v>
      </c>
      <c r="AA140" s="146">
        <f t="shared" si="182"/>
        <v>0</v>
      </c>
      <c r="AB140" s="152">
        <f t="shared" ref="AB140" si="212">0/12</f>
        <v>0</v>
      </c>
      <c r="AC140" s="153" t="str">
        <f t="shared" si="183"/>
        <v>Metered</v>
      </c>
      <c r="AD140" s="146" t="s">
        <v>453</v>
      </c>
      <c r="AE140" s="146" t="s">
        <v>333</v>
      </c>
      <c r="AF140" s="154">
        <v>10.88</v>
      </c>
      <c r="AG140" s="146">
        <v>48832.01</v>
      </c>
      <c r="AH140" s="155"/>
      <c r="AI140" s="156"/>
      <c r="AJ140" s="146"/>
      <c r="AK140" s="146"/>
      <c r="AL140" s="146">
        <f t="shared" si="184"/>
        <v>0</v>
      </c>
      <c r="AM140" s="146"/>
      <c r="AN140" s="146"/>
      <c r="AO140" s="149">
        <f>(0)/12</f>
        <v>0</v>
      </c>
      <c r="AP140" s="157">
        <f t="shared" si="185"/>
        <v>1451520</v>
      </c>
      <c r="AQ140" s="157">
        <f t="shared" si="186"/>
        <v>0</v>
      </c>
      <c r="AR140" s="158" t="e">
        <f t="shared" si="187"/>
        <v>#VALUE!</v>
      </c>
      <c r="AS140" s="157">
        <f t="shared" si="188"/>
        <v>0</v>
      </c>
      <c r="AT140" s="159">
        <f>0/12</f>
        <v>0</v>
      </c>
      <c r="AU140" s="160" t="e">
        <f t="shared" si="190"/>
        <v>#VALUE!</v>
      </c>
      <c r="AV140" s="160"/>
      <c r="AW140" s="161"/>
      <c r="AX140" s="162"/>
      <c r="AY140" s="163"/>
      <c r="AZ140" s="162"/>
      <c r="BA140" s="164"/>
      <c r="BB140" s="5"/>
      <c r="BC140" s="165" t="e">
        <f t="shared" si="191"/>
        <v>#VALUE!</v>
      </c>
      <c r="BD140" s="165" t="e">
        <f t="shared" si="192"/>
        <v>#VALUE!</v>
      </c>
      <c r="BE140" s="165" t="e">
        <f>+($AP140+$AQ140+$AR140-BL140)/$Y140</f>
        <v>#VALUE!</v>
      </c>
      <c r="BF140" s="165" t="e">
        <f>+($AP140+$AQ140+$AR140-BM140)/$Y140</f>
        <v>#VALUE!</v>
      </c>
      <c r="BG140" s="165" t="e">
        <f>+($AP140+$AQ140+IF(H140="Bundled",0,Y140*0.85*AD140*AF140*30.5*24)-BN140)/$Y140</f>
        <v>#VALUE!</v>
      </c>
      <c r="BH140" s="165"/>
      <c r="BI140" s="166" t="e">
        <f t="shared" si="195"/>
        <v>#VALUE!</v>
      </c>
      <c r="BJ140" s="166" t="e">
        <f t="shared" si="196"/>
        <v>#VALUE!</v>
      </c>
      <c r="BK140" s="166" t="e">
        <f>IF(H140="Bundled",MIN(Y140*#REF!*(1+#REF!),BI140),AR140)</f>
        <v>#VALUE!</v>
      </c>
      <c r="BL140" s="167" t="e">
        <f>IF($AG140&gt;0,$AG140*#REF!*#REF!*(1+#REF!*(20/#REF!)/732),#REF!*Z140)</f>
        <v>#REF!</v>
      </c>
      <c r="BM140" s="167" t="e">
        <f>IF($AG140&gt;0,$AG140*#REF!*#REF!*(1+#REF!*(20/#REF!)/732),+#REF!*(Z140+X140))</f>
        <v>#REF!</v>
      </c>
      <c r="BN140" s="167" t="e">
        <f>IF(H140="Bundled",#REF!*Y140,#REF!*Y140*0.85)</f>
        <v>#REF!</v>
      </c>
      <c r="BO140" s="167" t="e">
        <f t="shared" si="197"/>
        <v>#VALUE!</v>
      </c>
      <c r="BP140" s="167" t="e">
        <f>+#REF!*Y140</f>
        <v>#REF!</v>
      </c>
      <c r="BQ140" s="167" t="e">
        <f t="shared" si="198"/>
        <v>#VALUE!</v>
      </c>
      <c r="BR140" s="167" t="e">
        <f t="shared" si="199"/>
        <v>#VALUE!</v>
      </c>
      <c r="BS140" s="167" t="e">
        <f t="shared" si="200"/>
        <v>#VALUE!</v>
      </c>
      <c r="BT140" s="167">
        <f t="shared" si="201"/>
        <v>180</v>
      </c>
      <c r="BU140" s="167" t="e">
        <f t="shared" si="202"/>
        <v>#VALUE!</v>
      </c>
      <c r="BV140" s="167" t="e">
        <f t="shared" si="203"/>
        <v>#VALUE!</v>
      </c>
      <c r="BW140" s="167" t="e">
        <f>IF(H140="Bundled",+(BG140-#REF!)*Y140,(AP140+AQ140)-Y140*#REF!)</f>
        <v>#REF!</v>
      </c>
      <c r="BX140" s="167" t="e">
        <f t="shared" si="204"/>
        <v>#VALUE!</v>
      </c>
      <c r="BY140" s="167" t="e">
        <f t="shared" ref="BY140:CA141" si="213">+BV140/$BT140</f>
        <v>#VALUE!</v>
      </c>
      <c r="BZ140" s="167" t="e">
        <f t="shared" si="213"/>
        <v>#REF!</v>
      </c>
      <c r="CA140" s="167" t="e">
        <f t="shared" si="213"/>
        <v>#VALUE!</v>
      </c>
    </row>
    <row r="141" spans="1:79" s="16" customFormat="1" ht="26.1" customHeight="1">
      <c r="A141" s="142" t="s">
        <v>48</v>
      </c>
      <c r="B141" s="434" t="s">
        <v>153</v>
      </c>
      <c r="C141" s="144" t="s">
        <v>454</v>
      </c>
      <c r="D141" s="144" t="s">
        <v>239</v>
      </c>
      <c r="E141" s="144"/>
      <c r="F141" s="144"/>
      <c r="G141" s="145" t="s">
        <v>130</v>
      </c>
      <c r="H141" s="146" t="s">
        <v>131</v>
      </c>
      <c r="I141" s="145" t="s">
        <v>144</v>
      </c>
      <c r="J141" s="145" t="s">
        <v>133</v>
      </c>
      <c r="K141" s="147" t="str">
        <f t="shared" si="207"/>
        <v>U Space</v>
      </c>
      <c r="L141" s="145">
        <v>10</v>
      </c>
      <c r="M141" s="145">
        <v>10</v>
      </c>
      <c r="N141" s="148">
        <f t="shared" si="180"/>
        <v>0</v>
      </c>
      <c r="O141" s="145">
        <v>10</v>
      </c>
      <c r="P141" s="145"/>
      <c r="Q141" s="149">
        <f>35000/12</f>
        <v>2916.6666666666665</v>
      </c>
      <c r="R141" s="150" t="str">
        <f t="shared" si="211"/>
        <v>Rated</v>
      </c>
      <c r="S141" s="321" t="s">
        <v>134</v>
      </c>
      <c r="T141" s="146">
        <v>2.5</v>
      </c>
      <c r="U141" s="151">
        <v>1.73</v>
      </c>
      <c r="V141" s="232">
        <f t="shared" si="181"/>
        <v>0.77</v>
      </c>
      <c r="W141" s="146"/>
      <c r="X141" s="146" t="e">
        <f>IF(V141&lt;=0,0,(IF(R141="Rated",(V141+W141)*#REF!,(V141+W141))))</f>
        <v>#REF!</v>
      </c>
      <c r="Y141" s="146" t="e">
        <f>IF(R141="Rated",T141*#REF!,T141)</f>
        <v>#REF!</v>
      </c>
      <c r="Z141" s="365">
        <v>0.74</v>
      </c>
      <c r="AA141" s="146">
        <f t="shared" si="182"/>
        <v>0</v>
      </c>
      <c r="AB141" s="152">
        <f>100000/12</f>
        <v>8333.3333333333339</v>
      </c>
      <c r="AC141" s="153" t="str">
        <f t="shared" si="183"/>
        <v>Bundled</v>
      </c>
      <c r="AD141" s="146"/>
      <c r="AE141" s="146"/>
      <c r="AF141" s="154"/>
      <c r="AG141" s="146"/>
      <c r="AH141" s="155"/>
      <c r="AI141" s="156" t="str">
        <f>IF(AH141="No of Seats","No of Seats",(IF(AH141="Space","Sq Ft","")))</f>
        <v/>
      </c>
      <c r="AJ141" s="146"/>
      <c r="AK141" s="146"/>
      <c r="AL141" s="146">
        <f t="shared" si="184"/>
        <v>0</v>
      </c>
      <c r="AM141" s="146"/>
      <c r="AN141" s="146"/>
      <c r="AO141" s="149"/>
      <c r="AP141" s="157">
        <f t="shared" si="185"/>
        <v>29166.666666666664</v>
      </c>
      <c r="AQ141" s="157">
        <f t="shared" si="186"/>
        <v>0</v>
      </c>
      <c r="AR141" s="158">
        <f t="shared" si="187"/>
        <v>0</v>
      </c>
      <c r="AS141" s="157">
        <f t="shared" si="188"/>
        <v>0</v>
      </c>
      <c r="AT141" s="159">
        <v>0</v>
      </c>
      <c r="AU141" s="160">
        <f t="shared" si="190"/>
        <v>29166.666666666664</v>
      </c>
      <c r="AV141" s="160"/>
      <c r="AW141" s="322"/>
      <c r="AX141" s="318"/>
      <c r="AY141" s="319"/>
      <c r="AZ141" s="318"/>
      <c r="BA141" s="320"/>
      <c r="BB141" s="5"/>
      <c r="BC141" s="165">
        <f t="shared" si="191"/>
        <v>116666.66666666666</v>
      </c>
      <c r="BD141" s="165" t="e">
        <f t="shared" si="192"/>
        <v>#REF!</v>
      </c>
      <c r="BE141" s="165" t="e">
        <f>+($AP141+$AQ141+$AR141-BL141)/$Y141</f>
        <v>#REF!</v>
      </c>
      <c r="BF141" s="165" t="e">
        <f>+($AP141+$AQ141+$AR141-BM141)/$Y141</f>
        <v>#REF!</v>
      </c>
      <c r="BG141" s="165" t="e">
        <f>+($AP141+$AQ141+IF(H141="Bundled",0,Y141*0.85*AD141*AF141*30.5*24)-BN141)/$Y141</f>
        <v>#REF!</v>
      </c>
      <c r="BH141" s="165"/>
      <c r="BI141" s="166">
        <f t="shared" si="195"/>
        <v>29166.666666666664</v>
      </c>
      <c r="BJ141" s="166" t="e">
        <f t="shared" si="196"/>
        <v>#REF!</v>
      </c>
      <c r="BK141" s="166" t="e">
        <f>IF(H141="Bundled",MIN(Y141*#REF!*(1+#REF!),BI141),AR141)</f>
        <v>#REF!</v>
      </c>
      <c r="BL141" s="167" t="e">
        <f>IF($AG141&gt;0,$AG141*#REF!*#REF!*(1+#REF!*(20/#REF!)/732),#REF!*Z141)</f>
        <v>#REF!</v>
      </c>
      <c r="BM141" s="167" t="e">
        <f>IF($AG141&gt;0,$AG141*#REF!*#REF!*(1+#REF!*(20/#REF!)/732),+#REF!*(Z141+X141))</f>
        <v>#REF!</v>
      </c>
      <c r="BN141" s="167" t="e">
        <f>IF(H141="Bundled",#REF!*Y141,#REF!*Y141*0.85)</f>
        <v>#REF!</v>
      </c>
      <c r="BO141" s="167" t="e">
        <f t="shared" si="197"/>
        <v>#REF!</v>
      </c>
      <c r="BP141" s="167" t="e">
        <f>+#REF!*Y141</f>
        <v>#REF!</v>
      </c>
      <c r="BQ141" s="167" t="e">
        <f t="shared" si="198"/>
        <v>#REF!</v>
      </c>
      <c r="BR141" s="167" t="e">
        <f t="shared" si="199"/>
        <v>#REF!</v>
      </c>
      <c r="BS141" s="167" t="e">
        <f t="shared" si="200"/>
        <v>#REF!</v>
      </c>
      <c r="BT141" s="167" t="e">
        <f t="shared" si="201"/>
        <v>#REF!</v>
      </c>
      <c r="BU141" s="167" t="e">
        <f t="shared" si="202"/>
        <v>#REF!</v>
      </c>
      <c r="BV141" s="167" t="e">
        <f t="shared" si="203"/>
        <v>#REF!</v>
      </c>
      <c r="BW141" s="167" t="e">
        <f>IF(H141="Bundled",+(BG141-#REF!)*Y141,(AP141+AQ141)-Y141*#REF!)</f>
        <v>#REF!</v>
      </c>
      <c r="BX141" s="167" t="e">
        <f t="shared" si="204"/>
        <v>#REF!</v>
      </c>
      <c r="BY141" s="167" t="e">
        <f t="shared" si="213"/>
        <v>#REF!</v>
      </c>
      <c r="BZ141" s="167" t="e">
        <f t="shared" si="213"/>
        <v>#REF!</v>
      </c>
      <c r="CA141" s="167" t="e">
        <f t="shared" si="213"/>
        <v>#REF!</v>
      </c>
    </row>
    <row r="142" spans="1:79" s="16" customFormat="1" ht="26.1">
      <c r="A142" s="142"/>
      <c r="B142" s="262"/>
      <c r="C142" s="144" t="s">
        <v>455</v>
      </c>
      <c r="D142" s="144" t="s">
        <v>239</v>
      </c>
      <c r="E142" s="144"/>
      <c r="F142" s="364">
        <v>45883</v>
      </c>
      <c r="G142" s="145" t="s">
        <v>130</v>
      </c>
      <c r="H142" s="146" t="s">
        <v>131</v>
      </c>
      <c r="I142" s="145" t="s">
        <v>144</v>
      </c>
      <c r="J142" s="145" t="s">
        <v>133</v>
      </c>
      <c r="K142" s="147" t="str">
        <f t="shared" si="207"/>
        <v>U Space</v>
      </c>
      <c r="L142" s="145">
        <v>2</v>
      </c>
      <c r="M142" s="145">
        <v>2</v>
      </c>
      <c r="N142" s="148">
        <f t="shared" si="180"/>
        <v>0</v>
      </c>
      <c r="O142" s="145">
        <v>2</v>
      </c>
      <c r="P142" s="145"/>
      <c r="Q142" s="149"/>
      <c r="R142" s="150" t="str">
        <f t="shared" si="211"/>
        <v>Rated</v>
      </c>
      <c r="S142" s="321" t="s">
        <v>134</v>
      </c>
      <c r="T142" s="146">
        <v>0.3</v>
      </c>
      <c r="U142" s="151">
        <v>0.22</v>
      </c>
      <c r="V142" s="232">
        <f t="shared" si="181"/>
        <v>7.9999999999999988E-2</v>
      </c>
      <c r="W142" s="146"/>
      <c r="X142" s="146" t="e">
        <f>IF(V142&lt;=0,0,(IF(R142="Rated",(V142+W142)*#REF!,(V142+W142))))</f>
        <v>#REF!</v>
      </c>
      <c r="Y142" s="146" t="e">
        <f>IF(R142="Rated",T142*#REF!,T142)</f>
        <v>#REF!</v>
      </c>
      <c r="Z142" s="252"/>
      <c r="AA142" s="146"/>
      <c r="AB142" s="152"/>
      <c r="AC142" s="153" t="str">
        <f t="shared" si="183"/>
        <v>Bundled</v>
      </c>
      <c r="AD142" s="146"/>
      <c r="AE142" s="146"/>
      <c r="AF142" s="154"/>
      <c r="AG142" s="146"/>
      <c r="AH142" s="155"/>
      <c r="AI142" s="156"/>
      <c r="AJ142" s="146"/>
      <c r="AK142" s="146"/>
      <c r="AL142" s="146"/>
      <c r="AM142" s="146"/>
      <c r="AN142" s="146"/>
      <c r="AO142" s="149"/>
      <c r="AP142" s="157"/>
      <c r="AQ142" s="157"/>
      <c r="AR142" s="158"/>
      <c r="AS142" s="157"/>
      <c r="AT142" s="159"/>
      <c r="AU142" s="160"/>
      <c r="AV142" s="160"/>
      <c r="AW142" s="322"/>
      <c r="AX142" s="318"/>
      <c r="AY142" s="319"/>
      <c r="AZ142" s="318"/>
      <c r="BA142" s="320"/>
      <c r="BB142" s="5"/>
      <c r="BC142" s="165"/>
      <c r="BD142" s="165"/>
      <c r="BE142" s="165"/>
      <c r="BF142" s="165"/>
      <c r="BG142" s="165"/>
      <c r="BH142" s="165"/>
      <c r="BI142" s="166"/>
      <c r="BJ142" s="166"/>
      <c r="BK142" s="166"/>
      <c r="BL142" s="167"/>
      <c r="BM142" s="167"/>
      <c r="BN142" s="167" t="e">
        <f>IF(H142="Bundled",#REF!*Y142,#REF!*Y142*0.85)</f>
        <v>#REF!</v>
      </c>
      <c r="BO142" s="167"/>
      <c r="BP142" s="167"/>
      <c r="BQ142" s="167"/>
      <c r="BR142" s="167"/>
      <c r="BS142" s="167"/>
      <c r="BT142" s="167" t="e">
        <f t="shared" si="201"/>
        <v>#REF!</v>
      </c>
      <c r="BU142" s="167"/>
      <c r="BV142" s="167"/>
      <c r="BW142" s="167"/>
      <c r="BX142" s="167"/>
      <c r="BY142" s="167"/>
      <c r="BZ142" s="167"/>
      <c r="CA142" s="167"/>
    </row>
    <row r="143" spans="1:79" s="16" customFormat="1">
      <c r="A143" s="142" t="s">
        <v>48</v>
      </c>
      <c r="B143" s="435" t="s">
        <v>155</v>
      </c>
      <c r="C143" s="168" t="s">
        <v>343</v>
      </c>
      <c r="D143" s="168" t="s">
        <v>239</v>
      </c>
      <c r="E143" s="168"/>
      <c r="F143" s="168"/>
      <c r="G143" s="145" t="s">
        <v>130</v>
      </c>
      <c r="H143" s="146" t="s">
        <v>131</v>
      </c>
      <c r="I143" s="145" t="s">
        <v>144</v>
      </c>
      <c r="J143" s="145" t="s">
        <v>133</v>
      </c>
      <c r="K143" s="147" t="str">
        <f t="shared" si="207"/>
        <v>U Space</v>
      </c>
      <c r="L143" s="145">
        <v>24</v>
      </c>
      <c r="M143" s="145">
        <v>24</v>
      </c>
      <c r="N143" s="148">
        <f t="shared" si="180"/>
        <v>0</v>
      </c>
      <c r="O143" s="145">
        <v>24</v>
      </c>
      <c r="P143" s="145"/>
      <c r="Q143" s="149">
        <f>(35000)/12</f>
        <v>2916.6666666666665</v>
      </c>
      <c r="R143" s="150" t="str">
        <f t="shared" si="211"/>
        <v>Rated</v>
      </c>
      <c r="S143" s="321" t="s">
        <v>134</v>
      </c>
      <c r="T143" s="146">
        <v>4.5</v>
      </c>
      <c r="U143" s="151">
        <v>9.02</v>
      </c>
      <c r="V143" s="232">
        <f t="shared" si="181"/>
        <v>-4.5199999999999996</v>
      </c>
      <c r="W143" s="146"/>
      <c r="X143" s="146">
        <f>IF(V143&lt;=0,0,(IF(R143="Rated",(V143+W143)*#REF!,(V143+W143))))</f>
        <v>0</v>
      </c>
      <c r="Y143" s="146" t="e">
        <f>IF(R143="Rated",T143*#REF!,T143)</f>
        <v>#REF!</v>
      </c>
      <c r="Z143" s="361">
        <v>2.44</v>
      </c>
      <c r="AA143" s="146">
        <f t="shared" ref="AA143:AA157" si="214">IF((V143*-1)&gt;0, (V143*-1), 0)</f>
        <v>4.5199999999999996</v>
      </c>
      <c r="AB143" s="152">
        <f>90000/12</f>
        <v>7500</v>
      </c>
      <c r="AC143" s="153" t="str">
        <f t="shared" si="183"/>
        <v>Bundled</v>
      </c>
      <c r="AD143" s="146"/>
      <c r="AE143" s="146"/>
      <c r="AF143" s="154"/>
      <c r="AG143" s="146"/>
      <c r="AH143" s="155"/>
      <c r="AI143" s="156" t="str">
        <f>IF(AH143="No of Seats","No of Seats",(IF(AH143="Space","Sq Ft","")))</f>
        <v/>
      </c>
      <c r="AJ143" s="146"/>
      <c r="AK143" s="146"/>
      <c r="AL143" s="146">
        <f>AJ143-AK143</f>
        <v>0</v>
      </c>
      <c r="AM143" s="146"/>
      <c r="AN143" s="146"/>
      <c r="AO143" s="149"/>
      <c r="AP143" s="157">
        <f>Q143*O143</f>
        <v>70000</v>
      </c>
      <c r="AQ143" s="157">
        <f>AB143*AA143</f>
        <v>33900</v>
      </c>
      <c r="AR143" s="158">
        <f>AG143*AF143*AD143</f>
        <v>0</v>
      </c>
      <c r="AS143" s="157">
        <f>AO143*AM143</f>
        <v>0</v>
      </c>
      <c r="AT143" s="159">
        <v>0</v>
      </c>
      <c r="AU143" s="160">
        <f>SUBTOTAL(9,AP143:AT143)</f>
        <v>103900</v>
      </c>
      <c r="AV143" s="160"/>
      <c r="AW143" s="322"/>
      <c r="AX143" s="318"/>
      <c r="AY143" s="319"/>
      <c r="AZ143" s="318"/>
      <c r="BA143" s="320"/>
      <c r="BB143" s="5"/>
      <c r="BC143" s="165">
        <f>IF(I143="Rack",AU143/L143,0)+IF(I143="U Space",AU143*40/L143,0)+IF(I143="Space",AU143*30/L143,0)</f>
        <v>173166.66666666666</v>
      </c>
      <c r="BD143" s="165" t="e">
        <f>+AU143/Y143</f>
        <v>#REF!</v>
      </c>
      <c r="BE143" s="165" t="e">
        <f t="shared" ref="BE143:BF146" si="215">+($AP143+$AQ143+$AR143-BL143)/$Y143</f>
        <v>#REF!</v>
      </c>
      <c r="BF143" s="165" t="e">
        <f t="shared" si="215"/>
        <v>#REF!</v>
      </c>
      <c r="BG143" s="165" t="e">
        <f>+($AP143+$AQ143+IF(H143="Bundled",0,Y143*0.85*AD143*AF143*30.5*24)-BN143)/$Y143</f>
        <v>#REF!</v>
      </c>
      <c r="BH143" s="165"/>
      <c r="BI143" s="166">
        <f>+AP143+AQ143+AR143</f>
        <v>103900</v>
      </c>
      <c r="BJ143" s="166" t="e">
        <f>+BI143-BK143</f>
        <v>#REF!</v>
      </c>
      <c r="BK143" s="166" t="e">
        <f>IF(H143="Bundled",MIN(Y143*#REF!*(1+#REF!),BI143),AR143)</f>
        <v>#REF!</v>
      </c>
      <c r="BL143" s="167" t="e">
        <f>IF($AG143&gt;0,$AG143*#REF!*#REF!*(1+#REF!*(20/#REF!)/732),#REF!*Z143)</f>
        <v>#REF!</v>
      </c>
      <c r="BM143" s="167" t="e">
        <f>IF($AG143&gt;0,$AG143*#REF!*#REF!*(1+#REF!*(20/#REF!)/732),+#REF!*(Z143+X143))</f>
        <v>#REF!</v>
      </c>
      <c r="BN143" s="167" t="e">
        <f>IF(H143="Bundled",#REF!*Y143,#REF!*Y143*0.85)</f>
        <v>#REF!</v>
      </c>
      <c r="BO143" s="167" t="e">
        <f>+BE143*Y143</f>
        <v>#REF!</v>
      </c>
      <c r="BP143" s="167" t="e">
        <f>+#REF!*Y143</f>
        <v>#REF!</v>
      </c>
      <c r="BQ143" s="167" t="e">
        <f>+BJ143-BP143</f>
        <v>#REF!</v>
      </c>
      <c r="BR143" s="167" t="e">
        <f>+BK143-BL143</f>
        <v>#REF!</v>
      </c>
      <c r="BS143" s="167" t="e">
        <f>+BQ143+BR143</f>
        <v>#REF!</v>
      </c>
      <c r="BT143" s="167" t="e">
        <f t="shared" si="201"/>
        <v>#REF!</v>
      </c>
      <c r="BU143" s="167" t="e">
        <f>+BE143</f>
        <v>#REF!</v>
      </c>
      <c r="BV143" s="167" t="e">
        <f>IF(H143="Bundled",BN143-BL143,AR143-BL143)</f>
        <v>#REF!</v>
      </c>
      <c r="BW143" s="167" t="e">
        <f>IF(H143="Bundled",+(BG143-#REF!)*Y143,(AP143+AQ143)-Y143*#REF!)</f>
        <v>#REF!</v>
      </c>
      <c r="BX143" s="167" t="e">
        <f>+BV143+BW143</f>
        <v>#REF!</v>
      </c>
      <c r="BY143" s="167" t="e">
        <f t="shared" ref="BY143:CA146" si="216">+BV143/$BT143</f>
        <v>#REF!</v>
      </c>
      <c r="BZ143" s="167" t="e">
        <f t="shared" si="216"/>
        <v>#REF!</v>
      </c>
      <c r="CA143" s="167" t="e">
        <f t="shared" si="216"/>
        <v>#REF!</v>
      </c>
    </row>
    <row r="144" spans="1:79" s="16" customFormat="1">
      <c r="A144" s="142" t="s">
        <v>48</v>
      </c>
      <c r="B144" s="435"/>
      <c r="C144" s="144" t="s">
        <v>456</v>
      </c>
      <c r="D144" s="144" t="s">
        <v>235</v>
      </c>
      <c r="E144" s="144"/>
      <c r="F144" s="144"/>
      <c r="G144" s="145" t="s">
        <v>130</v>
      </c>
      <c r="H144" s="146" t="s">
        <v>131</v>
      </c>
      <c r="I144" s="145" t="s">
        <v>144</v>
      </c>
      <c r="J144" s="145" t="s">
        <v>133</v>
      </c>
      <c r="K144" s="147" t="str">
        <f t="shared" si="207"/>
        <v>U Space</v>
      </c>
      <c r="L144" s="145">
        <v>6</v>
      </c>
      <c r="M144" s="145">
        <v>6</v>
      </c>
      <c r="N144" s="148">
        <f t="shared" si="180"/>
        <v>0</v>
      </c>
      <c r="O144" s="145">
        <v>6</v>
      </c>
      <c r="P144" s="145"/>
      <c r="Q144" s="149">
        <f>12500/12</f>
        <v>1041.6666666666667</v>
      </c>
      <c r="R144" s="150" t="str">
        <f t="shared" si="211"/>
        <v>Rated</v>
      </c>
      <c r="S144" s="321" t="s">
        <v>134</v>
      </c>
      <c r="T144" s="146">
        <v>0.5</v>
      </c>
      <c r="U144" s="151">
        <v>0.28000000000000003</v>
      </c>
      <c r="V144" s="232">
        <f t="shared" si="181"/>
        <v>0.21999999999999997</v>
      </c>
      <c r="W144" s="146"/>
      <c r="X144" s="146" t="e">
        <f>IF(V144&lt;=0,0,(IF(R144="Rated",(V144+W144)*#REF!,(V144+W144))))</f>
        <v>#REF!</v>
      </c>
      <c r="Y144" s="146" t="e">
        <f>IF(R144="Rated",T144*#REF!,T144)</f>
        <v>#REF!</v>
      </c>
      <c r="Z144" s="361"/>
      <c r="AA144" s="146">
        <f t="shared" si="214"/>
        <v>0</v>
      </c>
      <c r="AB144" s="152"/>
      <c r="AC144" s="153" t="str">
        <f t="shared" si="183"/>
        <v>Bundled</v>
      </c>
      <c r="AD144" s="146"/>
      <c r="AE144" s="146"/>
      <c r="AF144" s="154"/>
      <c r="AG144" s="146"/>
      <c r="AH144" s="155"/>
      <c r="AI144" s="156" t="str">
        <f>IF(AH144="No of Seats","No of Seats",(IF(AH144="Space","Sq Ft","")))</f>
        <v/>
      </c>
      <c r="AJ144" s="146"/>
      <c r="AK144" s="146"/>
      <c r="AL144" s="146">
        <f>AJ144-AK144</f>
        <v>0</v>
      </c>
      <c r="AM144" s="146"/>
      <c r="AN144" s="146"/>
      <c r="AO144" s="149"/>
      <c r="AP144" s="157">
        <f>Q144*O144</f>
        <v>6250</v>
      </c>
      <c r="AQ144" s="157">
        <f>AB144*AA144</f>
        <v>0</v>
      </c>
      <c r="AR144" s="158">
        <f>AG144*AF144*AD144</f>
        <v>0</v>
      </c>
      <c r="AS144" s="157">
        <f>AO144*AM144</f>
        <v>0</v>
      </c>
      <c r="AT144" s="159">
        <v>0</v>
      </c>
      <c r="AU144" s="160">
        <f>SUBTOTAL(9,AP144:AT144)</f>
        <v>6250</v>
      </c>
      <c r="AV144" s="160"/>
      <c r="AW144" s="322"/>
      <c r="AX144" s="318"/>
      <c r="AY144" s="319"/>
      <c r="AZ144" s="318"/>
      <c r="BA144" s="320"/>
      <c r="BB144" s="5"/>
      <c r="BC144" s="165">
        <f>IF(I144="Rack",AU144/L144,0)+IF(I144="U Space",AU144*40/L144,0)+IF(I144="Space",AU144*30/L144,0)</f>
        <v>41666.666666666664</v>
      </c>
      <c r="BD144" s="165" t="e">
        <f>+AU144/Y144</f>
        <v>#REF!</v>
      </c>
      <c r="BE144" s="165" t="e">
        <f t="shared" si="215"/>
        <v>#REF!</v>
      </c>
      <c r="BF144" s="165" t="e">
        <f t="shared" si="215"/>
        <v>#REF!</v>
      </c>
      <c r="BG144" s="165" t="e">
        <f>+($AP144+$AQ144+IF(H144="Bundled",0,Y144*0.85*AD144*AF144*30.5*24)-BN144)/$Y144</f>
        <v>#REF!</v>
      </c>
      <c r="BH144" s="165"/>
      <c r="BI144" s="166">
        <f>+AP144+AQ144+AR144</f>
        <v>6250</v>
      </c>
      <c r="BJ144" s="166" t="e">
        <f>+BI144-BK144</f>
        <v>#REF!</v>
      </c>
      <c r="BK144" s="166" t="e">
        <f>IF(H144="Bundled",MIN(Y144*#REF!*(1+#REF!),BI144),AR144)</f>
        <v>#REF!</v>
      </c>
      <c r="BL144" s="167" t="e">
        <f>IF($AG144&gt;0,$AG144*#REF!*#REF!*(1+#REF!*(20/#REF!)/732),#REF!*Z144)</f>
        <v>#REF!</v>
      </c>
      <c r="BM144" s="167" t="e">
        <f>IF($AG144&gt;0,$AG144*#REF!*#REF!*(1+#REF!*(20/#REF!)/732),+#REF!*(Z144+X144))</f>
        <v>#REF!</v>
      </c>
      <c r="BN144" s="167" t="e">
        <f>IF(H144="Bundled",#REF!*Y144,#REF!*Y144*0.85)</f>
        <v>#REF!</v>
      </c>
      <c r="BO144" s="167" t="e">
        <f>+BE144*Y144</f>
        <v>#REF!</v>
      </c>
      <c r="BP144" s="167" t="e">
        <f>+#REF!*Y144</f>
        <v>#REF!</v>
      </c>
      <c r="BQ144" s="167" t="e">
        <f>+BJ144-BP144</f>
        <v>#REF!</v>
      </c>
      <c r="BR144" s="167" t="e">
        <f>+BK144-BL144</f>
        <v>#REF!</v>
      </c>
      <c r="BS144" s="167" t="e">
        <f>+BQ144+BR144</f>
        <v>#REF!</v>
      </c>
      <c r="BT144" s="167" t="e">
        <f t="shared" si="201"/>
        <v>#REF!</v>
      </c>
      <c r="BU144" s="167" t="e">
        <f>+BE144</f>
        <v>#REF!</v>
      </c>
      <c r="BV144" s="167" t="e">
        <f>IF(H144="Bundled",BN144-BL144,AR144-BL144)</f>
        <v>#REF!</v>
      </c>
      <c r="BW144" s="167" t="e">
        <f>IF(H144="Bundled",+(BG144-#REF!)*Y144,(AP144+AQ144)-Y144*#REF!)</f>
        <v>#REF!</v>
      </c>
      <c r="BX144" s="167" t="e">
        <f>+BV144+BW144</f>
        <v>#REF!</v>
      </c>
      <c r="BY144" s="167" t="e">
        <f t="shared" si="216"/>
        <v>#REF!</v>
      </c>
      <c r="BZ144" s="167" t="e">
        <f t="shared" si="216"/>
        <v>#REF!</v>
      </c>
      <c r="CA144" s="167" t="e">
        <f t="shared" si="216"/>
        <v>#REF!</v>
      </c>
    </row>
    <row r="145" spans="1:79" s="16" customFormat="1">
      <c r="A145" s="142" t="s">
        <v>48</v>
      </c>
      <c r="B145" s="435"/>
      <c r="C145" s="74" t="s">
        <v>457</v>
      </c>
      <c r="D145" s="436" t="s">
        <v>235</v>
      </c>
      <c r="E145" s="436"/>
      <c r="F145" s="436"/>
      <c r="G145" s="145" t="s">
        <v>130</v>
      </c>
      <c r="H145" s="146" t="s">
        <v>131</v>
      </c>
      <c r="I145" s="145" t="s">
        <v>144</v>
      </c>
      <c r="J145" s="145" t="s">
        <v>133</v>
      </c>
      <c r="K145" s="147" t="str">
        <f t="shared" si="207"/>
        <v>U Space</v>
      </c>
      <c r="L145" s="145">
        <v>1</v>
      </c>
      <c r="M145" s="145">
        <v>1</v>
      </c>
      <c r="N145" s="148">
        <f t="shared" si="180"/>
        <v>0</v>
      </c>
      <c r="O145" s="145">
        <v>1</v>
      </c>
      <c r="P145" s="145"/>
      <c r="Q145" s="149">
        <f>29000/12</f>
        <v>2416.6666666666665</v>
      </c>
      <c r="R145" s="150" t="str">
        <f t="shared" si="211"/>
        <v>Rated</v>
      </c>
      <c r="S145" s="321" t="s">
        <v>134</v>
      </c>
      <c r="T145" s="146">
        <v>0.25</v>
      </c>
      <c r="U145" s="151">
        <v>0.26</v>
      </c>
      <c r="V145" s="232">
        <f t="shared" si="181"/>
        <v>-1.0000000000000009E-2</v>
      </c>
      <c r="W145" s="146"/>
      <c r="X145" s="146">
        <f>IF(V145&lt;=0,0,(IF(R145="Rated",(V145+W145)*#REF!,(V145+W145))))</f>
        <v>0</v>
      </c>
      <c r="Y145" s="146" t="e">
        <f>IF(R145="Rated",T145*#REF!,T145)</f>
        <v>#REF!</v>
      </c>
      <c r="Z145" s="361"/>
      <c r="AA145" s="146">
        <f t="shared" si="214"/>
        <v>1.0000000000000009E-2</v>
      </c>
      <c r="AB145" s="152"/>
      <c r="AC145" s="153" t="str">
        <f t="shared" si="183"/>
        <v>Bundled</v>
      </c>
      <c r="AD145" s="146"/>
      <c r="AE145" s="146"/>
      <c r="AF145" s="154"/>
      <c r="AG145" s="146"/>
      <c r="AH145" s="155"/>
      <c r="AI145" s="156" t="str">
        <f>IF(AH145="No of Seats","No of Seats",(IF(AH145="Space","Sq Ft","")))</f>
        <v/>
      </c>
      <c r="AJ145" s="146"/>
      <c r="AK145" s="146"/>
      <c r="AL145" s="146">
        <f>AJ145-AK145</f>
        <v>0</v>
      </c>
      <c r="AM145" s="146"/>
      <c r="AN145" s="146"/>
      <c r="AO145" s="149"/>
      <c r="AP145" s="157">
        <f>Q145*O145</f>
        <v>2416.6666666666665</v>
      </c>
      <c r="AQ145" s="157">
        <f>AB145*AA145</f>
        <v>0</v>
      </c>
      <c r="AR145" s="158">
        <f>AG145*AF145*AD145</f>
        <v>0</v>
      </c>
      <c r="AS145" s="157">
        <f>AO145*AM145</f>
        <v>0</v>
      </c>
      <c r="AT145" s="159">
        <v>0</v>
      </c>
      <c r="AU145" s="160">
        <f>SUBTOTAL(9,AP145:AT145)</f>
        <v>2416.6666666666665</v>
      </c>
      <c r="AV145" s="160"/>
      <c r="AW145" s="322"/>
      <c r="AX145" s="318"/>
      <c r="AY145" s="319"/>
      <c r="AZ145" s="318"/>
      <c r="BA145" s="320"/>
      <c r="BB145" s="5"/>
      <c r="BC145" s="165">
        <f>IF(I145="Rack",AU145/L145,0)+IF(I145="U Space",AU145*40/L145,0)+IF(I145="Space",AU145*30/L145,0)</f>
        <v>96666.666666666657</v>
      </c>
      <c r="BD145" s="165" t="e">
        <f>+AU145/Y145</f>
        <v>#REF!</v>
      </c>
      <c r="BE145" s="165" t="e">
        <f t="shared" si="215"/>
        <v>#REF!</v>
      </c>
      <c r="BF145" s="165" t="e">
        <f t="shared" si="215"/>
        <v>#REF!</v>
      </c>
      <c r="BG145" s="165" t="e">
        <f>+($AP145+$AQ145+IF(H145="Bundled",0,Y145*0.85*AD145*AF145*30.5*24)-BN145)/$Y145</f>
        <v>#REF!</v>
      </c>
      <c r="BH145" s="165"/>
      <c r="BI145" s="166">
        <f>+AP145+AQ145+AR145</f>
        <v>2416.6666666666665</v>
      </c>
      <c r="BJ145" s="166" t="e">
        <f>+BI145-BK145</f>
        <v>#REF!</v>
      </c>
      <c r="BK145" s="166" t="e">
        <f>IF(H145="Bundled",MIN(Y145*#REF!*(1+#REF!),BI145),AR145)</f>
        <v>#REF!</v>
      </c>
      <c r="BL145" s="167" t="e">
        <f>IF($AG145&gt;0,$AG145*#REF!*#REF!*(1+#REF!*(20/#REF!)/732),#REF!*Z145)</f>
        <v>#REF!</v>
      </c>
      <c r="BM145" s="167" t="e">
        <f>IF($AG145&gt;0,$AG145*#REF!*#REF!*(1+#REF!*(20/#REF!)/732),+#REF!*(Z145+X145))</f>
        <v>#REF!</v>
      </c>
      <c r="BN145" s="167" t="e">
        <f>IF(H145="Bundled",#REF!*Y145,#REF!*Y145*0.85)</f>
        <v>#REF!</v>
      </c>
      <c r="BO145" s="167" t="e">
        <f>+BE145*Y145</f>
        <v>#REF!</v>
      </c>
      <c r="BP145" s="167" t="e">
        <f>+#REF!*Y145</f>
        <v>#REF!</v>
      </c>
      <c r="BQ145" s="167" t="e">
        <f>+BJ145-BP145</f>
        <v>#REF!</v>
      </c>
      <c r="BR145" s="167" t="e">
        <f>+BK145-BL145</f>
        <v>#REF!</v>
      </c>
      <c r="BS145" s="167" t="e">
        <f>+BQ145+BR145</f>
        <v>#REF!</v>
      </c>
      <c r="BT145" s="167" t="e">
        <f t="shared" si="201"/>
        <v>#REF!</v>
      </c>
      <c r="BU145" s="167" t="e">
        <f>+BE145</f>
        <v>#REF!</v>
      </c>
      <c r="BV145" s="167" t="e">
        <f>IF(H145="Bundled",BN145-BL145,AR145-BL145)</f>
        <v>#REF!</v>
      </c>
      <c r="BW145" s="167" t="e">
        <f>IF(H145="Bundled",+(BG145-#REF!)*Y145,(AP145+AQ145)-Y145*#REF!)</f>
        <v>#REF!</v>
      </c>
      <c r="BX145" s="167" t="e">
        <f>+BV145+BW145</f>
        <v>#REF!</v>
      </c>
      <c r="BY145" s="167" t="e">
        <f t="shared" si="216"/>
        <v>#REF!</v>
      </c>
      <c r="BZ145" s="167" t="e">
        <f t="shared" si="216"/>
        <v>#REF!</v>
      </c>
      <c r="CA145" s="167" t="e">
        <f t="shared" si="216"/>
        <v>#REF!</v>
      </c>
    </row>
    <row r="146" spans="1:79" s="16" customFormat="1" ht="26.1">
      <c r="A146" s="142" t="s">
        <v>48</v>
      </c>
      <c r="B146" s="435" t="s">
        <v>199</v>
      </c>
      <c r="C146" s="144" t="s">
        <v>458</v>
      </c>
      <c r="D146" s="144" t="s">
        <v>239</v>
      </c>
      <c r="E146" s="144"/>
      <c r="F146" s="144"/>
      <c r="G146" s="145" t="s">
        <v>130</v>
      </c>
      <c r="H146" s="146" t="s">
        <v>131</v>
      </c>
      <c r="I146" s="145" t="s">
        <v>144</v>
      </c>
      <c r="J146" s="145" t="s">
        <v>133</v>
      </c>
      <c r="K146" s="147" t="str">
        <f t="shared" si="207"/>
        <v>U Space</v>
      </c>
      <c r="L146" s="145">
        <v>6</v>
      </c>
      <c r="M146" s="145">
        <v>6</v>
      </c>
      <c r="N146" s="148">
        <f t="shared" si="180"/>
        <v>0</v>
      </c>
      <c r="O146" s="145">
        <v>6</v>
      </c>
      <c r="P146" s="145"/>
      <c r="Q146" s="149">
        <f>(22500)/12</f>
        <v>1875</v>
      </c>
      <c r="R146" s="150" t="str">
        <f t="shared" si="211"/>
        <v>Rated</v>
      </c>
      <c r="S146" s="321" t="s">
        <v>134</v>
      </c>
      <c r="T146" s="146">
        <v>0.24</v>
      </c>
      <c r="U146" s="151">
        <v>0.09</v>
      </c>
      <c r="V146" s="232">
        <f t="shared" si="181"/>
        <v>0.15</v>
      </c>
      <c r="W146" s="146"/>
      <c r="X146" s="146" t="e">
        <f>IF(V146&lt;=0,0,(IF(R146="Rated",(V146+W146)*#REF!,(V146+W146))))</f>
        <v>#REF!</v>
      </c>
      <c r="Y146" s="146" t="e">
        <f>IF(R146="Rated",T146*#REF!,T146)</f>
        <v>#REF!</v>
      </c>
      <c r="Z146" s="361">
        <v>1.1000000000000001</v>
      </c>
      <c r="AA146" s="146">
        <f t="shared" si="214"/>
        <v>0</v>
      </c>
      <c r="AB146" s="152"/>
      <c r="AC146" s="153" t="str">
        <f t="shared" si="183"/>
        <v>Bundled</v>
      </c>
      <c r="AD146" s="146"/>
      <c r="AE146" s="146"/>
      <c r="AF146" s="154"/>
      <c r="AG146" s="146"/>
      <c r="AH146" s="155"/>
      <c r="AI146" s="156" t="str">
        <f>IF(AH146="No of Seats","No of Seats",(IF(AH146="Space","Sq Ft","")))</f>
        <v/>
      </c>
      <c r="AJ146" s="146"/>
      <c r="AK146" s="146"/>
      <c r="AL146" s="146">
        <f>AJ146-AK146</f>
        <v>0</v>
      </c>
      <c r="AM146" s="146"/>
      <c r="AN146" s="146"/>
      <c r="AO146" s="149"/>
      <c r="AP146" s="157">
        <f>Q146*O146</f>
        <v>11250</v>
      </c>
      <c r="AQ146" s="157">
        <f>AB146*AA146</f>
        <v>0</v>
      </c>
      <c r="AR146" s="158">
        <f>AG146*AF146*AD146</f>
        <v>0</v>
      </c>
      <c r="AS146" s="157">
        <f>AO146*AM146</f>
        <v>0</v>
      </c>
      <c r="AT146" s="159">
        <v>0</v>
      </c>
      <c r="AU146" s="160">
        <f>SUBTOTAL(9,AP146:AT146)</f>
        <v>11250</v>
      </c>
      <c r="AV146" s="160"/>
      <c r="AW146" s="322"/>
      <c r="AX146" s="318"/>
      <c r="AY146" s="319"/>
      <c r="AZ146" s="318"/>
      <c r="BA146" s="320"/>
      <c r="BB146" s="5"/>
      <c r="BC146" s="165">
        <f>IF(I146="Rack",AU146/L146,0)+IF(I146="U Space",AU146*40/L146,0)+IF(I146="Space",AU146*30/L146,0)</f>
        <v>75000</v>
      </c>
      <c r="BD146" s="165" t="e">
        <f>+AU146/Y146</f>
        <v>#REF!</v>
      </c>
      <c r="BE146" s="165" t="e">
        <f t="shared" si="215"/>
        <v>#REF!</v>
      </c>
      <c r="BF146" s="165" t="e">
        <f t="shared" si="215"/>
        <v>#REF!</v>
      </c>
      <c r="BG146" s="165" t="e">
        <f>+($AP146+$AQ146+IF(H146="Bundled",0,Y146*0.85*AD146*AF146*30.5*24)-BN146)/$Y146</f>
        <v>#REF!</v>
      </c>
      <c r="BH146" s="165"/>
      <c r="BI146" s="166">
        <f>+AP146+AQ146+AR146</f>
        <v>11250</v>
      </c>
      <c r="BJ146" s="166" t="e">
        <f>+BI146-BK146</f>
        <v>#REF!</v>
      </c>
      <c r="BK146" s="166" t="e">
        <f>IF(H146="Bundled",MIN(Y146*#REF!*(1+#REF!),BI146),AR146)</f>
        <v>#REF!</v>
      </c>
      <c r="BL146" s="167" t="e">
        <f>IF($AG146&gt;0,$AG146*#REF!*#REF!*(1+#REF!*(20/#REF!)/732),#REF!*Z146)</f>
        <v>#REF!</v>
      </c>
      <c r="BM146" s="167" t="e">
        <f>IF($AG146&gt;0,$AG146*#REF!*#REF!*(1+#REF!*(20/#REF!)/732),+#REF!*(Z146+X146))</f>
        <v>#REF!</v>
      </c>
      <c r="BN146" s="167" t="e">
        <f>IF(H146="Bundled",#REF!*Y146,#REF!*Y146*0.85)</f>
        <v>#REF!</v>
      </c>
      <c r="BO146" s="167" t="e">
        <f>+BE146*Y146</f>
        <v>#REF!</v>
      </c>
      <c r="BP146" s="167" t="e">
        <f>+#REF!*Y146</f>
        <v>#REF!</v>
      </c>
      <c r="BQ146" s="167" t="e">
        <f>+BJ146-BP146</f>
        <v>#REF!</v>
      </c>
      <c r="BR146" s="167" t="e">
        <f>+BK146-BL146</f>
        <v>#REF!</v>
      </c>
      <c r="BS146" s="167" t="e">
        <f>+BQ146+BR146</f>
        <v>#REF!</v>
      </c>
      <c r="BT146" s="167" t="e">
        <f t="shared" si="201"/>
        <v>#REF!</v>
      </c>
      <c r="BU146" s="167" t="e">
        <f>+BE146</f>
        <v>#REF!</v>
      </c>
      <c r="BV146" s="167" t="e">
        <f>IF(H146="Bundled",BN146-BL146,AR146-BL146)</f>
        <v>#REF!</v>
      </c>
      <c r="BW146" s="167" t="e">
        <f>IF(H146="Bundled",+(BG146-#REF!)*Y146,(AP146+AQ146)-Y146*#REF!)</f>
        <v>#REF!</v>
      </c>
      <c r="BX146" s="167" t="e">
        <f>+BV146+BW146</f>
        <v>#REF!</v>
      </c>
      <c r="BY146" s="167" t="e">
        <f t="shared" si="216"/>
        <v>#REF!</v>
      </c>
      <c r="BZ146" s="167" t="e">
        <f t="shared" si="216"/>
        <v>#REF!</v>
      </c>
      <c r="CA146" s="167" t="e">
        <f t="shared" si="216"/>
        <v>#REF!</v>
      </c>
    </row>
    <row r="147" spans="1:79" s="16" customFormat="1">
      <c r="A147" s="142" t="s">
        <v>48</v>
      </c>
      <c r="B147" s="435"/>
      <c r="C147" s="168" t="s">
        <v>459</v>
      </c>
      <c r="D147" s="168" t="s">
        <v>235</v>
      </c>
      <c r="E147" s="168"/>
      <c r="F147" s="168"/>
      <c r="G147" s="145" t="s">
        <v>130</v>
      </c>
      <c r="H147" s="146" t="s">
        <v>131</v>
      </c>
      <c r="I147" s="145" t="s">
        <v>144</v>
      </c>
      <c r="J147" s="145" t="s">
        <v>133</v>
      </c>
      <c r="K147" s="147" t="str">
        <f t="shared" si="207"/>
        <v>U Space</v>
      </c>
      <c r="L147" s="145">
        <v>2</v>
      </c>
      <c r="M147" s="145">
        <v>2</v>
      </c>
      <c r="N147" s="148">
        <f t="shared" si="180"/>
        <v>0</v>
      </c>
      <c r="O147" s="145">
        <v>2</v>
      </c>
      <c r="P147" s="145"/>
      <c r="Q147" s="149"/>
      <c r="R147" s="150" t="str">
        <f t="shared" si="211"/>
        <v>Rated</v>
      </c>
      <c r="S147" s="321" t="s">
        <v>134</v>
      </c>
      <c r="T147" s="146">
        <v>0.4</v>
      </c>
      <c r="U147" s="151">
        <v>0.04</v>
      </c>
      <c r="V147" s="232">
        <f t="shared" si="181"/>
        <v>0.36000000000000004</v>
      </c>
      <c r="W147" s="146"/>
      <c r="X147" s="146" t="e">
        <f>IF(V147&lt;=0,0,(IF(R147="Rated",(V147+W147)*#REF!,(V147+W147))))</f>
        <v>#REF!</v>
      </c>
      <c r="Y147" s="146" t="e">
        <f>IF(R147="Rated",T147*#REF!,T147)</f>
        <v>#REF!</v>
      </c>
      <c r="Z147" s="361"/>
      <c r="AA147" s="146">
        <f t="shared" si="214"/>
        <v>0</v>
      </c>
      <c r="AB147" s="152"/>
      <c r="AC147" s="153" t="str">
        <f t="shared" si="183"/>
        <v>Bundled</v>
      </c>
      <c r="AD147" s="146"/>
      <c r="AE147" s="146"/>
      <c r="AF147" s="154"/>
      <c r="AG147" s="146"/>
      <c r="AH147" s="155"/>
      <c r="AI147" s="156"/>
      <c r="AJ147" s="146"/>
      <c r="AK147" s="146"/>
      <c r="AL147" s="146"/>
      <c r="AM147" s="146"/>
      <c r="AN147" s="146"/>
      <c r="AO147" s="149"/>
      <c r="AP147" s="157"/>
      <c r="AQ147" s="157"/>
      <c r="AR147" s="158"/>
      <c r="AS147" s="157"/>
      <c r="AT147" s="159"/>
      <c r="AU147" s="160"/>
      <c r="AV147" s="160"/>
      <c r="AW147" s="322"/>
      <c r="AX147" s="318"/>
      <c r="AY147" s="319"/>
      <c r="AZ147" s="318"/>
      <c r="BA147" s="320"/>
      <c r="BB147" s="5"/>
      <c r="BC147" s="165"/>
      <c r="BD147" s="165"/>
      <c r="BE147" s="165"/>
      <c r="BF147" s="165"/>
      <c r="BG147" s="165"/>
      <c r="BH147" s="165"/>
      <c r="BI147" s="166"/>
      <c r="BJ147" s="166"/>
      <c r="BK147" s="166"/>
      <c r="BL147" s="167"/>
      <c r="BM147" s="167"/>
      <c r="BN147" s="167" t="e">
        <f>IF(H147="Bundled",#REF!*Y147,#REF!*Y147*0.85)</f>
        <v>#REF!</v>
      </c>
      <c r="BO147" s="167"/>
      <c r="BP147" s="167"/>
      <c r="BQ147" s="167"/>
      <c r="BR147" s="167"/>
      <c r="BS147" s="167"/>
      <c r="BT147" s="167" t="e">
        <f t="shared" si="201"/>
        <v>#REF!</v>
      </c>
      <c r="BU147" s="167"/>
      <c r="BV147" s="167"/>
      <c r="BW147" s="167"/>
      <c r="BX147" s="167"/>
      <c r="BY147" s="167"/>
      <c r="BZ147" s="167"/>
      <c r="CA147" s="167"/>
    </row>
    <row r="148" spans="1:79" s="16" customFormat="1">
      <c r="A148" s="142" t="s">
        <v>48</v>
      </c>
      <c r="B148" s="435"/>
      <c r="C148" s="144" t="s">
        <v>460</v>
      </c>
      <c r="D148" s="144" t="s">
        <v>239</v>
      </c>
      <c r="E148" s="144"/>
      <c r="F148" s="144"/>
      <c r="G148" s="145" t="s">
        <v>130</v>
      </c>
      <c r="H148" s="146" t="s">
        <v>131</v>
      </c>
      <c r="I148" s="145" t="s">
        <v>144</v>
      </c>
      <c r="J148" s="145" t="s">
        <v>133</v>
      </c>
      <c r="K148" s="147" t="str">
        <f t="shared" si="207"/>
        <v>U Space</v>
      </c>
      <c r="L148" s="145">
        <v>3</v>
      </c>
      <c r="M148" s="145">
        <v>3</v>
      </c>
      <c r="N148" s="148">
        <f t="shared" si="180"/>
        <v>0</v>
      </c>
      <c r="O148" s="145">
        <v>3</v>
      </c>
      <c r="P148" s="145"/>
      <c r="Q148" s="149"/>
      <c r="R148" s="150" t="str">
        <f t="shared" si="211"/>
        <v>Rated</v>
      </c>
      <c r="S148" s="321" t="s">
        <v>134</v>
      </c>
      <c r="T148" s="146">
        <v>0.3</v>
      </c>
      <c r="U148" s="151">
        <v>0.27</v>
      </c>
      <c r="V148" s="232">
        <f t="shared" si="181"/>
        <v>2.9999999999999971E-2</v>
      </c>
      <c r="W148" s="146"/>
      <c r="X148" s="146" t="e">
        <f>IF(V148&lt;=0,0,(IF(R148="Rated",(V148+W148)*#REF!,(V148+W148))))</f>
        <v>#REF!</v>
      </c>
      <c r="Y148" s="146" t="e">
        <f>IF(R148="Rated",T148*#REF!,T148)</f>
        <v>#REF!</v>
      </c>
      <c r="Z148" s="361"/>
      <c r="AA148" s="146">
        <f t="shared" si="214"/>
        <v>0</v>
      </c>
      <c r="AB148" s="152"/>
      <c r="AC148" s="153" t="str">
        <f t="shared" si="183"/>
        <v>Bundled</v>
      </c>
      <c r="AD148" s="146"/>
      <c r="AE148" s="146"/>
      <c r="AF148" s="154"/>
      <c r="AG148" s="146"/>
      <c r="AH148" s="155"/>
      <c r="AI148" s="156" t="str">
        <f>IF(AH148="No of Seats","No of Seats",(IF(AH148="Space","Sq Ft","")))</f>
        <v/>
      </c>
      <c r="AJ148" s="146"/>
      <c r="AK148" s="146"/>
      <c r="AL148" s="146">
        <f t="shared" ref="AL148:AL157" si="217">AJ148-AK148</f>
        <v>0</v>
      </c>
      <c r="AM148" s="146"/>
      <c r="AN148" s="146"/>
      <c r="AO148" s="149"/>
      <c r="AP148" s="157">
        <f t="shared" ref="AP148:AP157" si="218">Q148*O148</f>
        <v>0</v>
      </c>
      <c r="AQ148" s="157">
        <f t="shared" ref="AQ148:AQ157" si="219">AB148*AA148</f>
        <v>0</v>
      </c>
      <c r="AR148" s="158">
        <f t="shared" ref="AR148:AR157" si="220">AG148*AF148*AD148</f>
        <v>0</v>
      </c>
      <c r="AS148" s="157">
        <f t="shared" ref="AS148:AS157" si="221">AO148*AM148</f>
        <v>0</v>
      </c>
      <c r="AT148" s="159">
        <v>0</v>
      </c>
      <c r="AU148" s="160">
        <f t="shared" ref="AU148:AU157" si="222">SUBTOTAL(9,AP148:AT148)</f>
        <v>0</v>
      </c>
      <c r="AV148" s="160"/>
      <c r="AW148" s="322"/>
      <c r="AX148" s="318"/>
      <c r="AY148" s="319"/>
      <c r="AZ148" s="318"/>
      <c r="BA148" s="320"/>
      <c r="BB148" s="5"/>
      <c r="BC148" s="165">
        <f t="shared" ref="BC148:BC157" si="223">IF(I148="Rack",AU148/L148,0)+IF(I148="U Space",AU148*40/L148,0)+IF(I148="Space",AU148*30/L148,0)</f>
        <v>0</v>
      </c>
      <c r="BD148" s="165" t="e">
        <f t="shared" ref="BD148:BD157" si="224">+AU148/Y148</f>
        <v>#REF!</v>
      </c>
      <c r="BE148" s="165" t="e">
        <f t="shared" ref="BE148:BE157" si="225">+($AP148+$AQ148+$AR148-BL148)/$Y148</f>
        <v>#REF!</v>
      </c>
      <c r="BF148" s="165" t="e">
        <f t="shared" ref="BF148:BF157" si="226">+($AP148+$AQ148+$AR148-BM148)/$Y148</f>
        <v>#REF!</v>
      </c>
      <c r="BG148" s="165" t="e">
        <f t="shared" ref="BG148:BG157" si="227">+($AP148+$AQ148+IF(H148="Bundled",0,Y148*0.85*AD148*AF148*30.5*24)-BN148)/$Y148</f>
        <v>#REF!</v>
      </c>
      <c r="BH148" s="165"/>
      <c r="BI148" s="166">
        <f t="shared" ref="BI148:BI157" si="228">+AP148+AQ148+AR148</f>
        <v>0</v>
      </c>
      <c r="BJ148" s="166" t="e">
        <f t="shared" ref="BJ148:BJ157" si="229">+BI148-BK148</f>
        <v>#REF!</v>
      </c>
      <c r="BK148" s="166" t="e">
        <f>IF(H148="Bundled",MIN(Y148*#REF!*(1+#REF!),BI148),AR148)</f>
        <v>#REF!</v>
      </c>
      <c r="BL148" s="167" t="e">
        <f>IF($AG148&gt;0,$AG148*#REF!*#REF!*(1+#REF!*(20/#REF!)/732),#REF!*Z148)</f>
        <v>#REF!</v>
      </c>
      <c r="BM148" s="167" t="e">
        <f>IF($AG148&gt;0,$AG148*#REF!*#REF!*(1+#REF!*(20/#REF!)/732),+#REF!*(Z148+X148))</f>
        <v>#REF!</v>
      </c>
      <c r="BN148" s="167" t="e">
        <f>IF(H148="Bundled",#REF!*Y148,#REF!*Y148*0.85)</f>
        <v>#REF!</v>
      </c>
      <c r="BO148" s="167" t="e">
        <f t="shared" ref="BO148:BO157" si="230">+BE148*Y148</f>
        <v>#REF!</v>
      </c>
      <c r="BP148" s="167" t="e">
        <f>+#REF!*Y148</f>
        <v>#REF!</v>
      </c>
      <c r="BQ148" s="167" t="e">
        <f t="shared" ref="BQ148:BQ157" si="231">+BJ148-BP148</f>
        <v>#REF!</v>
      </c>
      <c r="BR148" s="167" t="e">
        <f t="shared" ref="BR148:BR157" si="232">+BK148-BL148</f>
        <v>#REF!</v>
      </c>
      <c r="BS148" s="167" t="e">
        <f t="shared" ref="BS148:BS157" si="233">+BQ148+BR148</f>
        <v>#REF!</v>
      </c>
      <c r="BT148" s="167" t="e">
        <f t="shared" si="201"/>
        <v>#REF!</v>
      </c>
      <c r="BU148" s="167" t="e">
        <f t="shared" ref="BU148:BU157" si="234">+BE148</f>
        <v>#REF!</v>
      </c>
      <c r="BV148" s="167" t="e">
        <f t="shared" ref="BV148:BV157" si="235">IF(H148="Bundled",BN148-BL148,AR148-BL148)</f>
        <v>#REF!</v>
      </c>
      <c r="BW148" s="167" t="e">
        <f>IF(H148="Bundled",+(BG148-#REF!)*Y148,(AP148+AQ148)-Y148*#REF!)</f>
        <v>#REF!</v>
      </c>
      <c r="BX148" s="167" t="e">
        <f t="shared" ref="BX148:BX157" si="236">+BV148+BW148</f>
        <v>#REF!</v>
      </c>
      <c r="BY148" s="167" t="e">
        <f t="shared" ref="BY148:BY156" si="237">+BV148/$BT148</f>
        <v>#REF!</v>
      </c>
      <c r="BZ148" s="167" t="e">
        <f t="shared" ref="BZ148:BZ156" si="238">+BW148/$BT148</f>
        <v>#REF!</v>
      </c>
      <c r="CA148" s="167" t="e">
        <f t="shared" ref="CA148:CA156" si="239">+BX148/$BT148</f>
        <v>#REF!</v>
      </c>
    </row>
    <row r="149" spans="1:79" s="16" customFormat="1" ht="26.1">
      <c r="A149" s="142" t="s">
        <v>48</v>
      </c>
      <c r="B149" s="435"/>
      <c r="C149" s="168" t="s">
        <v>461</v>
      </c>
      <c r="D149" s="168" t="s">
        <v>239</v>
      </c>
      <c r="E149" s="168"/>
      <c r="F149" s="168"/>
      <c r="G149" s="145" t="s">
        <v>130</v>
      </c>
      <c r="H149" s="146" t="s">
        <v>131</v>
      </c>
      <c r="I149" s="145" t="s">
        <v>144</v>
      </c>
      <c r="J149" s="145" t="s">
        <v>133</v>
      </c>
      <c r="K149" s="147" t="str">
        <f t="shared" si="207"/>
        <v>U Space</v>
      </c>
      <c r="L149" s="145">
        <v>6</v>
      </c>
      <c r="M149" s="145">
        <v>6</v>
      </c>
      <c r="N149" s="148">
        <f t="shared" si="180"/>
        <v>0</v>
      </c>
      <c r="O149" s="145">
        <v>6</v>
      </c>
      <c r="P149" s="145"/>
      <c r="Q149" s="149">
        <f>(35000)/12</f>
        <v>2916.6666666666665</v>
      </c>
      <c r="R149" s="150" t="str">
        <f t="shared" si="211"/>
        <v>Rated</v>
      </c>
      <c r="S149" s="321" t="s">
        <v>134</v>
      </c>
      <c r="T149" s="146">
        <v>1</v>
      </c>
      <c r="U149" s="151">
        <v>2.33</v>
      </c>
      <c r="V149" s="232">
        <f t="shared" si="181"/>
        <v>-1.33</v>
      </c>
      <c r="W149" s="146"/>
      <c r="X149" s="146">
        <f>IF(V149&lt;=0,0,(IF(R149="Rated",(V149+W149)*#REF!,(V149+W149))))</f>
        <v>0</v>
      </c>
      <c r="Y149" s="146" t="e">
        <f>IF(R149="Rated",T149*#REF!,T149)</f>
        <v>#REF!</v>
      </c>
      <c r="Z149" s="361"/>
      <c r="AA149" s="146">
        <f t="shared" si="214"/>
        <v>1.33</v>
      </c>
      <c r="AB149" s="152"/>
      <c r="AC149" s="153" t="str">
        <f t="shared" si="183"/>
        <v>Bundled</v>
      </c>
      <c r="AD149" s="146"/>
      <c r="AE149" s="146"/>
      <c r="AF149" s="154"/>
      <c r="AG149" s="146"/>
      <c r="AH149" s="155"/>
      <c r="AI149" s="156" t="str">
        <f>IF(AH149="No of Seats","No of Seats",(IF(AH149="Space","Sq Ft","")))</f>
        <v/>
      </c>
      <c r="AJ149" s="146"/>
      <c r="AK149" s="146"/>
      <c r="AL149" s="146">
        <f t="shared" si="217"/>
        <v>0</v>
      </c>
      <c r="AM149" s="146"/>
      <c r="AN149" s="146"/>
      <c r="AO149" s="149"/>
      <c r="AP149" s="157">
        <f t="shared" si="218"/>
        <v>17500</v>
      </c>
      <c r="AQ149" s="157">
        <f t="shared" si="219"/>
        <v>0</v>
      </c>
      <c r="AR149" s="158">
        <f t="shared" si="220"/>
        <v>0</v>
      </c>
      <c r="AS149" s="157">
        <f t="shared" si="221"/>
        <v>0</v>
      </c>
      <c r="AT149" s="159">
        <v>0</v>
      </c>
      <c r="AU149" s="160">
        <f t="shared" si="222"/>
        <v>17500</v>
      </c>
      <c r="AV149" s="160"/>
      <c r="AW149" s="322"/>
      <c r="AX149" s="318"/>
      <c r="AY149" s="319"/>
      <c r="AZ149" s="318"/>
      <c r="BA149" s="320"/>
      <c r="BB149" s="5"/>
      <c r="BC149" s="165">
        <f t="shared" si="223"/>
        <v>116666.66666666667</v>
      </c>
      <c r="BD149" s="165" t="e">
        <f t="shared" si="224"/>
        <v>#REF!</v>
      </c>
      <c r="BE149" s="165" t="e">
        <f t="shared" si="225"/>
        <v>#REF!</v>
      </c>
      <c r="BF149" s="165" t="e">
        <f t="shared" si="226"/>
        <v>#REF!</v>
      </c>
      <c r="BG149" s="165" t="e">
        <f t="shared" si="227"/>
        <v>#REF!</v>
      </c>
      <c r="BH149" s="165"/>
      <c r="BI149" s="166">
        <f t="shared" si="228"/>
        <v>17500</v>
      </c>
      <c r="BJ149" s="166" t="e">
        <f t="shared" si="229"/>
        <v>#REF!</v>
      </c>
      <c r="BK149" s="166" t="e">
        <f>IF(H149="Bundled",MIN(Y149*#REF!*(1+#REF!),BI149),AR149)</f>
        <v>#REF!</v>
      </c>
      <c r="BL149" s="167" t="e">
        <f>IF($AG149&gt;0,$AG149*#REF!*#REF!*(1+#REF!*(20/#REF!)/732),#REF!*Z149)</f>
        <v>#REF!</v>
      </c>
      <c r="BM149" s="167" t="e">
        <f>IF($AG149&gt;0,$AG149*#REF!*#REF!*(1+#REF!*(20/#REF!)/732),+#REF!*(Z149+X149))</f>
        <v>#REF!</v>
      </c>
      <c r="BN149" s="167" t="e">
        <f>IF(H149="Bundled",#REF!*Y149,#REF!*Y149*0.85)</f>
        <v>#REF!</v>
      </c>
      <c r="BO149" s="167" t="e">
        <f t="shared" si="230"/>
        <v>#REF!</v>
      </c>
      <c r="BP149" s="167" t="e">
        <f>+#REF!*Y149</f>
        <v>#REF!</v>
      </c>
      <c r="BQ149" s="167" t="e">
        <f t="shared" si="231"/>
        <v>#REF!</v>
      </c>
      <c r="BR149" s="167" t="e">
        <f t="shared" si="232"/>
        <v>#REF!</v>
      </c>
      <c r="BS149" s="167" t="e">
        <f t="shared" si="233"/>
        <v>#REF!</v>
      </c>
      <c r="BT149" s="167" t="e">
        <f t="shared" si="201"/>
        <v>#REF!</v>
      </c>
      <c r="BU149" s="167" t="e">
        <f t="shared" si="234"/>
        <v>#REF!</v>
      </c>
      <c r="BV149" s="167" t="e">
        <f t="shared" si="235"/>
        <v>#REF!</v>
      </c>
      <c r="BW149" s="167" t="e">
        <f>IF(H149="Bundled",+(BG149-#REF!)*Y149,(AP149+AQ149)-Y149*#REF!)</f>
        <v>#REF!</v>
      </c>
      <c r="BX149" s="167" t="e">
        <f t="shared" si="236"/>
        <v>#REF!</v>
      </c>
      <c r="BY149" s="167" t="e">
        <f t="shared" si="237"/>
        <v>#REF!</v>
      </c>
      <c r="BZ149" s="167" t="e">
        <f t="shared" si="238"/>
        <v>#REF!</v>
      </c>
      <c r="CA149" s="167" t="e">
        <f t="shared" si="239"/>
        <v>#REF!</v>
      </c>
    </row>
    <row r="150" spans="1:79" s="16" customFormat="1">
      <c r="A150" s="142" t="s">
        <v>48</v>
      </c>
      <c r="B150" s="435"/>
      <c r="C150" s="144" t="s">
        <v>462</v>
      </c>
      <c r="D150" s="144" t="s">
        <v>235</v>
      </c>
      <c r="E150" s="144"/>
      <c r="F150" s="144"/>
      <c r="G150" s="145" t="s">
        <v>130</v>
      </c>
      <c r="H150" s="146" t="s">
        <v>131</v>
      </c>
      <c r="I150" s="145" t="s">
        <v>144</v>
      </c>
      <c r="J150" s="145" t="s">
        <v>133</v>
      </c>
      <c r="K150" s="147" t="str">
        <f t="shared" si="207"/>
        <v>U Space</v>
      </c>
      <c r="L150" s="145">
        <v>2</v>
      </c>
      <c r="M150" s="145">
        <v>2</v>
      </c>
      <c r="N150" s="148">
        <f t="shared" si="180"/>
        <v>0</v>
      </c>
      <c r="O150" s="145">
        <v>2</v>
      </c>
      <c r="P150" s="145"/>
      <c r="Q150" s="149"/>
      <c r="R150" s="150" t="str">
        <f t="shared" si="211"/>
        <v>Rated</v>
      </c>
      <c r="S150" s="321" t="s">
        <v>134</v>
      </c>
      <c r="T150" s="146">
        <v>0.5</v>
      </c>
      <c r="U150" s="151">
        <v>5.6000000000000001E-2</v>
      </c>
      <c r="V150" s="232">
        <f t="shared" si="181"/>
        <v>0.44400000000000001</v>
      </c>
      <c r="W150" s="146"/>
      <c r="X150" s="146" t="e">
        <f>IF(V150&lt;=0,0,(IF(R150="Rated",(V150+W150)*#REF!,(V150+W150))))</f>
        <v>#REF!</v>
      </c>
      <c r="Y150" s="146" t="e">
        <f>IF(R150="Rated",T150*#REF!,T150)</f>
        <v>#REF!</v>
      </c>
      <c r="Z150" s="361"/>
      <c r="AA150" s="146">
        <f t="shared" si="214"/>
        <v>0</v>
      </c>
      <c r="AB150" s="152"/>
      <c r="AC150" s="153" t="str">
        <f t="shared" si="183"/>
        <v>Bundled</v>
      </c>
      <c r="AD150" s="146"/>
      <c r="AE150" s="146"/>
      <c r="AF150" s="154"/>
      <c r="AG150" s="146"/>
      <c r="AH150" s="155"/>
      <c r="AI150" s="156" t="str">
        <f>IF(AH150="No of Seats","No of Seats",(IF(AH150="Space","Sq Ft","")))</f>
        <v/>
      </c>
      <c r="AJ150" s="146"/>
      <c r="AK150" s="146"/>
      <c r="AL150" s="146">
        <f t="shared" si="217"/>
        <v>0</v>
      </c>
      <c r="AM150" s="146"/>
      <c r="AN150" s="146"/>
      <c r="AO150" s="149"/>
      <c r="AP150" s="157">
        <f t="shared" si="218"/>
        <v>0</v>
      </c>
      <c r="AQ150" s="157">
        <f t="shared" si="219"/>
        <v>0</v>
      </c>
      <c r="AR150" s="158">
        <f t="shared" si="220"/>
        <v>0</v>
      </c>
      <c r="AS150" s="157">
        <f t="shared" si="221"/>
        <v>0</v>
      </c>
      <c r="AT150" s="159">
        <v>0</v>
      </c>
      <c r="AU150" s="160">
        <f t="shared" si="222"/>
        <v>0</v>
      </c>
      <c r="AV150" s="160"/>
      <c r="AW150" s="322"/>
      <c r="AX150" s="318"/>
      <c r="AY150" s="319"/>
      <c r="AZ150" s="318"/>
      <c r="BA150" s="320"/>
      <c r="BB150" s="5"/>
      <c r="BC150" s="165">
        <f t="shared" si="223"/>
        <v>0</v>
      </c>
      <c r="BD150" s="165" t="e">
        <f t="shared" si="224"/>
        <v>#REF!</v>
      </c>
      <c r="BE150" s="165" t="e">
        <f t="shared" si="225"/>
        <v>#REF!</v>
      </c>
      <c r="BF150" s="165" t="e">
        <f t="shared" si="226"/>
        <v>#REF!</v>
      </c>
      <c r="BG150" s="165" t="e">
        <f t="shared" si="227"/>
        <v>#REF!</v>
      </c>
      <c r="BH150" s="165"/>
      <c r="BI150" s="166">
        <f t="shared" si="228"/>
        <v>0</v>
      </c>
      <c r="BJ150" s="166" t="e">
        <f t="shared" si="229"/>
        <v>#REF!</v>
      </c>
      <c r="BK150" s="166" t="e">
        <f>IF(H150="Bundled",MIN(Y150*#REF!*(1+#REF!),BI150),AR150)</f>
        <v>#REF!</v>
      </c>
      <c r="BL150" s="167" t="e">
        <f>IF($AG150&gt;0,$AG150*#REF!*#REF!*(1+#REF!*(20/#REF!)/732),#REF!*Z150)</f>
        <v>#REF!</v>
      </c>
      <c r="BM150" s="167" t="e">
        <f>IF($AG150&gt;0,$AG150*#REF!*#REF!*(1+#REF!*(20/#REF!)/732),+#REF!*(Z150+X150))</f>
        <v>#REF!</v>
      </c>
      <c r="BN150" s="167" t="e">
        <f>IF(H150="Bundled",#REF!*Y150,#REF!*Y150*0.85)</f>
        <v>#REF!</v>
      </c>
      <c r="BO150" s="167" t="e">
        <f t="shared" si="230"/>
        <v>#REF!</v>
      </c>
      <c r="BP150" s="167" t="e">
        <f>+#REF!*Y150</f>
        <v>#REF!</v>
      </c>
      <c r="BQ150" s="167" t="e">
        <f t="shared" si="231"/>
        <v>#REF!</v>
      </c>
      <c r="BR150" s="167" t="e">
        <f t="shared" si="232"/>
        <v>#REF!</v>
      </c>
      <c r="BS150" s="167" t="e">
        <f t="shared" si="233"/>
        <v>#REF!</v>
      </c>
      <c r="BT150" s="167" t="e">
        <f t="shared" si="201"/>
        <v>#REF!</v>
      </c>
      <c r="BU150" s="167" t="e">
        <f t="shared" si="234"/>
        <v>#REF!</v>
      </c>
      <c r="BV150" s="167" t="e">
        <f t="shared" si="235"/>
        <v>#REF!</v>
      </c>
      <c r="BW150" s="167" t="e">
        <f>IF(H150="Bundled",+(BG150-#REF!)*Y150,(AP150+AQ150)-Y150*#REF!)</f>
        <v>#REF!</v>
      </c>
      <c r="BX150" s="167" t="e">
        <f t="shared" si="236"/>
        <v>#REF!</v>
      </c>
      <c r="BY150" s="167" t="e">
        <f t="shared" si="237"/>
        <v>#REF!</v>
      </c>
      <c r="BZ150" s="167" t="e">
        <f t="shared" si="238"/>
        <v>#REF!</v>
      </c>
      <c r="CA150" s="167" t="e">
        <f t="shared" si="239"/>
        <v>#REF!</v>
      </c>
    </row>
    <row r="151" spans="1:79" s="16" customFormat="1">
      <c r="A151" s="142" t="s">
        <v>48</v>
      </c>
      <c r="B151" s="143" t="s">
        <v>463</v>
      </c>
      <c r="C151" s="196" t="s">
        <v>464</v>
      </c>
      <c r="D151" s="196" t="s">
        <v>235</v>
      </c>
      <c r="E151" s="196"/>
      <c r="F151" s="196"/>
      <c r="G151" s="145" t="s">
        <v>130</v>
      </c>
      <c r="H151" s="146" t="s">
        <v>131</v>
      </c>
      <c r="I151" s="145" t="s">
        <v>132</v>
      </c>
      <c r="J151" s="145" t="s">
        <v>133</v>
      </c>
      <c r="K151" s="147" t="str">
        <f t="shared" si="207"/>
        <v>No of Racks</v>
      </c>
      <c r="L151" s="145">
        <v>2</v>
      </c>
      <c r="M151" s="145">
        <v>2</v>
      </c>
      <c r="N151" s="148">
        <f t="shared" si="180"/>
        <v>0</v>
      </c>
      <c r="O151" s="145">
        <v>2</v>
      </c>
      <c r="P151" s="145"/>
      <c r="Q151" s="149">
        <f>(675000)/12</f>
        <v>56250</v>
      </c>
      <c r="R151" s="150" t="str">
        <f t="shared" si="211"/>
        <v>Rated</v>
      </c>
      <c r="S151" s="145" t="s">
        <v>134</v>
      </c>
      <c r="T151" s="146">
        <v>6</v>
      </c>
      <c r="U151" s="151">
        <v>8.69</v>
      </c>
      <c r="V151" s="232">
        <f t="shared" si="181"/>
        <v>-2.6899999999999995</v>
      </c>
      <c r="W151" s="146"/>
      <c r="X151" s="146">
        <f>IF(V151&lt;=0,0,(IF(R151="Rated",(V151+W151)*#REF!,(V151+W151))))</f>
        <v>0</v>
      </c>
      <c r="Y151" s="146" t="e">
        <f>IF(R151="Rated",T151*#REF!,T151)</f>
        <v>#REF!</v>
      </c>
      <c r="Z151" s="231">
        <v>2.97</v>
      </c>
      <c r="AA151" s="146">
        <f t="shared" si="214"/>
        <v>2.6899999999999995</v>
      </c>
      <c r="AB151" s="152">
        <f>90000/12</f>
        <v>7500</v>
      </c>
      <c r="AC151" s="153" t="str">
        <f t="shared" si="183"/>
        <v>Bundled</v>
      </c>
      <c r="AD151" s="146"/>
      <c r="AE151" s="146"/>
      <c r="AF151" s="154"/>
      <c r="AG151" s="146"/>
      <c r="AH151" s="155"/>
      <c r="AI151" s="156"/>
      <c r="AJ151" s="146"/>
      <c r="AK151" s="146"/>
      <c r="AL151" s="146">
        <f t="shared" si="217"/>
        <v>0</v>
      </c>
      <c r="AM151" s="146"/>
      <c r="AN151" s="146"/>
      <c r="AO151" s="149">
        <f>(0)/12</f>
        <v>0</v>
      </c>
      <c r="AP151" s="157">
        <f t="shared" si="218"/>
        <v>112500</v>
      </c>
      <c r="AQ151" s="157">
        <f t="shared" si="219"/>
        <v>20174.999999999996</v>
      </c>
      <c r="AR151" s="158">
        <f t="shared" si="220"/>
        <v>0</v>
      </c>
      <c r="AS151" s="157">
        <f t="shared" si="221"/>
        <v>0</v>
      </c>
      <c r="AT151" s="159">
        <f t="shared" ref="AT151" si="240">0/12</f>
        <v>0</v>
      </c>
      <c r="AU151" s="160">
        <f t="shared" si="222"/>
        <v>132675</v>
      </c>
      <c r="AV151" s="160"/>
      <c r="AW151" s="161"/>
      <c r="AX151" s="162"/>
      <c r="AY151" s="163"/>
      <c r="AZ151" s="162"/>
      <c r="BA151" s="164"/>
      <c r="BB151" s="5"/>
      <c r="BC151" s="165">
        <f t="shared" si="223"/>
        <v>66337.5</v>
      </c>
      <c r="BD151" s="165" t="e">
        <f t="shared" si="224"/>
        <v>#REF!</v>
      </c>
      <c r="BE151" s="165" t="e">
        <f t="shared" si="225"/>
        <v>#REF!</v>
      </c>
      <c r="BF151" s="165" t="e">
        <f t="shared" si="226"/>
        <v>#REF!</v>
      </c>
      <c r="BG151" s="165" t="e">
        <f t="shared" si="227"/>
        <v>#REF!</v>
      </c>
      <c r="BH151" s="165"/>
      <c r="BI151" s="166">
        <f t="shared" si="228"/>
        <v>132675</v>
      </c>
      <c r="BJ151" s="166" t="e">
        <f t="shared" si="229"/>
        <v>#REF!</v>
      </c>
      <c r="BK151" s="166" t="e">
        <f>IF(H151="Bundled",MIN(Y151*#REF!*(1+#REF!),BI151),AR151)</f>
        <v>#REF!</v>
      </c>
      <c r="BL151" s="167" t="e">
        <f>IF($AG151&gt;0,$AG151*#REF!*#REF!*(1+#REF!*(20/#REF!)/732),#REF!*Z151)</f>
        <v>#REF!</v>
      </c>
      <c r="BM151" s="167" t="e">
        <f>IF($AG151&gt;0,$AG151*#REF!*#REF!*(1+#REF!*(20/#REF!)/732),+#REF!*(Z151+X151))</f>
        <v>#REF!</v>
      </c>
      <c r="BN151" s="167" t="e">
        <f>IF(H151="Bundled",#REF!*Y151,#REF!*Y151*0.85)</f>
        <v>#REF!</v>
      </c>
      <c r="BO151" s="167" t="e">
        <f t="shared" si="230"/>
        <v>#REF!</v>
      </c>
      <c r="BP151" s="167" t="e">
        <f>+#REF!*Y151</f>
        <v>#REF!</v>
      </c>
      <c r="BQ151" s="167" t="e">
        <f t="shared" si="231"/>
        <v>#REF!</v>
      </c>
      <c r="BR151" s="167" t="e">
        <f t="shared" si="232"/>
        <v>#REF!</v>
      </c>
      <c r="BS151" s="167" t="e">
        <f t="shared" si="233"/>
        <v>#REF!</v>
      </c>
      <c r="BT151" s="167" t="e">
        <f t="shared" si="201"/>
        <v>#REF!</v>
      </c>
      <c r="BU151" s="167" t="e">
        <f t="shared" si="234"/>
        <v>#REF!</v>
      </c>
      <c r="BV151" s="167" t="e">
        <f t="shared" si="235"/>
        <v>#REF!</v>
      </c>
      <c r="BW151" s="167" t="e">
        <f>IF(H151="Bundled",+(BG151-#REF!)*Y151,(AP151+AQ151)-Y151*#REF!)</f>
        <v>#REF!</v>
      </c>
      <c r="BX151" s="167" t="e">
        <f t="shared" si="236"/>
        <v>#REF!</v>
      </c>
      <c r="BY151" s="167" t="e">
        <f t="shared" si="237"/>
        <v>#REF!</v>
      </c>
      <c r="BZ151" s="167" t="e">
        <f t="shared" si="238"/>
        <v>#REF!</v>
      </c>
      <c r="CA151" s="167" t="e">
        <f t="shared" si="239"/>
        <v>#REF!</v>
      </c>
    </row>
    <row r="152" spans="1:79" s="24" customFormat="1">
      <c r="A152" s="142" t="s">
        <v>48</v>
      </c>
      <c r="B152" s="321" t="s">
        <v>465</v>
      </c>
      <c r="C152" s="144" t="s">
        <v>466</v>
      </c>
      <c r="D152" s="144" t="s">
        <v>235</v>
      </c>
      <c r="E152" s="144"/>
      <c r="F152" s="144"/>
      <c r="G152" s="317" t="s">
        <v>169</v>
      </c>
      <c r="H152" s="426" t="s">
        <v>170</v>
      </c>
      <c r="I152" s="317" t="s">
        <v>132</v>
      </c>
      <c r="J152" s="317" t="s">
        <v>133</v>
      </c>
      <c r="K152" s="437" t="str">
        <f t="shared" si="207"/>
        <v>No of Racks</v>
      </c>
      <c r="L152" s="317">
        <v>1</v>
      </c>
      <c r="M152" s="317">
        <v>1</v>
      </c>
      <c r="N152" s="438">
        <f t="shared" si="180"/>
        <v>0</v>
      </c>
      <c r="O152" s="317">
        <v>1</v>
      </c>
      <c r="P152" s="317"/>
      <c r="Q152" s="439">
        <f>(0)/12</f>
        <v>0</v>
      </c>
      <c r="R152" s="440" t="str">
        <f t="shared" si="211"/>
        <v>Subscribed</v>
      </c>
      <c r="S152" s="317" t="s">
        <v>123</v>
      </c>
      <c r="T152" s="426">
        <v>1</v>
      </c>
      <c r="U152" s="231">
        <f>Z152</f>
        <v>0.83162202380952388</v>
      </c>
      <c r="V152" s="441">
        <f t="shared" si="181"/>
        <v>0.16837797619047612</v>
      </c>
      <c r="W152" s="426"/>
      <c r="X152" s="146">
        <f>IF(V152&lt;=0,0,(IF(R152="Rated",(V152+W152)*#REF!,(V152+W152))))</f>
        <v>0.16837797619047612</v>
      </c>
      <c r="Y152" s="146">
        <f>IF(R152="Rated",T152*#REF!,T152)</f>
        <v>1</v>
      </c>
      <c r="Z152" s="231">
        <f>AG152/28/24</f>
        <v>0.83162202380952388</v>
      </c>
      <c r="AA152" s="426">
        <f t="shared" si="214"/>
        <v>0</v>
      </c>
      <c r="AB152" s="442">
        <f>0/12</f>
        <v>0</v>
      </c>
      <c r="AC152" s="443" t="str">
        <f t="shared" si="183"/>
        <v>Metered</v>
      </c>
      <c r="AD152" s="426"/>
      <c r="AE152" s="426"/>
      <c r="AF152" s="444">
        <v>0</v>
      </c>
      <c r="AG152" s="426">
        <v>558.85</v>
      </c>
      <c r="AH152" s="445"/>
      <c r="AI152" s="446"/>
      <c r="AJ152" s="426"/>
      <c r="AK152" s="426"/>
      <c r="AL152" s="426">
        <f t="shared" si="217"/>
        <v>0</v>
      </c>
      <c r="AM152" s="426"/>
      <c r="AN152" s="426"/>
      <c r="AO152" s="439">
        <f>(0)/12</f>
        <v>0</v>
      </c>
      <c r="AP152" s="447">
        <f t="shared" si="218"/>
        <v>0</v>
      </c>
      <c r="AQ152" s="447">
        <f t="shared" si="219"/>
        <v>0</v>
      </c>
      <c r="AR152" s="448">
        <f t="shared" si="220"/>
        <v>0</v>
      </c>
      <c r="AS152" s="447">
        <f t="shared" si="221"/>
        <v>0</v>
      </c>
      <c r="AT152" s="449">
        <f>0/12</f>
        <v>0</v>
      </c>
      <c r="AU152" s="450">
        <f t="shared" si="222"/>
        <v>0</v>
      </c>
      <c r="AV152" s="450"/>
      <c r="AW152" s="315"/>
      <c r="AX152" s="235"/>
      <c r="AY152" s="236"/>
      <c r="AZ152" s="235"/>
      <c r="BA152" s="316"/>
      <c r="BB152" s="23"/>
      <c r="BC152" s="451">
        <f t="shared" si="223"/>
        <v>0</v>
      </c>
      <c r="BD152" s="451">
        <f t="shared" si="224"/>
        <v>0</v>
      </c>
      <c r="BE152" s="451" t="e">
        <f t="shared" si="225"/>
        <v>#REF!</v>
      </c>
      <c r="BF152" s="451" t="e">
        <f t="shared" si="226"/>
        <v>#REF!</v>
      </c>
      <c r="BG152" s="451" t="e">
        <f t="shared" si="227"/>
        <v>#REF!</v>
      </c>
      <c r="BH152" s="451"/>
      <c r="BI152" s="452">
        <f t="shared" si="228"/>
        <v>0</v>
      </c>
      <c r="BJ152" s="452">
        <f t="shared" si="229"/>
        <v>0</v>
      </c>
      <c r="BK152" s="452">
        <f>IF(H152="Bundled",MIN(Y152*#REF!*(1+#REF!),BI152),AR152)</f>
        <v>0</v>
      </c>
      <c r="BL152" s="453" t="e">
        <f>IF($AG152&gt;0,$AG152*#REF!*#REF!*(1+#REF!*(20/#REF!)/732),#REF!*Z152)</f>
        <v>#REF!</v>
      </c>
      <c r="BM152" s="453" t="e">
        <f>IF($AG152&gt;0,$AG152*#REF!*#REF!*(1+#REF!*(20/#REF!)/732),+#REF!*(Z152+X152))</f>
        <v>#REF!</v>
      </c>
      <c r="BN152" s="453" t="e">
        <f>IF(H152="Bundled",#REF!*Y152,#REF!*Y152*0.85)</f>
        <v>#REF!</v>
      </c>
      <c r="BO152" s="453" t="e">
        <f t="shared" si="230"/>
        <v>#REF!</v>
      </c>
      <c r="BP152" s="453" t="e">
        <f>+#REF!*Y152</f>
        <v>#REF!</v>
      </c>
      <c r="BQ152" s="453" t="e">
        <f t="shared" si="231"/>
        <v>#REF!</v>
      </c>
      <c r="BR152" s="453" t="e">
        <f t="shared" si="232"/>
        <v>#REF!</v>
      </c>
      <c r="BS152" s="453" t="e">
        <f t="shared" si="233"/>
        <v>#REF!</v>
      </c>
      <c r="BT152" s="453">
        <f t="shared" si="201"/>
        <v>1</v>
      </c>
      <c r="BU152" s="453" t="e">
        <f t="shared" si="234"/>
        <v>#REF!</v>
      </c>
      <c r="BV152" s="453" t="e">
        <f t="shared" si="235"/>
        <v>#REF!</v>
      </c>
      <c r="BW152" s="453" t="e">
        <f>IF(H152="Bundled",+(BG152-#REF!)*Y152,(AP152+AQ152)-Y152*#REF!)</f>
        <v>#REF!</v>
      </c>
      <c r="BX152" s="453" t="e">
        <f t="shared" si="236"/>
        <v>#REF!</v>
      </c>
      <c r="BY152" s="453" t="e">
        <f t="shared" si="237"/>
        <v>#REF!</v>
      </c>
      <c r="BZ152" s="453" t="e">
        <f t="shared" si="238"/>
        <v>#REF!</v>
      </c>
      <c r="CA152" s="453" t="e">
        <f t="shared" si="239"/>
        <v>#REF!</v>
      </c>
    </row>
    <row r="153" spans="1:79" s="16" customFormat="1">
      <c r="A153" s="142" t="s">
        <v>48</v>
      </c>
      <c r="B153" s="143" t="s">
        <v>467</v>
      </c>
      <c r="C153" s="145" t="s">
        <v>468</v>
      </c>
      <c r="D153" s="145" t="s">
        <v>235</v>
      </c>
      <c r="E153" s="145"/>
      <c r="F153" s="145"/>
      <c r="G153" s="145" t="s">
        <v>169</v>
      </c>
      <c r="H153" s="146" t="s">
        <v>131</v>
      </c>
      <c r="I153" s="145" t="s">
        <v>132</v>
      </c>
      <c r="J153" s="145" t="s">
        <v>133</v>
      </c>
      <c r="K153" s="147" t="str">
        <f t="shared" si="207"/>
        <v>No of Racks</v>
      </c>
      <c r="L153" s="145">
        <v>2</v>
      </c>
      <c r="M153" s="145">
        <v>2</v>
      </c>
      <c r="N153" s="148">
        <f t="shared" si="180"/>
        <v>0</v>
      </c>
      <c r="O153" s="145">
        <v>2</v>
      </c>
      <c r="P153" s="145"/>
      <c r="Q153" s="149">
        <f>(270000)/12</f>
        <v>22500</v>
      </c>
      <c r="R153" s="150" t="str">
        <f t="shared" si="211"/>
        <v>Subscribed</v>
      </c>
      <c r="S153" s="145" t="s">
        <v>123</v>
      </c>
      <c r="T153" s="146">
        <v>3</v>
      </c>
      <c r="U153" s="327">
        <f>Z153</f>
        <v>2.6281547619047618</v>
      </c>
      <c r="V153" s="232">
        <f t="shared" si="181"/>
        <v>0.37184523809523817</v>
      </c>
      <c r="W153" s="146"/>
      <c r="X153" s="146">
        <f>IF(V153&lt;=0,0,(IF(R153="Rated",(V153+W153)*#REF!,(V153+W153))))</f>
        <v>0.37184523809523817</v>
      </c>
      <c r="Y153" s="146">
        <f>IF(R153="Rated",T153*#REF!,T153)</f>
        <v>3</v>
      </c>
      <c r="Z153" s="231">
        <f>AG153/28/24</f>
        <v>2.6281547619047618</v>
      </c>
      <c r="AA153" s="146">
        <f t="shared" si="214"/>
        <v>0</v>
      </c>
      <c r="AB153" s="152">
        <f>90000/12</f>
        <v>7500</v>
      </c>
      <c r="AC153" s="153" t="str">
        <f t="shared" si="183"/>
        <v>Bundled</v>
      </c>
      <c r="AD153" s="146">
        <v>1</v>
      </c>
      <c r="AE153" s="146" t="s">
        <v>171</v>
      </c>
      <c r="AF153" s="154">
        <v>0</v>
      </c>
      <c r="AG153" s="146">
        <v>1766.12</v>
      </c>
      <c r="AH153" s="155"/>
      <c r="AI153" s="156"/>
      <c r="AJ153" s="146"/>
      <c r="AK153" s="146"/>
      <c r="AL153" s="146">
        <f t="shared" si="217"/>
        <v>0</v>
      </c>
      <c r="AM153" s="146"/>
      <c r="AN153" s="146"/>
      <c r="AO153" s="149">
        <f>(0)/12</f>
        <v>0</v>
      </c>
      <c r="AP153" s="157">
        <f t="shared" si="218"/>
        <v>45000</v>
      </c>
      <c r="AQ153" s="157">
        <f t="shared" si="219"/>
        <v>0</v>
      </c>
      <c r="AR153" s="158">
        <f t="shared" si="220"/>
        <v>0</v>
      </c>
      <c r="AS153" s="157">
        <f t="shared" si="221"/>
        <v>0</v>
      </c>
      <c r="AT153" s="159">
        <f>0/12</f>
        <v>0</v>
      </c>
      <c r="AU153" s="160">
        <f t="shared" si="222"/>
        <v>45000</v>
      </c>
      <c r="AV153" s="160"/>
      <c r="AW153" s="161"/>
      <c r="AX153" s="162"/>
      <c r="AY153" s="163"/>
      <c r="AZ153" s="162"/>
      <c r="BA153" s="164"/>
      <c r="BB153" s="5"/>
      <c r="BC153" s="165">
        <f t="shared" si="223"/>
        <v>22500</v>
      </c>
      <c r="BD153" s="165">
        <f t="shared" si="224"/>
        <v>15000</v>
      </c>
      <c r="BE153" s="165" t="e">
        <f t="shared" si="225"/>
        <v>#REF!</v>
      </c>
      <c r="BF153" s="165" t="e">
        <f t="shared" si="226"/>
        <v>#REF!</v>
      </c>
      <c r="BG153" s="165" t="e">
        <f t="shared" si="227"/>
        <v>#REF!</v>
      </c>
      <c r="BH153" s="165"/>
      <c r="BI153" s="166">
        <f t="shared" si="228"/>
        <v>45000</v>
      </c>
      <c r="BJ153" s="166" t="e">
        <f t="shared" si="229"/>
        <v>#REF!</v>
      </c>
      <c r="BK153" s="166" t="e">
        <f>IF(H153="Bundled",MIN(Y153*#REF!*(1+#REF!),BI153),AR153)</f>
        <v>#REF!</v>
      </c>
      <c r="BL153" s="167" t="e">
        <f>IF($AG153&gt;0,$AG153*#REF!*#REF!*(1+#REF!*(20/#REF!)/732),#REF!*Z153)</f>
        <v>#REF!</v>
      </c>
      <c r="BM153" s="167" t="e">
        <f>IF($AG153&gt;0,$AG153*#REF!*#REF!*(1+#REF!*(20/#REF!)/732),+#REF!*(Z153+X153))</f>
        <v>#REF!</v>
      </c>
      <c r="BN153" s="167" t="e">
        <f>IF(H153="Bundled",#REF!*Y153,#REF!*Y153*0.85)</f>
        <v>#REF!</v>
      </c>
      <c r="BO153" s="167" t="e">
        <f t="shared" si="230"/>
        <v>#REF!</v>
      </c>
      <c r="BP153" s="167" t="e">
        <f>+#REF!*Y153</f>
        <v>#REF!</v>
      </c>
      <c r="BQ153" s="167" t="e">
        <f t="shared" si="231"/>
        <v>#REF!</v>
      </c>
      <c r="BR153" s="167" t="e">
        <f t="shared" si="232"/>
        <v>#REF!</v>
      </c>
      <c r="BS153" s="167" t="e">
        <f t="shared" si="233"/>
        <v>#REF!</v>
      </c>
      <c r="BT153" s="167">
        <f t="shared" si="201"/>
        <v>3</v>
      </c>
      <c r="BU153" s="167" t="e">
        <f t="shared" si="234"/>
        <v>#REF!</v>
      </c>
      <c r="BV153" s="167" t="e">
        <f t="shared" si="235"/>
        <v>#REF!</v>
      </c>
      <c r="BW153" s="167" t="e">
        <f>IF(H153="Bundled",+(BG153-#REF!)*Y153,(AP153+AQ153)-Y153*#REF!)</f>
        <v>#REF!</v>
      </c>
      <c r="BX153" s="167" t="e">
        <f t="shared" si="236"/>
        <v>#REF!</v>
      </c>
      <c r="BY153" s="167" t="e">
        <f t="shared" si="237"/>
        <v>#REF!</v>
      </c>
      <c r="BZ153" s="167" t="e">
        <f t="shared" si="238"/>
        <v>#REF!</v>
      </c>
      <c r="CA153" s="167" t="e">
        <f t="shared" si="239"/>
        <v>#REF!</v>
      </c>
    </row>
    <row r="154" spans="1:79" s="16" customFormat="1" ht="26.1">
      <c r="A154" s="142" t="s">
        <v>48</v>
      </c>
      <c r="B154" s="143" t="s">
        <v>469</v>
      </c>
      <c r="C154" s="144" t="s">
        <v>470</v>
      </c>
      <c r="D154" s="144" t="s">
        <v>239</v>
      </c>
      <c r="E154" s="144"/>
      <c r="F154" s="144"/>
      <c r="G154" s="145" t="s">
        <v>130</v>
      </c>
      <c r="H154" s="146" t="s">
        <v>131</v>
      </c>
      <c r="I154" s="145" t="s">
        <v>132</v>
      </c>
      <c r="J154" s="145" t="s">
        <v>133</v>
      </c>
      <c r="K154" s="147" t="str">
        <f t="shared" si="207"/>
        <v>No of Racks</v>
      </c>
      <c r="L154" s="145">
        <v>1</v>
      </c>
      <c r="M154" s="145">
        <v>1</v>
      </c>
      <c r="N154" s="148">
        <f t="shared" si="180"/>
        <v>0</v>
      </c>
      <c r="O154" s="145">
        <v>1</v>
      </c>
      <c r="P154" s="145"/>
      <c r="Q154" s="149">
        <f>(410000)/12</f>
        <v>34166.666666666664</v>
      </c>
      <c r="R154" s="150" t="str">
        <f t="shared" si="211"/>
        <v>Rated</v>
      </c>
      <c r="S154" s="145" t="s">
        <v>134</v>
      </c>
      <c r="T154" s="146">
        <v>3</v>
      </c>
      <c r="U154" s="151">
        <v>5.32</v>
      </c>
      <c r="V154" s="232">
        <f t="shared" si="181"/>
        <v>-2.3200000000000003</v>
      </c>
      <c r="W154" s="146"/>
      <c r="X154" s="146">
        <f>IF(V154&lt;=0,0,(IF(R154="Rated",(V154+W154)*#REF!,(V154+W154))))</f>
        <v>0</v>
      </c>
      <c r="Y154" s="146" t="e">
        <f>IF(R154="Rated",T154*#REF!,T154)</f>
        <v>#REF!</v>
      </c>
      <c r="Z154" s="231">
        <v>1.37</v>
      </c>
      <c r="AA154" s="146">
        <f t="shared" si="214"/>
        <v>2.3200000000000003</v>
      </c>
      <c r="AB154" s="152">
        <f>100000/12</f>
        <v>8333.3333333333339</v>
      </c>
      <c r="AC154" s="153" t="str">
        <f t="shared" si="183"/>
        <v>Bundled</v>
      </c>
      <c r="AD154" s="146"/>
      <c r="AE154" s="146"/>
      <c r="AF154" s="154"/>
      <c r="AG154" s="146"/>
      <c r="AH154" s="155"/>
      <c r="AI154" s="156" t="str">
        <f>IF(AH154="No of Seats","No of Seats",(IF(AH154="Space","Sq Ft","")))</f>
        <v/>
      </c>
      <c r="AJ154" s="146"/>
      <c r="AK154" s="146"/>
      <c r="AL154" s="146">
        <f t="shared" si="217"/>
        <v>0</v>
      </c>
      <c r="AM154" s="146"/>
      <c r="AN154" s="146"/>
      <c r="AO154" s="149"/>
      <c r="AP154" s="157">
        <f t="shared" si="218"/>
        <v>34166.666666666664</v>
      </c>
      <c r="AQ154" s="157">
        <f t="shared" si="219"/>
        <v>19333.333333333336</v>
      </c>
      <c r="AR154" s="158">
        <f t="shared" si="220"/>
        <v>0</v>
      </c>
      <c r="AS154" s="157">
        <f t="shared" si="221"/>
        <v>0</v>
      </c>
      <c r="AT154" s="159"/>
      <c r="AU154" s="160">
        <f t="shared" si="222"/>
        <v>53500</v>
      </c>
      <c r="AV154" s="160"/>
      <c r="AW154" s="161"/>
      <c r="AX154" s="318"/>
      <c r="AY154" s="319"/>
      <c r="AZ154" s="318"/>
      <c r="BA154" s="320"/>
      <c r="BC154" s="165">
        <f t="shared" si="223"/>
        <v>53500</v>
      </c>
      <c r="BD154" s="165" t="e">
        <f t="shared" si="224"/>
        <v>#REF!</v>
      </c>
      <c r="BE154" s="165" t="e">
        <f t="shared" si="225"/>
        <v>#REF!</v>
      </c>
      <c r="BF154" s="165" t="e">
        <f t="shared" si="226"/>
        <v>#REF!</v>
      </c>
      <c r="BG154" s="165" t="e">
        <f t="shared" si="227"/>
        <v>#REF!</v>
      </c>
      <c r="BH154" s="165"/>
      <c r="BI154" s="166">
        <f t="shared" si="228"/>
        <v>53500</v>
      </c>
      <c r="BJ154" s="166" t="e">
        <f t="shared" si="229"/>
        <v>#REF!</v>
      </c>
      <c r="BK154" s="166" t="e">
        <f>IF(H154="Bundled",MIN(Y154*#REF!*(1+#REF!),BI154),AR154)</f>
        <v>#REF!</v>
      </c>
      <c r="BL154" s="167" t="e">
        <f>IF($AG154&gt;0,$AG154*#REF!*#REF!*(1+#REF!*(20/#REF!)/732),#REF!*Z154)</f>
        <v>#REF!</v>
      </c>
      <c r="BM154" s="167" t="e">
        <f>IF($AG154&gt;0,$AG154*#REF!*#REF!*(1+#REF!*(20/#REF!)/732),+#REF!*(Z154+X154))</f>
        <v>#REF!</v>
      </c>
      <c r="BN154" s="167" t="e">
        <f>IF(H154="Bundled",#REF!*Y154,#REF!*Y154*0.85)</f>
        <v>#REF!</v>
      </c>
      <c r="BO154" s="167" t="e">
        <f t="shared" si="230"/>
        <v>#REF!</v>
      </c>
      <c r="BP154" s="167" t="e">
        <f>+#REF!*Y154</f>
        <v>#REF!</v>
      </c>
      <c r="BQ154" s="167" t="e">
        <f t="shared" si="231"/>
        <v>#REF!</v>
      </c>
      <c r="BR154" s="167" t="e">
        <f t="shared" si="232"/>
        <v>#REF!</v>
      </c>
      <c r="BS154" s="167" t="e">
        <f t="shared" si="233"/>
        <v>#REF!</v>
      </c>
      <c r="BT154" s="167" t="e">
        <f t="shared" si="201"/>
        <v>#REF!</v>
      </c>
      <c r="BU154" s="167" t="e">
        <f t="shared" si="234"/>
        <v>#REF!</v>
      </c>
      <c r="BV154" s="167" t="e">
        <f t="shared" si="235"/>
        <v>#REF!</v>
      </c>
      <c r="BW154" s="167" t="e">
        <f>IF(H154="Bundled",+(BG154-#REF!)*Y154,(AP154+AQ154)-Y154*#REF!)</f>
        <v>#REF!</v>
      </c>
      <c r="BX154" s="167" t="e">
        <f t="shared" si="236"/>
        <v>#REF!</v>
      </c>
      <c r="BY154" s="167" t="e">
        <f t="shared" si="237"/>
        <v>#REF!</v>
      </c>
      <c r="BZ154" s="167" t="e">
        <f t="shared" si="238"/>
        <v>#REF!</v>
      </c>
      <c r="CA154" s="167" t="e">
        <f t="shared" si="239"/>
        <v>#REF!</v>
      </c>
    </row>
    <row r="155" spans="1:79" s="16" customFormat="1">
      <c r="A155" s="142" t="s">
        <v>48</v>
      </c>
      <c r="B155" s="143" t="s">
        <v>471</v>
      </c>
      <c r="C155" s="196" t="s">
        <v>472</v>
      </c>
      <c r="D155" s="196"/>
      <c r="E155" s="196"/>
      <c r="F155" s="196"/>
      <c r="G155" s="145" t="s">
        <v>130</v>
      </c>
      <c r="H155" s="146" t="s">
        <v>131</v>
      </c>
      <c r="I155" s="145" t="s">
        <v>132</v>
      </c>
      <c r="J155" s="145" t="s">
        <v>133</v>
      </c>
      <c r="K155" s="147" t="str">
        <f t="shared" si="207"/>
        <v>No of Racks</v>
      </c>
      <c r="L155" s="145">
        <v>1</v>
      </c>
      <c r="M155" s="145">
        <v>1</v>
      </c>
      <c r="N155" s="148">
        <f t="shared" si="180"/>
        <v>0</v>
      </c>
      <c r="O155" s="145">
        <v>0</v>
      </c>
      <c r="P155" s="145"/>
      <c r="Q155" s="149">
        <f>(0)/12</f>
        <v>0</v>
      </c>
      <c r="R155" s="150" t="str">
        <f t="shared" si="211"/>
        <v>Rated</v>
      </c>
      <c r="S155" s="145" t="s">
        <v>134</v>
      </c>
      <c r="T155" s="146">
        <v>3</v>
      </c>
      <c r="U155" s="151">
        <v>4.3099999999999996</v>
      </c>
      <c r="V155" s="232">
        <f t="shared" si="181"/>
        <v>-1.3099999999999996</v>
      </c>
      <c r="W155" s="146"/>
      <c r="X155" s="146">
        <f>IF(V155&lt;=0,0,(IF(R155="Rated",(V155+W155)*#REF!,(V155+W155))))</f>
        <v>0</v>
      </c>
      <c r="Y155" s="146" t="e">
        <f>IF(R155="Rated",T155*#REF!,T155)</f>
        <v>#REF!</v>
      </c>
      <c r="Z155" s="231">
        <v>1.8</v>
      </c>
      <c r="AA155" s="146">
        <f t="shared" si="214"/>
        <v>1.3099999999999996</v>
      </c>
      <c r="AB155" s="152">
        <f>0/12</f>
        <v>0</v>
      </c>
      <c r="AC155" s="153" t="str">
        <f t="shared" si="183"/>
        <v>Bundled</v>
      </c>
      <c r="AD155" s="146"/>
      <c r="AE155" s="146"/>
      <c r="AF155" s="154"/>
      <c r="AG155" s="146"/>
      <c r="AH155" s="155"/>
      <c r="AI155" s="156" t="str">
        <f>IF(AH155="No of Seats","No of Seats",(IF(AH155="Space","Sq Ft","")))</f>
        <v/>
      </c>
      <c r="AJ155" s="146"/>
      <c r="AK155" s="146"/>
      <c r="AL155" s="146">
        <f t="shared" si="217"/>
        <v>0</v>
      </c>
      <c r="AM155" s="146"/>
      <c r="AN155" s="146"/>
      <c r="AO155" s="149"/>
      <c r="AP155" s="157">
        <f t="shared" si="218"/>
        <v>0</v>
      </c>
      <c r="AQ155" s="157">
        <f t="shared" si="219"/>
        <v>0</v>
      </c>
      <c r="AR155" s="158">
        <f t="shared" si="220"/>
        <v>0</v>
      </c>
      <c r="AS155" s="157">
        <f t="shared" si="221"/>
        <v>0</v>
      </c>
      <c r="AT155" s="159"/>
      <c r="AU155" s="160">
        <f t="shared" si="222"/>
        <v>0</v>
      </c>
      <c r="AV155" s="160"/>
      <c r="AW155" s="161"/>
      <c r="AX155" s="318"/>
      <c r="AY155" s="319"/>
      <c r="AZ155" s="318"/>
      <c r="BA155" s="320"/>
      <c r="BC155" s="165">
        <f t="shared" si="223"/>
        <v>0</v>
      </c>
      <c r="BD155" s="165" t="e">
        <f t="shared" si="224"/>
        <v>#REF!</v>
      </c>
      <c r="BE155" s="165" t="e">
        <f t="shared" si="225"/>
        <v>#REF!</v>
      </c>
      <c r="BF155" s="165" t="e">
        <f t="shared" si="226"/>
        <v>#REF!</v>
      </c>
      <c r="BG155" s="165" t="e">
        <f t="shared" si="227"/>
        <v>#REF!</v>
      </c>
      <c r="BH155" s="165"/>
      <c r="BI155" s="166">
        <f t="shared" si="228"/>
        <v>0</v>
      </c>
      <c r="BJ155" s="166" t="e">
        <f t="shared" si="229"/>
        <v>#REF!</v>
      </c>
      <c r="BK155" s="166" t="e">
        <f>IF(H155="Bundled",MIN(Y155*#REF!*(1+#REF!),BI155),AR155)</f>
        <v>#REF!</v>
      </c>
      <c r="BL155" s="167" t="e">
        <f>IF($AG155&gt;0,$AG155*#REF!*#REF!*(1+#REF!*(20/#REF!)/732),#REF!*Z155)</f>
        <v>#REF!</v>
      </c>
      <c r="BM155" s="167" t="e">
        <f>IF($AG155&gt;0,$AG155*#REF!*#REF!*(1+#REF!*(20/#REF!)/732),+#REF!*(Z155+X155))</f>
        <v>#REF!</v>
      </c>
      <c r="BN155" s="167" t="e">
        <f>IF(H155="Bundled",#REF!*Y155,#REF!*Y155*0.85)</f>
        <v>#REF!</v>
      </c>
      <c r="BO155" s="167" t="e">
        <f t="shared" si="230"/>
        <v>#REF!</v>
      </c>
      <c r="BP155" s="167" t="e">
        <f>+#REF!*Y155</f>
        <v>#REF!</v>
      </c>
      <c r="BQ155" s="167" t="e">
        <f t="shared" si="231"/>
        <v>#REF!</v>
      </c>
      <c r="BR155" s="167" t="e">
        <f t="shared" si="232"/>
        <v>#REF!</v>
      </c>
      <c r="BS155" s="167" t="e">
        <f t="shared" si="233"/>
        <v>#REF!</v>
      </c>
      <c r="BT155" s="167" t="e">
        <f t="shared" si="201"/>
        <v>#REF!</v>
      </c>
      <c r="BU155" s="167" t="e">
        <f t="shared" si="234"/>
        <v>#REF!</v>
      </c>
      <c r="BV155" s="167" t="e">
        <f t="shared" si="235"/>
        <v>#REF!</v>
      </c>
      <c r="BW155" s="167" t="e">
        <f>IF(H155="Bundled",+(BG155-#REF!)*Y155,(AP155+AQ155)-Y155*#REF!)</f>
        <v>#REF!</v>
      </c>
      <c r="BX155" s="167" t="e">
        <f t="shared" si="236"/>
        <v>#REF!</v>
      </c>
      <c r="BY155" s="167" t="e">
        <f t="shared" si="237"/>
        <v>#REF!</v>
      </c>
      <c r="BZ155" s="167" t="e">
        <f t="shared" si="238"/>
        <v>#REF!</v>
      </c>
      <c r="CA155" s="167" t="e">
        <f t="shared" si="239"/>
        <v>#REF!</v>
      </c>
    </row>
    <row r="156" spans="1:79" s="16" customFormat="1" ht="39">
      <c r="A156" s="142" t="s">
        <v>48</v>
      </c>
      <c r="B156" s="168" t="s">
        <v>473</v>
      </c>
      <c r="C156" s="168" t="s">
        <v>474</v>
      </c>
      <c r="D156" s="168" t="s">
        <v>239</v>
      </c>
      <c r="E156" s="146">
        <v>1</v>
      </c>
      <c r="F156" s="146"/>
      <c r="G156" s="145" t="s">
        <v>130</v>
      </c>
      <c r="H156" s="146" t="s">
        <v>131</v>
      </c>
      <c r="I156" s="145" t="s">
        <v>59</v>
      </c>
      <c r="J156" s="145" t="s">
        <v>185</v>
      </c>
      <c r="K156" s="147" t="s">
        <v>252</v>
      </c>
      <c r="L156" s="145">
        <v>224</v>
      </c>
      <c r="M156" s="145">
        <v>224</v>
      </c>
      <c r="N156" s="148">
        <v>0</v>
      </c>
      <c r="O156" s="145">
        <v>10</v>
      </c>
      <c r="P156" s="145"/>
      <c r="Q156" s="149">
        <f>(0)/12</f>
        <v>0</v>
      </c>
      <c r="R156" s="150" t="str">
        <f t="shared" si="211"/>
        <v>Rated</v>
      </c>
      <c r="S156" s="145" t="s">
        <v>123</v>
      </c>
      <c r="T156" s="146">
        <v>76</v>
      </c>
      <c r="U156" s="151">
        <v>40.1</v>
      </c>
      <c r="V156" s="232">
        <f t="shared" si="181"/>
        <v>35.9</v>
      </c>
      <c r="W156" s="146"/>
      <c r="X156" s="146" t="e">
        <f>IF(V156&lt;=0,0,(IF(R156="Rated",(V156+W156)*#REF!,(V156+W156))))</f>
        <v>#REF!</v>
      </c>
      <c r="Y156" s="146" t="e">
        <f>IF(R156="Rated",T156*#REF!,T156)</f>
        <v>#REF!</v>
      </c>
      <c r="Z156" s="231">
        <f>AG156/28/24</f>
        <v>13.971547619047618</v>
      </c>
      <c r="AA156" s="146">
        <f t="shared" si="214"/>
        <v>0</v>
      </c>
      <c r="AB156" s="152">
        <f>0/12</f>
        <v>0</v>
      </c>
      <c r="AC156" s="153" t="str">
        <f t="shared" si="183"/>
        <v>Bundled</v>
      </c>
      <c r="AD156" s="146"/>
      <c r="AE156" s="146"/>
      <c r="AF156" s="154">
        <v>0</v>
      </c>
      <c r="AG156" s="146">
        <v>9388.8799999999992</v>
      </c>
      <c r="AH156" s="155" t="s">
        <v>141</v>
      </c>
      <c r="AI156" s="155" t="s">
        <v>141</v>
      </c>
      <c r="AJ156" s="146">
        <v>1</v>
      </c>
      <c r="AK156" s="146">
        <v>1</v>
      </c>
      <c r="AL156" s="146">
        <f t="shared" si="217"/>
        <v>0</v>
      </c>
      <c r="AM156" s="146">
        <v>1</v>
      </c>
      <c r="AN156" s="146"/>
      <c r="AO156" s="149">
        <f>(0)/12</f>
        <v>0</v>
      </c>
      <c r="AP156" s="157">
        <f t="shared" si="218"/>
        <v>0</v>
      </c>
      <c r="AQ156" s="157">
        <f t="shared" si="219"/>
        <v>0</v>
      </c>
      <c r="AR156" s="158">
        <f t="shared" si="220"/>
        <v>0</v>
      </c>
      <c r="AS156" s="157">
        <f t="shared" si="221"/>
        <v>0</v>
      </c>
      <c r="AT156" s="159">
        <f>0/12</f>
        <v>0</v>
      </c>
      <c r="AU156" s="160">
        <f t="shared" si="222"/>
        <v>0</v>
      </c>
      <c r="AV156" s="160"/>
      <c r="AW156" s="161"/>
      <c r="AX156" s="162"/>
      <c r="AY156" s="163"/>
      <c r="AZ156" s="162"/>
      <c r="BA156" s="164"/>
      <c r="BB156" s="5"/>
      <c r="BC156" s="165">
        <f t="shared" si="223"/>
        <v>0</v>
      </c>
      <c r="BD156" s="165" t="e">
        <f t="shared" si="224"/>
        <v>#REF!</v>
      </c>
      <c r="BE156" s="165" t="e">
        <f t="shared" si="225"/>
        <v>#REF!</v>
      </c>
      <c r="BF156" s="165" t="e">
        <f t="shared" si="226"/>
        <v>#REF!</v>
      </c>
      <c r="BG156" s="165" t="e">
        <f t="shared" si="227"/>
        <v>#REF!</v>
      </c>
      <c r="BH156" s="165"/>
      <c r="BI156" s="166">
        <f t="shared" si="228"/>
        <v>0</v>
      </c>
      <c r="BJ156" s="166" t="e">
        <f t="shared" si="229"/>
        <v>#REF!</v>
      </c>
      <c r="BK156" s="166" t="e">
        <f>IF(H156="Bundled",MIN(Y156*#REF!*(1+#REF!),BI156),AR156)</f>
        <v>#REF!</v>
      </c>
      <c r="BL156" s="167" t="e">
        <f>IF($AG156&gt;0,$AG156*#REF!*#REF!*(1+#REF!*(20/#REF!)/732),#REF!*Z156)</f>
        <v>#REF!</v>
      </c>
      <c r="BM156" s="167" t="e">
        <f>IF($AG156&gt;0,$AG156*#REF!*#REF!*(1+#REF!*(20/#REF!)/732),+#REF!*(Z156+X156))</f>
        <v>#REF!</v>
      </c>
      <c r="BN156" s="167" t="e">
        <f>IF(H156="Bundled",#REF!*Y156,#REF!*Y156*0.85)</f>
        <v>#REF!</v>
      </c>
      <c r="BO156" s="167" t="e">
        <f t="shared" si="230"/>
        <v>#REF!</v>
      </c>
      <c r="BP156" s="167" t="e">
        <f>+#REF!*Y156</f>
        <v>#REF!</v>
      </c>
      <c r="BQ156" s="167" t="e">
        <f t="shared" si="231"/>
        <v>#REF!</v>
      </c>
      <c r="BR156" s="167" t="e">
        <f t="shared" si="232"/>
        <v>#REF!</v>
      </c>
      <c r="BS156" s="167" t="e">
        <f t="shared" si="233"/>
        <v>#REF!</v>
      </c>
      <c r="BT156" s="167" t="e">
        <f t="shared" si="201"/>
        <v>#REF!</v>
      </c>
      <c r="BU156" s="167" t="e">
        <f t="shared" si="234"/>
        <v>#REF!</v>
      </c>
      <c r="BV156" s="167" t="e">
        <f t="shared" si="235"/>
        <v>#REF!</v>
      </c>
      <c r="BW156" s="167" t="e">
        <f>IF(H156="Bundled",+(BG156-#REF!)*Y156,(AP156+AQ156)-Y156*#REF!)</f>
        <v>#REF!</v>
      </c>
      <c r="BX156" s="167" t="e">
        <f t="shared" si="236"/>
        <v>#REF!</v>
      </c>
      <c r="BY156" s="167" t="e">
        <f t="shared" si="237"/>
        <v>#REF!</v>
      </c>
      <c r="BZ156" s="167" t="e">
        <f t="shared" si="238"/>
        <v>#REF!</v>
      </c>
      <c r="CA156" s="167" t="e">
        <f t="shared" si="239"/>
        <v>#REF!</v>
      </c>
    </row>
    <row r="157" spans="1:79" s="16" customFormat="1">
      <c r="A157" s="142" t="s">
        <v>48</v>
      </c>
      <c r="B157" s="373" t="s">
        <v>475</v>
      </c>
      <c r="C157" s="196" t="s">
        <v>86</v>
      </c>
      <c r="D157" s="196" t="s">
        <v>235</v>
      </c>
      <c r="E157" s="196"/>
      <c r="F157" s="196"/>
      <c r="G157" s="145" t="s">
        <v>130</v>
      </c>
      <c r="H157" s="146" t="s">
        <v>131</v>
      </c>
      <c r="I157" s="145" t="s">
        <v>132</v>
      </c>
      <c r="J157" s="145" t="s">
        <v>133</v>
      </c>
      <c r="K157" s="147" t="str">
        <f>IF(I157="Rack","No of Racks",(IF(I157="Space","Sq Ft","U Space")))</f>
        <v>No of Racks</v>
      </c>
      <c r="L157" s="145">
        <v>8</v>
      </c>
      <c r="M157" s="145">
        <v>8</v>
      </c>
      <c r="N157" s="148">
        <f t="shared" ref="N157" si="241">L157-M157</f>
        <v>0</v>
      </c>
      <c r="O157" s="145">
        <v>0</v>
      </c>
      <c r="P157" s="145"/>
      <c r="Q157" s="149">
        <f>(0)/12</f>
        <v>0</v>
      </c>
      <c r="R157" s="150" t="str">
        <f t="shared" si="211"/>
        <v>Rated</v>
      </c>
      <c r="S157" s="145" t="s">
        <v>134</v>
      </c>
      <c r="T157" s="146">
        <v>24</v>
      </c>
      <c r="U157" s="151">
        <v>18</v>
      </c>
      <c r="V157" s="232">
        <f t="shared" si="181"/>
        <v>6</v>
      </c>
      <c r="W157" s="146"/>
      <c r="X157" s="146" t="e">
        <f>IF(V157&lt;=0,0,(IF(R157="Rated",(V157+W157)*#REF!,(V157+W157))))</f>
        <v>#REF!</v>
      </c>
      <c r="Y157" s="146" t="e">
        <f>IF(R157="Rated",T157*#REF!,T157)</f>
        <v>#REF!</v>
      </c>
      <c r="Z157" s="231">
        <v>1</v>
      </c>
      <c r="AA157" s="146">
        <f t="shared" si="214"/>
        <v>0</v>
      </c>
      <c r="AB157" s="374"/>
      <c r="AC157" s="153" t="str">
        <f t="shared" si="183"/>
        <v>Bundled</v>
      </c>
      <c r="AD157" s="146"/>
      <c r="AE157" s="146"/>
      <c r="AF157" s="154"/>
      <c r="AG157" s="146"/>
      <c r="AH157" s="155"/>
      <c r="AI157" s="156"/>
      <c r="AJ157" s="146"/>
      <c r="AK157" s="146"/>
      <c r="AL157" s="146">
        <f t="shared" si="217"/>
        <v>0</v>
      </c>
      <c r="AM157" s="146"/>
      <c r="AN157" s="146"/>
      <c r="AO157" s="149">
        <f>(0)/12</f>
        <v>0</v>
      </c>
      <c r="AP157" s="157">
        <f t="shared" si="218"/>
        <v>0</v>
      </c>
      <c r="AQ157" s="157">
        <f t="shared" si="219"/>
        <v>0</v>
      </c>
      <c r="AR157" s="158">
        <f t="shared" si="220"/>
        <v>0</v>
      </c>
      <c r="AS157" s="157">
        <f t="shared" si="221"/>
        <v>0</v>
      </c>
      <c r="AT157" s="159">
        <f>0/12</f>
        <v>0</v>
      </c>
      <c r="AU157" s="160">
        <f t="shared" si="222"/>
        <v>0</v>
      </c>
      <c r="AV157" s="160"/>
      <c r="AW157" s="161" t="s">
        <v>319</v>
      </c>
      <c r="AX157" s="162"/>
      <c r="AY157" s="163"/>
      <c r="AZ157" s="162"/>
      <c r="BA157" s="164"/>
      <c r="BB157" s="5"/>
      <c r="BC157" s="165">
        <f t="shared" si="223"/>
        <v>0</v>
      </c>
      <c r="BD157" s="165" t="e">
        <f t="shared" si="224"/>
        <v>#REF!</v>
      </c>
      <c r="BE157" s="165" t="e">
        <f t="shared" si="225"/>
        <v>#REF!</v>
      </c>
      <c r="BF157" s="165" t="e">
        <f t="shared" si="226"/>
        <v>#REF!</v>
      </c>
      <c r="BG157" s="165" t="e">
        <f t="shared" si="227"/>
        <v>#REF!</v>
      </c>
      <c r="BH157" s="165"/>
      <c r="BI157" s="166">
        <f t="shared" si="228"/>
        <v>0</v>
      </c>
      <c r="BJ157" s="166" t="e">
        <f t="shared" si="229"/>
        <v>#REF!</v>
      </c>
      <c r="BK157" s="166" t="e">
        <f>IF(H157="Bundled",MIN(Y157*#REF!*(1+#REF!),BI157),AR157)</f>
        <v>#REF!</v>
      </c>
      <c r="BL157" s="167" t="e">
        <f>IF($AG157&gt;0,$AG157*#REF!*#REF!*(1+#REF!*(20/#REF!)/732),#REF!*Z157)</f>
        <v>#REF!</v>
      </c>
      <c r="BM157" s="167" t="e">
        <f>IF($AG157&gt;0,$AG157*#REF!*#REF!*(1+#REF!*(20/#REF!)/732),+#REF!*(Z157+X157))</f>
        <v>#REF!</v>
      </c>
      <c r="BN157" s="167" t="e">
        <f>IF(H157="Bundled",#REF!*Y157,#REF!*Y157*0.85)</f>
        <v>#REF!</v>
      </c>
      <c r="BO157" s="167" t="e">
        <f t="shared" si="230"/>
        <v>#REF!</v>
      </c>
      <c r="BP157" s="167" t="e">
        <f>+#REF!*Y157</f>
        <v>#REF!</v>
      </c>
      <c r="BQ157" s="167" t="e">
        <f t="shared" si="231"/>
        <v>#REF!</v>
      </c>
      <c r="BR157" s="167" t="e">
        <f t="shared" si="232"/>
        <v>#REF!</v>
      </c>
      <c r="BS157" s="167" t="e">
        <f t="shared" si="233"/>
        <v>#REF!</v>
      </c>
      <c r="BT157" s="167" t="e">
        <f t="shared" si="201"/>
        <v>#REF!</v>
      </c>
      <c r="BU157" s="167" t="e">
        <f t="shared" si="234"/>
        <v>#REF!</v>
      </c>
      <c r="BV157" s="167" t="e">
        <f t="shared" si="235"/>
        <v>#REF!</v>
      </c>
      <c r="BW157" s="167" t="e">
        <f>IF(H157="Bundled",+(BG157-#REF!)*Y157,(AP157+AQ157)-Y157*#REF!)</f>
        <v>#REF!</v>
      </c>
      <c r="BX157" s="167" t="e">
        <f t="shared" si="236"/>
        <v>#REF!</v>
      </c>
      <c r="BY157" s="167" t="e">
        <f t="shared" ref="BY157" si="242">+BV157/$BT157</f>
        <v>#REF!</v>
      </c>
      <c r="BZ157" s="167" t="e">
        <f t="shared" ref="BZ157" si="243">+BW157/$BT157</f>
        <v>#REF!</v>
      </c>
      <c r="CA157" s="167" t="e">
        <f t="shared" ref="CA157" si="244">+BX157/$BT157</f>
        <v>#REF!</v>
      </c>
    </row>
    <row r="158" spans="1:79" s="64" customFormat="1" ht="13.5" thickBot="1">
      <c r="A158" s="375"/>
      <c r="B158" s="377" t="s">
        <v>476</v>
      </c>
      <c r="C158" s="377"/>
      <c r="D158" s="377"/>
      <c r="E158" s="377"/>
      <c r="F158" s="377"/>
      <c r="G158" s="378"/>
      <c r="H158" s="378"/>
      <c r="I158" s="378"/>
      <c r="J158" s="378"/>
      <c r="K158" s="378"/>
      <c r="L158" s="377"/>
      <c r="M158" s="377"/>
      <c r="N158" s="381"/>
      <c r="O158" s="377"/>
      <c r="P158" s="377"/>
      <c r="Q158" s="377"/>
      <c r="R158" s="382"/>
      <c r="S158" s="377"/>
      <c r="T158" s="385">
        <f>SUM(T126:T157)</f>
        <v>1080.4899999999998</v>
      </c>
      <c r="U158" s="385">
        <f>SUM(U126:U157)</f>
        <v>766.87330654761911</v>
      </c>
      <c r="V158" s="431"/>
      <c r="W158" s="385"/>
      <c r="X158" s="385" t="e">
        <f>SUM(X126:X157)</f>
        <v>#REF!</v>
      </c>
      <c r="Y158" s="385" t="e">
        <f>SUM(Y126:Y157)</f>
        <v>#REF!</v>
      </c>
      <c r="Z158" s="385">
        <f>SUM(Z126:Z157)</f>
        <v>500.87619047619057</v>
      </c>
      <c r="AA158" s="385"/>
      <c r="AB158" s="385"/>
      <c r="AC158" s="386"/>
      <c r="AD158" s="385"/>
      <c r="AE158" s="385"/>
      <c r="AF158" s="385"/>
      <c r="AG158" s="385"/>
      <c r="AH158" s="387" t="s">
        <v>141</v>
      </c>
      <c r="AI158" s="388" t="str">
        <f>IF(AH158="No of Seats","No of Seats",(IF(AH158="Space","Sq Ft","")))</f>
        <v>No of Seats</v>
      </c>
      <c r="AJ158" s="385">
        <f>SUM(AJ126:AJ156)</f>
        <v>13</v>
      </c>
      <c r="AK158" s="385">
        <f>SUM(AK126:AK156)</f>
        <v>13</v>
      </c>
      <c r="AL158" s="385">
        <f>SUM(AL126:AL156)</f>
        <v>0</v>
      </c>
      <c r="AM158" s="385">
        <f>SUM(AM126:AM156)</f>
        <v>13</v>
      </c>
      <c r="AN158" s="385"/>
      <c r="AO158" s="385"/>
      <c r="AP158" s="389"/>
      <c r="AQ158" s="389"/>
      <c r="AR158" s="389"/>
      <c r="AS158" s="389"/>
      <c r="AT158" s="389"/>
      <c r="AU158" s="385" t="e">
        <f>SUM(AU126:AU156)</f>
        <v>#VALUE!</v>
      </c>
      <c r="AV158" s="378" t="s">
        <v>354</v>
      </c>
      <c r="AW158" s="390"/>
      <c r="AX158" s="390"/>
      <c r="AY158" s="391"/>
      <c r="AZ158" s="390"/>
      <c r="BA158" s="392"/>
      <c r="CA158" s="65"/>
    </row>
    <row r="159" spans="1:79" s="16" customFormat="1">
      <c r="A159" s="142"/>
      <c r="B159" s="168"/>
      <c r="C159" s="168"/>
      <c r="D159" s="168"/>
      <c r="E159" s="168"/>
      <c r="F159" s="168"/>
      <c r="G159" s="145"/>
      <c r="H159" s="71" t="s">
        <v>132</v>
      </c>
      <c r="I159" s="72">
        <f>COUNTIF(I126:I156,"=Rack")</f>
        <v>16</v>
      </c>
      <c r="J159" s="72"/>
      <c r="K159" s="72" t="s">
        <v>355</v>
      </c>
      <c r="L159" s="73">
        <f>SUMIF(I126:I157,"Rack",L126:L157)</f>
        <v>68</v>
      </c>
      <c r="M159" s="145"/>
      <c r="N159" s="148"/>
      <c r="O159" s="145"/>
      <c r="P159" s="145"/>
      <c r="Q159" s="149"/>
      <c r="R159" s="150"/>
      <c r="S159" s="145"/>
      <c r="T159" s="146"/>
      <c r="U159" s="327"/>
      <c r="V159" s="232"/>
      <c r="W159" s="146"/>
      <c r="X159" s="146"/>
      <c r="Y159" s="146"/>
      <c r="Z159" s="231"/>
      <c r="AA159" s="146"/>
      <c r="AB159" s="152"/>
      <c r="AC159" s="153"/>
      <c r="AD159" s="146"/>
      <c r="AE159" s="146"/>
      <c r="AF159" s="154"/>
      <c r="AG159" s="146"/>
      <c r="AH159" s="155"/>
      <c r="AI159" s="156"/>
      <c r="AJ159" s="146"/>
      <c r="AK159" s="146"/>
      <c r="AL159" s="146"/>
      <c r="AM159" s="146"/>
      <c r="AN159" s="146"/>
      <c r="AO159" s="149"/>
      <c r="AP159" s="157"/>
      <c r="AQ159" s="157"/>
      <c r="AR159" s="158"/>
      <c r="AS159" s="157"/>
      <c r="AT159" s="159"/>
      <c r="AU159" s="160"/>
      <c r="AV159" s="160"/>
      <c r="AW159" s="161"/>
      <c r="AX159" s="162"/>
      <c r="AY159" s="163"/>
      <c r="AZ159" s="162"/>
      <c r="BA159" s="164"/>
      <c r="BB159" s="5"/>
      <c r="BC159" s="25"/>
      <c r="BD159" s="25"/>
      <c r="BE159" s="25"/>
      <c r="BF159" s="25"/>
      <c r="BG159" s="25"/>
      <c r="BH159" s="25"/>
      <c r="BI159" s="26"/>
      <c r="BJ159" s="26"/>
      <c r="BK159" s="26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</row>
    <row r="160" spans="1:79" s="16" customFormat="1">
      <c r="A160" s="142"/>
      <c r="B160" s="168"/>
      <c r="C160" s="168"/>
      <c r="D160" s="168"/>
      <c r="E160" s="168"/>
      <c r="F160" s="168"/>
      <c r="G160" s="145"/>
      <c r="H160" s="409" t="s">
        <v>59</v>
      </c>
      <c r="I160" s="410">
        <f>COUNTIF(I126:I156,"=Space")</f>
        <v>5</v>
      </c>
      <c r="J160" s="410"/>
      <c r="K160" s="410" t="s">
        <v>356</v>
      </c>
      <c r="L160" s="411">
        <f>SUMIF(I126:I157,"Space",L126:L157)/21</f>
        <v>173.71428571428572</v>
      </c>
      <c r="M160" s="145"/>
      <c r="N160" s="148"/>
      <c r="O160" s="145"/>
      <c r="P160" s="145"/>
      <c r="Q160" s="149"/>
      <c r="R160" s="150"/>
      <c r="S160" s="145"/>
      <c r="T160" s="146"/>
      <c r="U160" s="327"/>
      <c r="V160" s="232"/>
      <c r="W160" s="146"/>
      <c r="X160" s="146"/>
      <c r="Y160" s="146"/>
      <c r="Z160" s="231"/>
      <c r="AA160" s="146"/>
      <c r="AB160" s="152"/>
      <c r="AC160" s="153"/>
      <c r="AD160" s="146"/>
      <c r="AE160" s="146"/>
      <c r="AF160" s="154"/>
      <c r="AG160" s="146"/>
      <c r="AH160" s="155"/>
      <c r="AI160" s="156"/>
      <c r="AJ160" s="146"/>
      <c r="AK160" s="146"/>
      <c r="AL160" s="146"/>
      <c r="AM160" s="146"/>
      <c r="AN160" s="146"/>
      <c r="AO160" s="149"/>
      <c r="AP160" s="157"/>
      <c r="AQ160" s="157"/>
      <c r="AR160" s="158"/>
      <c r="AS160" s="157"/>
      <c r="AT160" s="159"/>
      <c r="AU160" s="160"/>
      <c r="AV160" s="160"/>
      <c r="AW160" s="161"/>
      <c r="AX160" s="162"/>
      <c r="AY160" s="163"/>
      <c r="AZ160" s="162"/>
      <c r="BA160" s="164"/>
      <c r="BB160" s="5"/>
      <c r="BC160" s="25"/>
      <c r="BD160" s="25"/>
      <c r="BE160" s="25"/>
      <c r="BF160" s="25"/>
      <c r="BG160" s="25"/>
      <c r="BH160" s="25"/>
      <c r="BI160" s="26"/>
      <c r="BJ160" s="26"/>
      <c r="BK160" s="26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</row>
    <row r="161" spans="1:79" s="16" customFormat="1">
      <c r="A161" s="142"/>
      <c r="B161" s="168"/>
      <c r="C161" s="168"/>
      <c r="D161" s="168"/>
      <c r="E161" s="168"/>
      <c r="F161" s="168"/>
      <c r="G161" s="145"/>
      <c r="H161" s="409" t="s">
        <v>144</v>
      </c>
      <c r="I161" s="410">
        <f>COUNTIF(I126:I156,"=U space")</f>
        <v>10</v>
      </c>
      <c r="J161" s="410"/>
      <c r="K161" s="410" t="s">
        <v>144</v>
      </c>
      <c r="L161" s="432">
        <v>3</v>
      </c>
      <c r="M161" s="145"/>
      <c r="N161" s="148"/>
      <c r="O161" s="145"/>
      <c r="P161" s="145"/>
      <c r="Q161" s="149"/>
      <c r="R161" s="150"/>
      <c r="S161" s="145"/>
      <c r="T161" s="146"/>
      <c r="U161" s="327"/>
      <c r="V161" s="232"/>
      <c r="W161" s="146"/>
      <c r="X161" s="146"/>
      <c r="Y161" s="146"/>
      <c r="Z161" s="231"/>
      <c r="AA161" s="146"/>
      <c r="AB161" s="152"/>
      <c r="AC161" s="153"/>
      <c r="AD161" s="146"/>
      <c r="AE161" s="146"/>
      <c r="AF161" s="154"/>
      <c r="AG161" s="146"/>
      <c r="AH161" s="155"/>
      <c r="AI161" s="156"/>
      <c r="AJ161" s="146"/>
      <c r="AK161" s="146"/>
      <c r="AL161" s="146"/>
      <c r="AM161" s="146"/>
      <c r="AN161" s="146"/>
      <c r="AO161" s="149"/>
      <c r="AP161" s="157"/>
      <c r="AQ161" s="157"/>
      <c r="AR161" s="158"/>
      <c r="AS161" s="157"/>
      <c r="AT161" s="159"/>
      <c r="AU161" s="160"/>
      <c r="AV161" s="160"/>
      <c r="AW161" s="161"/>
      <c r="AX161" s="162"/>
      <c r="AY161" s="163"/>
      <c r="AZ161" s="162"/>
      <c r="BA161" s="164"/>
      <c r="BB161" s="5"/>
      <c r="BC161" s="25"/>
      <c r="BD161" s="25"/>
      <c r="BE161" s="25"/>
      <c r="BF161" s="25"/>
      <c r="BG161" s="25"/>
      <c r="BH161" s="25"/>
      <c r="BI161" s="26"/>
      <c r="BJ161" s="26"/>
      <c r="BK161" s="26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</row>
    <row r="162" spans="1:79" s="16" customFormat="1" ht="13.5" thickBot="1">
      <c r="A162" s="142"/>
      <c r="B162" s="168"/>
      <c r="C162" s="168"/>
      <c r="D162" s="168"/>
      <c r="E162" s="168"/>
      <c r="F162" s="168"/>
      <c r="G162" s="145"/>
      <c r="H162" s="414"/>
      <c r="I162" s="415"/>
      <c r="J162" s="415"/>
      <c r="K162" s="416" t="s">
        <v>52</v>
      </c>
      <c r="L162" s="417">
        <f>SUM(L159:L161)</f>
        <v>244.71428571428572</v>
      </c>
      <c r="M162" s="145"/>
      <c r="N162" s="148"/>
      <c r="O162" s="145"/>
      <c r="P162" s="145"/>
      <c r="Q162" s="149"/>
      <c r="R162" s="150"/>
      <c r="S162" s="145"/>
      <c r="T162" s="146"/>
      <c r="U162" s="327"/>
      <c r="V162" s="232"/>
      <c r="W162" s="146"/>
      <c r="X162" s="146"/>
      <c r="Y162" s="146"/>
      <c r="Z162" s="231"/>
      <c r="AA162" s="146"/>
      <c r="AB162" s="152"/>
      <c r="AC162" s="153"/>
      <c r="AD162" s="146"/>
      <c r="AE162" s="146"/>
      <c r="AF162" s="154"/>
      <c r="AG162" s="146"/>
      <c r="AH162" s="155"/>
      <c r="AI162" s="156"/>
      <c r="AJ162" s="146"/>
      <c r="AK162" s="146"/>
      <c r="AL162" s="146"/>
      <c r="AM162" s="146"/>
      <c r="AN162" s="146"/>
      <c r="AO162" s="149"/>
      <c r="AP162" s="157"/>
      <c r="AQ162" s="157"/>
      <c r="AR162" s="158"/>
      <c r="AS162" s="157"/>
      <c r="AT162" s="159"/>
      <c r="AU162" s="160"/>
      <c r="AV162" s="160"/>
      <c r="AW162" s="161"/>
      <c r="AX162" s="162"/>
      <c r="AY162" s="163"/>
      <c r="AZ162" s="162"/>
      <c r="BA162" s="164"/>
      <c r="BB162" s="5"/>
      <c r="BC162" s="25"/>
      <c r="BD162" s="25"/>
      <c r="BE162" s="25"/>
      <c r="BF162" s="25"/>
      <c r="BG162" s="25"/>
      <c r="BH162" s="25"/>
      <c r="BI162" s="26"/>
      <c r="BJ162" s="26"/>
      <c r="BK162" s="26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</row>
    <row r="163" spans="1:79" s="16" customFormat="1" ht="28.5" customHeight="1">
      <c r="A163" s="142"/>
      <c r="B163" s="168"/>
      <c r="C163" s="168"/>
      <c r="D163" s="168"/>
      <c r="E163" s="168"/>
      <c r="F163" s="168"/>
      <c r="G163" s="145"/>
      <c r="H163" s="146"/>
      <c r="I163" s="145"/>
      <c r="J163" s="145"/>
      <c r="K163" s="147"/>
      <c r="L163" s="145"/>
      <c r="M163" s="145"/>
      <c r="N163" s="148"/>
      <c r="O163" s="145"/>
      <c r="P163" s="145"/>
      <c r="Q163" s="149"/>
      <c r="R163" s="150"/>
      <c r="S163" s="145"/>
      <c r="T163" s="146"/>
      <c r="U163" s="327"/>
      <c r="V163" s="232"/>
      <c r="W163" s="146"/>
      <c r="X163" s="146"/>
      <c r="Y163" s="146"/>
      <c r="Z163" s="231"/>
      <c r="AA163" s="146"/>
      <c r="AB163" s="152"/>
      <c r="AC163" s="153"/>
      <c r="AD163" s="146"/>
      <c r="AE163" s="146"/>
      <c r="AF163" s="154"/>
      <c r="AG163" s="146"/>
      <c r="AH163" s="155"/>
      <c r="AI163" s="156"/>
      <c r="AJ163" s="146"/>
      <c r="AK163" s="146"/>
      <c r="AL163" s="146"/>
      <c r="AM163" s="146"/>
      <c r="AN163" s="146"/>
      <c r="AO163" s="149"/>
      <c r="AP163" s="157"/>
      <c r="AQ163" s="157"/>
      <c r="AR163" s="158"/>
      <c r="AS163" s="157"/>
      <c r="AT163" s="159"/>
      <c r="AU163" s="160"/>
      <c r="AV163" s="160"/>
      <c r="AW163" s="161"/>
      <c r="AX163" s="162"/>
      <c r="AY163" s="163"/>
      <c r="AZ163" s="162"/>
      <c r="BA163" s="164"/>
      <c r="BB163" s="5"/>
      <c r="BC163" s="25"/>
      <c r="BD163" s="25"/>
      <c r="BE163" s="25"/>
      <c r="BF163" s="25"/>
      <c r="BG163" s="25"/>
      <c r="BH163" s="25"/>
      <c r="BI163" s="26"/>
      <c r="BJ163" s="26"/>
      <c r="BK163" s="26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</row>
    <row r="164" spans="1:79" s="16" customFormat="1">
      <c r="A164" s="142"/>
      <c r="B164" s="168" t="s">
        <v>477</v>
      </c>
      <c r="C164" s="145" t="s">
        <v>478</v>
      </c>
      <c r="D164" s="145" t="s">
        <v>235</v>
      </c>
      <c r="E164" s="145"/>
      <c r="F164" s="145"/>
      <c r="G164" s="145" t="s">
        <v>130</v>
      </c>
      <c r="H164" s="146" t="s">
        <v>131</v>
      </c>
      <c r="I164" s="145" t="s">
        <v>132</v>
      </c>
      <c r="J164" s="145" t="s">
        <v>133</v>
      </c>
      <c r="K164" s="147" t="str">
        <f>IF(I164="Rack","No of Racks",(IF(I164="Space","Sq Ft","U Space")))</f>
        <v>No of Racks</v>
      </c>
      <c r="L164" s="145">
        <v>1</v>
      </c>
      <c r="M164" s="145">
        <v>1</v>
      </c>
      <c r="N164" s="148">
        <f>L164-M164</f>
        <v>0</v>
      </c>
      <c r="O164" s="145">
        <v>1</v>
      </c>
      <c r="P164" s="145"/>
      <c r="Q164" s="149">
        <f>(395000)/12</f>
        <v>32916.666666666664</v>
      </c>
      <c r="R164" s="150" t="str">
        <f>G164</f>
        <v>Rated</v>
      </c>
      <c r="S164" s="145" t="s">
        <v>134</v>
      </c>
      <c r="T164" s="146">
        <v>3</v>
      </c>
      <c r="U164" s="151">
        <v>2.67</v>
      </c>
      <c r="V164" s="232">
        <f>T164-U164</f>
        <v>0.33000000000000007</v>
      </c>
      <c r="W164" s="146"/>
      <c r="X164" s="146" t="e">
        <f>IF(V164&lt;=0,0,(IF(R164="Rated",(V164+W164)*#REF!,(V164+W164))))</f>
        <v>#REF!</v>
      </c>
      <c r="Y164" s="146" t="e">
        <f>IF(R164="Rated",T164*#REF!,T164)</f>
        <v>#REF!</v>
      </c>
      <c r="Z164" s="231">
        <v>1.5</v>
      </c>
      <c r="AA164" s="146">
        <f>IF((V164*-1)&gt;0, (V164*-1), 0)</f>
        <v>0</v>
      </c>
      <c r="AB164" s="152">
        <f>100000/12</f>
        <v>8333.3333333333339</v>
      </c>
      <c r="AC164" s="153" t="str">
        <f>H164</f>
        <v>Bundled</v>
      </c>
      <c r="AD164" s="146">
        <v>1.7</v>
      </c>
      <c r="AE164" s="146" t="s">
        <v>333</v>
      </c>
      <c r="AF164" s="154"/>
      <c r="AG164" s="146"/>
      <c r="AH164" s="155"/>
      <c r="AI164" s="156" t="str">
        <f>IF(AH164="No of Seats","No of Seats",(IF(AH164="Space","Sq Ft","")))</f>
        <v/>
      </c>
      <c r="AJ164" s="146"/>
      <c r="AK164" s="146"/>
      <c r="AL164" s="146">
        <f>AJ164-AK164</f>
        <v>0</v>
      </c>
      <c r="AM164" s="146"/>
      <c r="AN164" s="146"/>
      <c r="AO164" s="149"/>
      <c r="AP164" s="157">
        <f>Q164*O164</f>
        <v>32916.666666666664</v>
      </c>
      <c r="AQ164" s="157">
        <f>AB164*AA164</f>
        <v>0</v>
      </c>
      <c r="AR164" s="158">
        <f>AG164*AF164*AD164</f>
        <v>0</v>
      </c>
      <c r="AS164" s="157">
        <f>AO164*AM164</f>
        <v>0</v>
      </c>
      <c r="AT164" s="159"/>
      <c r="AU164" s="160">
        <f>SUBTOTAL(9,AP164:AT164)</f>
        <v>32916.666666666664</v>
      </c>
      <c r="AV164" s="160"/>
      <c r="AW164" s="161"/>
      <c r="AX164" s="318"/>
      <c r="AY164" s="319"/>
      <c r="AZ164" s="318"/>
      <c r="BA164" s="320"/>
      <c r="BC164" s="165">
        <f>IF(I164="Rack",AU164/L164,0)+IF(I164="U Space",AU164*40/L164,0)+IF(I164="Space",AU164*30/L164,0)</f>
        <v>32916.666666666664</v>
      </c>
      <c r="BD164" s="165" t="e">
        <f>+AU164/Y164</f>
        <v>#REF!</v>
      </c>
      <c r="BE164" s="165" t="e">
        <f>+($AP164+$AQ164+$AR164-BL164)/$Y164</f>
        <v>#REF!</v>
      </c>
      <c r="BF164" s="165" t="e">
        <f>+($AP164+$AQ164+$AR164-BM164)/$Y164</f>
        <v>#REF!</v>
      </c>
      <c r="BG164" s="165" t="e">
        <f>+($AP164+$AQ164+IF(H164="Bundled",0,Y164*0.85*AD164*AF164*30.5*24)-BN164)/$Y164</f>
        <v>#REF!</v>
      </c>
      <c r="BH164" s="165"/>
      <c r="BI164" s="166">
        <f>+AP164+AQ164+AR164</f>
        <v>32916.666666666664</v>
      </c>
      <c r="BJ164" s="166" t="e">
        <f>+BI164-BK164</f>
        <v>#REF!</v>
      </c>
      <c r="BK164" s="166" t="e">
        <f>IF(H164="Bundled",MIN(Y164*#REF!*(1+#REF!),BI164),AR164)</f>
        <v>#REF!</v>
      </c>
      <c r="BL164" s="167" t="e">
        <f>IF($AG164&gt;0,$AG164*#REF!*#REF!*(1+#REF!*(20/#REF!)/732),#REF!*Z164)</f>
        <v>#REF!</v>
      </c>
      <c r="BM164" s="167" t="e">
        <f>IF($AG164&gt;0,$AG164*#REF!*#REF!*(1+#REF!*(20/#REF!)/732),+#REF!*(Z164+X164))</f>
        <v>#REF!</v>
      </c>
      <c r="BN164" s="167" t="e">
        <f>IF(H164="Bundled",#REF!*Y164,#REF!*Y164*0.85)</f>
        <v>#REF!</v>
      </c>
      <c r="BO164" s="167" t="e">
        <f>+BE164*Y164</f>
        <v>#REF!</v>
      </c>
      <c r="BP164" s="167" t="e">
        <f>+#REF!*Y164</f>
        <v>#REF!</v>
      </c>
      <c r="BQ164" s="167" t="e">
        <f>+BJ164-BP164</f>
        <v>#REF!</v>
      </c>
      <c r="BR164" s="167" t="e">
        <f>+BK164-BL164</f>
        <v>#REF!</v>
      </c>
      <c r="BS164" s="167" t="e">
        <f>+BQ164+BR164</f>
        <v>#REF!</v>
      </c>
      <c r="BT164" s="167" t="e">
        <f>+Y164</f>
        <v>#REF!</v>
      </c>
      <c r="BU164" s="167" t="e">
        <f>+BE164</f>
        <v>#REF!</v>
      </c>
      <c r="BV164" s="167" t="e">
        <f>IF(H164="Bundled",BN164-BL164,AR164-BL164)</f>
        <v>#REF!</v>
      </c>
      <c r="BW164" s="167" t="e">
        <f>IF(H164="Bundled",+(BG164-#REF!)*Y164,(AP164+AQ164)-Y164*#REF!)</f>
        <v>#REF!</v>
      </c>
      <c r="BX164" s="167" t="e">
        <f>+BV164+BW164</f>
        <v>#REF!</v>
      </c>
      <c r="BY164" s="167" t="e">
        <f t="shared" ref="BY164:CA165" si="245">+BV164/$BT164</f>
        <v>#REF!</v>
      </c>
      <c r="BZ164" s="167" t="e">
        <f t="shared" si="245"/>
        <v>#REF!</v>
      </c>
      <c r="CA164" s="167" t="e">
        <f t="shared" si="245"/>
        <v>#REF!</v>
      </c>
    </row>
    <row r="165" spans="1:79" s="16" customFormat="1">
      <c r="A165" s="142"/>
      <c r="B165" s="168"/>
      <c r="C165" s="168"/>
      <c r="D165" s="168"/>
      <c r="E165" s="168"/>
      <c r="F165" s="168"/>
      <c r="G165" s="145" t="s">
        <v>169</v>
      </c>
      <c r="H165" s="146" t="s">
        <v>170</v>
      </c>
      <c r="I165" s="145" t="s">
        <v>132</v>
      </c>
      <c r="J165" s="145" t="s">
        <v>133</v>
      </c>
      <c r="K165" s="147" t="str">
        <f>IF(I165="Rack","No of Racks",(IF(I165="Space","Sq Ft","U Space")))</f>
        <v>No of Racks</v>
      </c>
      <c r="L165" s="145">
        <v>0</v>
      </c>
      <c r="M165" s="145">
        <v>0</v>
      </c>
      <c r="N165" s="148">
        <f>L165-M165</f>
        <v>0</v>
      </c>
      <c r="O165" s="145">
        <v>0</v>
      </c>
      <c r="P165" s="145"/>
      <c r="Q165" s="149">
        <f>(0)/12</f>
        <v>0</v>
      </c>
      <c r="R165" s="150" t="str">
        <f>G165</f>
        <v>Subscribed</v>
      </c>
      <c r="S165" s="145" t="s">
        <v>123</v>
      </c>
      <c r="T165" s="146">
        <v>0</v>
      </c>
      <c r="U165" s="327">
        <f>Z165</f>
        <v>0</v>
      </c>
      <c r="V165" s="232">
        <f>T165-U165</f>
        <v>0</v>
      </c>
      <c r="W165" s="146"/>
      <c r="X165" s="146">
        <f>IF(V165&lt;=0,0,(IF(R165="Rated",(V165+W165)*#REF!,(V165+W165))))</f>
        <v>0</v>
      </c>
      <c r="Y165" s="146">
        <f>IF(R165="Rated",T165*#REF!,T165)</f>
        <v>0</v>
      </c>
      <c r="Z165" s="231">
        <f>AG165/31/24</f>
        <v>0</v>
      </c>
      <c r="AA165" s="146">
        <f>IF((V165*-1)&gt;0, (V165*-1), 0)</f>
        <v>0</v>
      </c>
      <c r="AB165" s="152">
        <f>0/12</f>
        <v>0</v>
      </c>
      <c r="AC165" s="153" t="str">
        <f>H165</f>
        <v>Metered</v>
      </c>
      <c r="AD165" s="146"/>
      <c r="AE165" s="146"/>
      <c r="AF165" s="154">
        <v>0</v>
      </c>
      <c r="AG165" s="146"/>
      <c r="AH165" s="155"/>
      <c r="AI165" s="156"/>
      <c r="AJ165" s="146"/>
      <c r="AK165" s="146"/>
      <c r="AL165" s="146">
        <f>AJ165-AK165</f>
        <v>0</v>
      </c>
      <c r="AM165" s="146"/>
      <c r="AN165" s="146"/>
      <c r="AO165" s="149">
        <f t="shared" ref="AO165" si="246">(0)/12</f>
        <v>0</v>
      </c>
      <c r="AP165" s="157">
        <f>Q165*O165</f>
        <v>0</v>
      </c>
      <c r="AQ165" s="157">
        <f>AB165*AA165</f>
        <v>0</v>
      </c>
      <c r="AR165" s="158">
        <f>AG165*AF165*AD165</f>
        <v>0</v>
      </c>
      <c r="AS165" s="157">
        <f>AO165*AM165</f>
        <v>0</v>
      </c>
      <c r="AT165" s="159">
        <f>0/12</f>
        <v>0</v>
      </c>
      <c r="AU165" s="160">
        <f>SUBTOTAL(9,AP165:AT165)</f>
        <v>0</v>
      </c>
      <c r="AV165" s="160"/>
      <c r="AW165" s="161"/>
      <c r="AX165" s="162"/>
      <c r="AY165" s="163"/>
      <c r="AZ165" s="162"/>
      <c r="BA165" s="164"/>
      <c r="BB165" s="5"/>
      <c r="BC165" s="165" t="e">
        <f>IF(I165="Rack",AU165/L165,0)+IF(I165="U Space",AU165*40/L165,0)+IF(I165="Space",AU165*30/L165,0)</f>
        <v>#DIV/0!</v>
      </c>
      <c r="BD165" s="165" t="e">
        <f>+AU165/Y165</f>
        <v>#DIV/0!</v>
      </c>
      <c r="BE165" s="165" t="e">
        <f>+($AP165+$AQ165+$AR165-BL165)/$Y165</f>
        <v>#REF!</v>
      </c>
      <c r="BF165" s="165" t="e">
        <f>+($AP165+$AQ165+$AR165-BM165)/$Y165</f>
        <v>#REF!</v>
      </c>
      <c r="BG165" s="165" t="e">
        <f>+($AP165+$AQ165+IF(H165="Bundled",0,Y165*0.85*AD165*AF165*30.5*24)-BN165)/$Y165</f>
        <v>#REF!</v>
      </c>
      <c r="BH165" s="165"/>
      <c r="BI165" s="166">
        <f>+AP165+AQ165+AR165</f>
        <v>0</v>
      </c>
      <c r="BJ165" s="166">
        <f>+BI165-BK165</f>
        <v>0</v>
      </c>
      <c r="BK165" s="166">
        <f>IF(H165="Bundled",MIN(Y165*#REF!*(1+#REF!),BI165),AR165)</f>
        <v>0</v>
      </c>
      <c r="BL165" s="167" t="e">
        <f>IF($AG165&gt;0,$AG165*#REF!*#REF!*(1+#REF!*(20/#REF!)/732),#REF!*Z165)</f>
        <v>#REF!</v>
      </c>
      <c r="BM165" s="167" t="e">
        <f>IF($AG165&gt;0,$AG165*#REF!*#REF!*(1+#REF!*(20/#REF!)/732),+#REF!*(Z165+X165))</f>
        <v>#REF!</v>
      </c>
      <c r="BN165" s="167" t="e">
        <f>IF(H165="Bundled",#REF!*Y165,#REF!*Y165*0.85)</f>
        <v>#REF!</v>
      </c>
      <c r="BO165" s="167" t="e">
        <f>+BE165*Y165</f>
        <v>#REF!</v>
      </c>
      <c r="BP165" s="167" t="e">
        <f>+#REF!*Y165</f>
        <v>#REF!</v>
      </c>
      <c r="BQ165" s="167" t="e">
        <f>+BJ165-BP165</f>
        <v>#REF!</v>
      </c>
      <c r="BR165" s="167" t="e">
        <f>+BK165-BL165</f>
        <v>#REF!</v>
      </c>
      <c r="BS165" s="167" t="e">
        <f>+BQ165+BR165</f>
        <v>#REF!</v>
      </c>
      <c r="BT165" s="167">
        <f>+Y165</f>
        <v>0</v>
      </c>
      <c r="BU165" s="167" t="e">
        <f>+BE165</f>
        <v>#REF!</v>
      </c>
      <c r="BV165" s="167" t="e">
        <f>IF(H165="Bundled",BN165-BL165,AR165-BL165)</f>
        <v>#REF!</v>
      </c>
      <c r="BW165" s="167" t="e">
        <f>IF(H165="Bundled",+(BG165-#REF!)*Y165,(AP165+AQ165)-Y165*#REF!)</f>
        <v>#REF!</v>
      </c>
      <c r="BX165" s="167" t="e">
        <f>+BV165+BW165</f>
        <v>#REF!</v>
      </c>
      <c r="BY165" s="167" t="e">
        <f t="shared" si="245"/>
        <v>#REF!</v>
      </c>
      <c r="BZ165" s="167" t="e">
        <f t="shared" si="245"/>
        <v>#REF!</v>
      </c>
      <c r="CA165" s="167" t="e">
        <f t="shared" si="245"/>
        <v>#REF!</v>
      </c>
    </row>
    <row r="166" spans="1:79">
      <c r="A166" s="313"/>
      <c r="B166" s="454" t="s">
        <v>479</v>
      </c>
      <c r="C166" s="454"/>
      <c r="D166" s="454"/>
      <c r="E166" s="454"/>
      <c r="F166" s="454"/>
      <c r="G166" s="229"/>
      <c r="H166" s="229"/>
      <c r="I166" s="229"/>
      <c r="J166" s="229"/>
      <c r="K166" s="229"/>
      <c r="L166" s="454"/>
      <c r="M166" s="454"/>
      <c r="N166" s="455"/>
      <c r="O166" s="454"/>
      <c r="P166" s="454"/>
      <c r="Q166" s="454"/>
      <c r="R166" s="150"/>
      <c r="S166" s="454"/>
      <c r="T166" s="456">
        <f>SUM(T164:T165)</f>
        <v>3</v>
      </c>
      <c r="U166" s="456">
        <f>SUM(U164:U165)</f>
        <v>2.67</v>
      </c>
      <c r="V166" s="457"/>
      <c r="W166" s="456"/>
      <c r="X166" s="456" t="e">
        <f>SUM(X164:X165)</f>
        <v>#REF!</v>
      </c>
      <c r="Y166" s="456" t="e">
        <f>SUM(Y164:Y165)</f>
        <v>#REF!</v>
      </c>
      <c r="Z166" s="456">
        <f>SUM(Z164:Z165)</f>
        <v>1.5</v>
      </c>
      <c r="AA166" s="456"/>
      <c r="AB166" s="456"/>
      <c r="AC166" s="153"/>
      <c r="AD166" s="456"/>
      <c r="AE166" s="456"/>
      <c r="AF166" s="456"/>
      <c r="AG166" s="456"/>
      <c r="AH166" s="155" t="s">
        <v>141</v>
      </c>
      <c r="AI166" s="156" t="str">
        <f>IF(AH166="No of Seats","No of Seats",(IF(AH166="Space","Sq Ft","")))</f>
        <v>No of Seats</v>
      </c>
      <c r="AJ166" s="456">
        <f>SUM(AJ164:AJ165)</f>
        <v>0</v>
      </c>
      <c r="AK166" s="456">
        <f>SUM(AK164:AK165)</f>
        <v>0</v>
      </c>
      <c r="AL166" s="456">
        <f>SUM(AL164:AL165)</f>
        <v>0</v>
      </c>
      <c r="AM166" s="456">
        <f>SUM(AM164:AM165)</f>
        <v>0</v>
      </c>
      <c r="AN166" s="456"/>
      <c r="AO166" s="456"/>
      <c r="AP166" s="458"/>
      <c r="AQ166" s="458"/>
      <c r="AR166" s="458"/>
      <c r="AS166" s="458"/>
      <c r="AT166" s="458"/>
      <c r="AU166" s="456">
        <f>SUM(AU164:AU165)</f>
        <v>32916.666666666664</v>
      </c>
      <c r="AV166" s="229" t="s">
        <v>354</v>
      </c>
      <c r="AW166" s="424"/>
      <c r="AX166" s="424"/>
      <c r="AY166" s="163"/>
      <c r="AZ166" s="424"/>
      <c r="BA166" s="164"/>
      <c r="CA166" s="22"/>
    </row>
    <row r="167" spans="1:79">
      <c r="A167" s="313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419"/>
      <c r="O167" s="420"/>
      <c r="P167" s="420"/>
      <c r="Q167" s="421"/>
      <c r="R167" s="420"/>
      <c r="S167" s="420"/>
      <c r="T167" s="422"/>
      <c r="U167" s="229"/>
      <c r="V167" s="419"/>
      <c r="W167" s="229"/>
      <c r="X167" s="229"/>
      <c r="Y167" s="229"/>
      <c r="Z167" s="229"/>
      <c r="AA167" s="229"/>
      <c r="AB167" s="229"/>
      <c r="AC167" s="229"/>
      <c r="AD167" s="229"/>
      <c r="AE167" s="229"/>
      <c r="AF167" s="229"/>
      <c r="AG167" s="423"/>
      <c r="AH167" s="423"/>
      <c r="AI167" s="423"/>
      <c r="AJ167" s="229"/>
      <c r="AK167" s="229"/>
      <c r="AL167" s="229"/>
      <c r="AM167" s="229"/>
      <c r="AN167" s="229"/>
      <c r="AO167" s="229"/>
      <c r="AP167" s="229"/>
      <c r="AQ167" s="229"/>
      <c r="AR167" s="229"/>
      <c r="AS167" s="229"/>
      <c r="AT167" s="229"/>
      <c r="AU167" s="159"/>
      <c r="AV167" s="229"/>
      <c r="AW167" s="424"/>
      <c r="AX167" s="424"/>
      <c r="AY167" s="424"/>
      <c r="AZ167" s="424"/>
      <c r="BA167" s="164"/>
    </row>
    <row r="168" spans="1:79" s="66" customFormat="1">
      <c r="A168" s="459" t="s">
        <v>41</v>
      </c>
      <c r="B168" s="460" t="s">
        <v>41</v>
      </c>
      <c r="C168" s="461" t="s">
        <v>480</v>
      </c>
      <c r="D168" s="461"/>
      <c r="E168" s="462">
        <v>1</v>
      </c>
      <c r="F168" s="463"/>
      <c r="G168" s="461" t="s">
        <v>169</v>
      </c>
      <c r="H168" s="464" t="s">
        <v>170</v>
      </c>
      <c r="I168" s="461" t="s">
        <v>59</v>
      </c>
      <c r="J168" s="461" t="s">
        <v>133</v>
      </c>
      <c r="K168" s="465" t="str">
        <f>IF(I168="Rack","No of Racks",(IF(I168="Space","Sq Ft","U Space")))</f>
        <v>Sq Ft</v>
      </c>
      <c r="L168" s="461">
        <v>7384</v>
      </c>
      <c r="M168" s="461">
        <v>7384</v>
      </c>
      <c r="N168" s="466">
        <f>L168-M168</f>
        <v>0</v>
      </c>
      <c r="O168" s="461">
        <v>7384</v>
      </c>
      <c r="P168" s="461"/>
      <c r="Q168" s="467">
        <f>(0)/12</f>
        <v>0</v>
      </c>
      <c r="R168" s="382" t="str">
        <f>G168</f>
        <v>Subscribed</v>
      </c>
      <c r="S168" s="461" t="s">
        <v>123</v>
      </c>
      <c r="T168" s="464">
        <v>2160</v>
      </c>
      <c r="U168" s="468">
        <f>Z168</f>
        <v>954.80061011904763</v>
      </c>
      <c r="V168" s="469">
        <f>T168-U168</f>
        <v>1205.1993898809524</v>
      </c>
      <c r="W168" s="464"/>
      <c r="X168" s="464">
        <f>IF(V168&lt;=0,0,(IF(R168="Rated",(V168+W168)*#REF!,(V168+W168))))</f>
        <v>1205.1993898809524</v>
      </c>
      <c r="Y168" s="464">
        <f>IF(R168="Rated",T168*#REF!,T168)</f>
        <v>2160</v>
      </c>
      <c r="Z168" s="468">
        <f>AG168/28/24</f>
        <v>954.80061011904763</v>
      </c>
      <c r="AA168" s="464">
        <f>IF((V168*-1)&gt;0, (V168*-1), 0)</f>
        <v>0</v>
      </c>
      <c r="AB168" s="470">
        <f>0/12</f>
        <v>0</v>
      </c>
      <c r="AC168" s="386" t="str">
        <f>H168</f>
        <v>Metered</v>
      </c>
      <c r="AD168" s="464" t="s">
        <v>481</v>
      </c>
      <c r="AE168" s="464" t="s">
        <v>333</v>
      </c>
      <c r="AF168" s="471">
        <v>0</v>
      </c>
      <c r="AG168" s="464">
        <v>641626.01</v>
      </c>
      <c r="AH168" s="387" t="s">
        <v>141</v>
      </c>
      <c r="AI168" s="388"/>
      <c r="AJ168" s="462">
        <v>1</v>
      </c>
      <c r="AK168" s="464"/>
      <c r="AL168" s="464">
        <f>AJ168-AK168</f>
        <v>1</v>
      </c>
      <c r="AM168" s="464"/>
      <c r="AN168" s="464"/>
      <c r="AO168" s="467">
        <f t="shared" ref="AO168:AO170" si="247">(0)/12</f>
        <v>0</v>
      </c>
      <c r="AP168" s="472">
        <f>Q168*O168</f>
        <v>0</v>
      </c>
      <c r="AQ168" s="472">
        <f>AB168*AA168</f>
        <v>0</v>
      </c>
      <c r="AR168" s="473" t="e">
        <f>AG168*AF168*AD168</f>
        <v>#VALUE!</v>
      </c>
      <c r="AS168" s="472">
        <f>AO168*AM168</f>
        <v>0</v>
      </c>
      <c r="AT168" s="474">
        <f>0/12</f>
        <v>0</v>
      </c>
      <c r="AU168" s="475" t="e">
        <f>SUBTOTAL(9,AP168:AT168)</f>
        <v>#VALUE!</v>
      </c>
      <c r="AV168" s="475"/>
      <c r="AW168" s="476"/>
      <c r="AX168" s="477"/>
      <c r="AY168" s="391"/>
      <c r="AZ168" s="477"/>
      <c r="BA168" s="392"/>
      <c r="BB168" s="64"/>
      <c r="BC168" s="478" t="e">
        <f>IF(I168="Rack",AU168/L168,0)+IF(I168="U Space",AU168*40/L168,0)+IF(I168="Space",AU168*30/L168,0)</f>
        <v>#VALUE!</v>
      </c>
      <c r="BD168" s="478" t="e">
        <f>+AU168/Y168</f>
        <v>#VALUE!</v>
      </c>
      <c r="BE168" s="478" t="e">
        <f t="shared" ref="BE168:BF170" si="248">+($AP168+$AQ168+$AR168-BL168)/$Y168</f>
        <v>#VALUE!</v>
      </c>
      <c r="BF168" s="478" t="e">
        <f t="shared" si="248"/>
        <v>#VALUE!</v>
      </c>
      <c r="BG168" s="478" t="e">
        <f>+($AP168+$AQ168+IF(H168="Bundled",0,Y168*0.85*AD168*AF168*30.5*24)-BN168)/$Y168</f>
        <v>#VALUE!</v>
      </c>
      <c r="BH168" s="478"/>
      <c r="BI168" s="479" t="e">
        <f>+AP168+AQ168+AR168</f>
        <v>#VALUE!</v>
      </c>
      <c r="BJ168" s="479" t="e">
        <f>+BI168-BK168</f>
        <v>#VALUE!</v>
      </c>
      <c r="BK168" s="479" t="e">
        <f>IF(H168="Bundled",MIN(Y168*#REF!*(1+#REF!),BI168),AR168)</f>
        <v>#VALUE!</v>
      </c>
      <c r="BL168" s="480" t="e">
        <f>IF($AG168&gt;0,$AG168*#REF!*#REF!*(1+#REF!*(20/#REF!)/732),#REF!*Z168)</f>
        <v>#REF!</v>
      </c>
      <c r="BM168" s="480" t="e">
        <f>IF($AG168&gt;0,$AG168*#REF!*#REF!*(1+#REF!*(20/#REF!)/732),+#REF!*(Z168+X168))</f>
        <v>#REF!</v>
      </c>
      <c r="BN168" s="480" t="e">
        <f>IF(H168="Bundled",#REF!*Y168,#REF!*Y168*0.85)</f>
        <v>#REF!</v>
      </c>
      <c r="BO168" s="480" t="e">
        <f>+BE168*Y168</f>
        <v>#VALUE!</v>
      </c>
      <c r="BP168" s="480" t="e">
        <f>+#REF!*Y168</f>
        <v>#REF!</v>
      </c>
      <c r="BQ168" s="480" t="e">
        <f>+BJ168-BP168</f>
        <v>#VALUE!</v>
      </c>
      <c r="BR168" s="480" t="e">
        <f>+BK168-BL168</f>
        <v>#VALUE!</v>
      </c>
      <c r="BS168" s="480" t="e">
        <f>+BQ168+BR168</f>
        <v>#VALUE!</v>
      </c>
      <c r="BT168" s="480">
        <f>+Y168</f>
        <v>2160</v>
      </c>
      <c r="BU168" s="480" t="e">
        <f>+BE168</f>
        <v>#VALUE!</v>
      </c>
      <c r="BV168" s="480" t="e">
        <f>IF(H168="Bundled",BN168-BL168,AR168-BL168)</f>
        <v>#VALUE!</v>
      </c>
      <c r="BW168" s="480" t="e">
        <f>IF(H168="Bundled",+(BG168-#REF!)*Y168,(AP168+AQ168)-Y168*#REF!)</f>
        <v>#REF!</v>
      </c>
      <c r="BX168" s="480" t="e">
        <f>+BV168+BW168</f>
        <v>#VALUE!</v>
      </c>
      <c r="BY168" s="480" t="e">
        <f t="shared" ref="BY168:CA170" si="249">+BV168/$BT168</f>
        <v>#VALUE!</v>
      </c>
      <c r="BZ168" s="480" t="e">
        <f t="shared" si="249"/>
        <v>#REF!</v>
      </c>
      <c r="CA168" s="480" t="e">
        <f t="shared" si="249"/>
        <v>#VALUE!</v>
      </c>
    </row>
    <row r="169" spans="1:79" s="66" customFormat="1">
      <c r="A169" s="459" t="s">
        <v>43</v>
      </c>
      <c r="B169" s="460" t="s">
        <v>43</v>
      </c>
      <c r="C169" s="461" t="s">
        <v>480</v>
      </c>
      <c r="D169" s="461"/>
      <c r="E169" s="253"/>
      <c r="F169" s="170"/>
      <c r="G169" s="461" t="s">
        <v>169</v>
      </c>
      <c r="H169" s="464" t="s">
        <v>170</v>
      </c>
      <c r="I169" s="461" t="s">
        <v>59</v>
      </c>
      <c r="J169" s="461" t="s">
        <v>133</v>
      </c>
      <c r="K169" s="465" t="str">
        <f>IF(I169="Rack","No of Racks",(IF(I169="Space","Sq Ft","U Space")))</f>
        <v>Sq Ft</v>
      </c>
      <c r="L169" s="461">
        <v>7384</v>
      </c>
      <c r="M169" s="461">
        <v>7384</v>
      </c>
      <c r="N169" s="466">
        <f>L169-M169</f>
        <v>0</v>
      </c>
      <c r="O169" s="461">
        <v>7384</v>
      </c>
      <c r="P169" s="461"/>
      <c r="Q169" s="467">
        <f>(0)/12</f>
        <v>0</v>
      </c>
      <c r="R169" s="382" t="str">
        <f>G169</f>
        <v>Subscribed</v>
      </c>
      <c r="S169" s="461" t="s">
        <v>123</v>
      </c>
      <c r="T169" s="464">
        <v>2160</v>
      </c>
      <c r="U169" s="468">
        <f>Z169</f>
        <v>737.80375744047615</v>
      </c>
      <c r="V169" s="469">
        <f>T169-U169</f>
        <v>1422.1962425595239</v>
      </c>
      <c r="W169" s="464"/>
      <c r="X169" s="464">
        <f>IF(V169&lt;=0,0,(IF(R169="Rated",(V169+W169)*#REF!,(V169+W169))))</f>
        <v>1422.1962425595239</v>
      </c>
      <c r="Y169" s="464">
        <f>IF(R169="Rated",T169*#REF!,T169)</f>
        <v>2160</v>
      </c>
      <c r="Z169" s="468">
        <f t="shared" ref="Z169:Z170" si="250">AG169/28/24</f>
        <v>737.80375744047615</v>
      </c>
      <c r="AA169" s="464">
        <f>IF((V169*-1)&gt;0, (V169*-1), 0)</f>
        <v>0</v>
      </c>
      <c r="AB169" s="470">
        <f>0/12</f>
        <v>0</v>
      </c>
      <c r="AC169" s="386" t="str">
        <f>H169</f>
        <v>Metered</v>
      </c>
      <c r="AD169" s="464" t="s">
        <v>481</v>
      </c>
      <c r="AE169" s="464" t="s">
        <v>333</v>
      </c>
      <c r="AF169" s="471">
        <v>0</v>
      </c>
      <c r="AG169" s="464">
        <v>495804.125</v>
      </c>
      <c r="AH169" s="387"/>
      <c r="AI169" s="388"/>
      <c r="AJ169" s="253"/>
      <c r="AK169" s="464"/>
      <c r="AL169" s="464">
        <f>AJ169-AK169</f>
        <v>0</v>
      </c>
      <c r="AM169" s="464"/>
      <c r="AN169" s="464"/>
      <c r="AO169" s="467">
        <f t="shared" si="247"/>
        <v>0</v>
      </c>
      <c r="AP169" s="472">
        <f>Q169*O169</f>
        <v>0</v>
      </c>
      <c r="AQ169" s="472">
        <f>AB169*AA169</f>
        <v>0</v>
      </c>
      <c r="AR169" s="473" t="e">
        <f>AG169*AF169*AD169</f>
        <v>#VALUE!</v>
      </c>
      <c r="AS169" s="472">
        <f>AO169*AM169</f>
        <v>0</v>
      </c>
      <c r="AT169" s="474">
        <f>0/12</f>
        <v>0</v>
      </c>
      <c r="AU169" s="475" t="e">
        <f>SUBTOTAL(9,AP169:AT169)</f>
        <v>#VALUE!</v>
      </c>
      <c r="AV169" s="475"/>
      <c r="AW169" s="476"/>
      <c r="AX169" s="477"/>
      <c r="AY169" s="391"/>
      <c r="AZ169" s="477"/>
      <c r="BA169" s="392"/>
      <c r="BB169" s="64"/>
      <c r="BC169" s="478" t="e">
        <f>IF(I169="Rack",AU169/L169,0)+IF(I169="U Space",AU169*40/L169,0)+IF(I169="Space",AU169*30/L169,0)</f>
        <v>#VALUE!</v>
      </c>
      <c r="BD169" s="478" t="e">
        <f>+AU169/Y169</f>
        <v>#VALUE!</v>
      </c>
      <c r="BE169" s="478" t="e">
        <f t="shared" si="248"/>
        <v>#VALUE!</v>
      </c>
      <c r="BF169" s="478" t="e">
        <f t="shared" si="248"/>
        <v>#VALUE!</v>
      </c>
      <c r="BG169" s="478" t="e">
        <f>+($AP169+$AQ169+IF(H169="Bundled",0,Y169*0.85*AD169*AF169*30.5*24)-BN169)/$Y169</f>
        <v>#VALUE!</v>
      </c>
      <c r="BH169" s="478"/>
      <c r="BI169" s="479" t="e">
        <f>+AP169+AQ169+AR169</f>
        <v>#VALUE!</v>
      </c>
      <c r="BJ169" s="479" t="e">
        <f>+BI169-BK169</f>
        <v>#VALUE!</v>
      </c>
      <c r="BK169" s="479" t="e">
        <f>IF(H169="Bundled",MIN(Y169*#REF!*(1+#REF!),BI169),AR169)</f>
        <v>#VALUE!</v>
      </c>
      <c r="BL169" s="480" t="e">
        <f>IF($AG169&gt;0,$AG169*#REF!*#REF!*(1+#REF!*(20/#REF!)/732),#REF!*Z169)</f>
        <v>#REF!</v>
      </c>
      <c r="BM169" s="480" t="e">
        <f>IF($AG169&gt;0,$AG169*#REF!*#REF!*(1+#REF!*(20/#REF!)/732),+#REF!*(Z169+X169))</f>
        <v>#REF!</v>
      </c>
      <c r="BN169" s="480" t="e">
        <f>IF(H169="Bundled",#REF!*Y169,#REF!*Y169*0.85)</f>
        <v>#REF!</v>
      </c>
      <c r="BO169" s="480" t="e">
        <f>+BE169*Y169</f>
        <v>#VALUE!</v>
      </c>
      <c r="BP169" s="480" t="e">
        <f>+#REF!*Y169</f>
        <v>#REF!</v>
      </c>
      <c r="BQ169" s="480" t="e">
        <f>+BJ169-BP169</f>
        <v>#VALUE!</v>
      </c>
      <c r="BR169" s="480" t="e">
        <f>+BK169-BL169</f>
        <v>#VALUE!</v>
      </c>
      <c r="BS169" s="480" t="e">
        <f>+BQ169+BR169</f>
        <v>#VALUE!</v>
      </c>
      <c r="BT169" s="480">
        <f>+Y169</f>
        <v>2160</v>
      </c>
      <c r="BU169" s="480" t="e">
        <f>+BE169</f>
        <v>#VALUE!</v>
      </c>
      <c r="BV169" s="480" t="e">
        <f>IF(H169="Bundled",BN169-BL169,AR169-BL169)</f>
        <v>#VALUE!</v>
      </c>
      <c r="BW169" s="480" t="e">
        <f>IF(H169="Bundled",+(BG169-#REF!)*Y169,(AP169+AQ169)-Y169*#REF!)</f>
        <v>#REF!</v>
      </c>
      <c r="BX169" s="480" t="e">
        <f>+BV169+BW169</f>
        <v>#VALUE!</v>
      </c>
      <c r="BY169" s="480" t="e">
        <f t="shared" si="249"/>
        <v>#VALUE!</v>
      </c>
      <c r="BZ169" s="480" t="e">
        <f t="shared" si="249"/>
        <v>#REF!</v>
      </c>
      <c r="CA169" s="480" t="e">
        <f t="shared" si="249"/>
        <v>#VALUE!</v>
      </c>
    </row>
    <row r="170" spans="1:79" s="66" customFormat="1">
      <c r="A170" s="459" t="s">
        <v>44</v>
      </c>
      <c r="B170" s="460" t="s">
        <v>44</v>
      </c>
      <c r="C170" s="461" t="s">
        <v>480</v>
      </c>
      <c r="D170" s="461"/>
      <c r="E170" s="254"/>
      <c r="F170" s="171"/>
      <c r="G170" s="461" t="s">
        <v>169</v>
      </c>
      <c r="H170" s="464" t="s">
        <v>170</v>
      </c>
      <c r="I170" s="461" t="s">
        <v>59</v>
      </c>
      <c r="J170" s="461" t="s">
        <v>133</v>
      </c>
      <c r="K170" s="465" t="str">
        <f>IF(I170="Rack","No of Racks",(IF(I170="Space","Sq Ft","U Space")))</f>
        <v>Sq Ft</v>
      </c>
      <c r="L170" s="461">
        <v>7384</v>
      </c>
      <c r="M170" s="461">
        <v>7384</v>
      </c>
      <c r="N170" s="466">
        <f>L170-M170</f>
        <v>0</v>
      </c>
      <c r="O170" s="461">
        <v>7384</v>
      </c>
      <c r="P170" s="461"/>
      <c r="Q170" s="467">
        <f>(0)/12</f>
        <v>0</v>
      </c>
      <c r="R170" s="382" t="str">
        <f>G170</f>
        <v>Subscribed</v>
      </c>
      <c r="S170" s="461" t="s">
        <v>123</v>
      </c>
      <c r="T170" s="464">
        <v>2160</v>
      </c>
      <c r="U170" s="468">
        <f>Z170</f>
        <v>914.58873511904767</v>
      </c>
      <c r="V170" s="469">
        <f>T170-U170</f>
        <v>1245.4112648809523</v>
      </c>
      <c r="W170" s="464"/>
      <c r="X170" s="464">
        <f>IF(V170&lt;=0,0,(IF(R170="Rated",(V170+W170)*#REF!,(V170+W170))))</f>
        <v>1245.4112648809523</v>
      </c>
      <c r="Y170" s="464">
        <f>IF(R170="Rated",T170*#REF!,T170)</f>
        <v>2160</v>
      </c>
      <c r="Z170" s="468">
        <f t="shared" si="250"/>
        <v>914.58873511904767</v>
      </c>
      <c r="AA170" s="464">
        <f>IF((V170*-1)&gt;0, (V170*-1), 0)</f>
        <v>0</v>
      </c>
      <c r="AB170" s="470">
        <f>0/12</f>
        <v>0</v>
      </c>
      <c r="AC170" s="386" t="str">
        <f>H170</f>
        <v>Metered</v>
      </c>
      <c r="AD170" s="464" t="s">
        <v>481</v>
      </c>
      <c r="AE170" s="464" t="s">
        <v>333</v>
      </c>
      <c r="AF170" s="471">
        <v>0</v>
      </c>
      <c r="AG170" s="464">
        <v>614603.63</v>
      </c>
      <c r="AH170" s="387"/>
      <c r="AI170" s="388"/>
      <c r="AJ170" s="254"/>
      <c r="AK170" s="464"/>
      <c r="AL170" s="464">
        <f>AJ170-AK170</f>
        <v>0</v>
      </c>
      <c r="AM170" s="464"/>
      <c r="AN170" s="464"/>
      <c r="AO170" s="467">
        <f t="shared" si="247"/>
        <v>0</v>
      </c>
      <c r="AP170" s="472">
        <f>Q170*O170</f>
        <v>0</v>
      </c>
      <c r="AQ170" s="472">
        <f>AB170*AA170</f>
        <v>0</v>
      </c>
      <c r="AR170" s="473" t="e">
        <f>AG170*AF170*AD170</f>
        <v>#VALUE!</v>
      </c>
      <c r="AS170" s="472">
        <f>AO170*AM170</f>
        <v>0</v>
      </c>
      <c r="AT170" s="474">
        <f>0/12</f>
        <v>0</v>
      </c>
      <c r="AU170" s="475" t="e">
        <f>SUBTOTAL(9,AP170:AT170)</f>
        <v>#VALUE!</v>
      </c>
      <c r="AV170" s="475"/>
      <c r="AW170" s="476"/>
      <c r="AX170" s="477"/>
      <c r="AY170" s="391"/>
      <c r="AZ170" s="477"/>
      <c r="BA170" s="392"/>
      <c r="BB170" s="64"/>
      <c r="BC170" s="478" t="e">
        <f>IF(I170="Rack",AU170/L170,0)+IF(I170="U Space",AU170*40/L170,0)+IF(I170="Space",AU170*30/L170,0)</f>
        <v>#VALUE!</v>
      </c>
      <c r="BD170" s="478" t="e">
        <f>+AU170/Y170</f>
        <v>#VALUE!</v>
      </c>
      <c r="BE170" s="478" t="e">
        <f t="shared" si="248"/>
        <v>#VALUE!</v>
      </c>
      <c r="BF170" s="478" t="e">
        <f t="shared" si="248"/>
        <v>#VALUE!</v>
      </c>
      <c r="BG170" s="478" t="e">
        <f>+($AP170+$AQ170+IF(H170="Bundled",0,Y170*0.85*AD170*AF170*30.5*24)-BN170)/$Y170</f>
        <v>#VALUE!</v>
      </c>
      <c r="BH170" s="478"/>
      <c r="BI170" s="479" t="e">
        <f>+AP170+AQ170+AR170</f>
        <v>#VALUE!</v>
      </c>
      <c r="BJ170" s="479" t="e">
        <f>+BI170-BK170</f>
        <v>#VALUE!</v>
      </c>
      <c r="BK170" s="479" t="e">
        <f>IF(H170="Bundled",MIN(Y170*#REF!*(1+#REF!),BI170),AR170)</f>
        <v>#VALUE!</v>
      </c>
      <c r="BL170" s="480" t="e">
        <f>IF($AG170&gt;0,$AG170*#REF!*#REF!*(1+#REF!*(20/#REF!)/732),#REF!*Z170)</f>
        <v>#REF!</v>
      </c>
      <c r="BM170" s="480" t="e">
        <f>IF($AG170&gt;0,$AG170*#REF!*#REF!*(1+#REF!*(20/#REF!)/732),+#REF!*(Z170+X170))</f>
        <v>#REF!</v>
      </c>
      <c r="BN170" s="480" t="e">
        <f>IF(H170="Bundled",#REF!*Y170,#REF!*Y170*0.85)</f>
        <v>#REF!</v>
      </c>
      <c r="BO170" s="480" t="e">
        <f>+BE170*Y170</f>
        <v>#VALUE!</v>
      </c>
      <c r="BP170" s="480" t="e">
        <f>+#REF!*Y170</f>
        <v>#REF!</v>
      </c>
      <c r="BQ170" s="480" t="e">
        <f>+BJ170-BP170</f>
        <v>#VALUE!</v>
      </c>
      <c r="BR170" s="480" t="e">
        <f>+BK170-BL170</f>
        <v>#VALUE!</v>
      </c>
      <c r="BS170" s="480" t="e">
        <f>+BQ170+BR170</f>
        <v>#VALUE!</v>
      </c>
      <c r="BT170" s="480">
        <f>+Y170</f>
        <v>2160</v>
      </c>
      <c r="BU170" s="480" t="e">
        <f>+BE170</f>
        <v>#VALUE!</v>
      </c>
      <c r="BV170" s="480" t="e">
        <f>IF(H170="Bundled",BN170-BL170,AR170-BL170)</f>
        <v>#VALUE!</v>
      </c>
      <c r="BW170" s="480" t="e">
        <f>IF(H170="Bundled",+(BG170-#REF!)*Y170,(AP170+AQ170)-Y170*#REF!)</f>
        <v>#REF!</v>
      </c>
      <c r="BX170" s="480" t="e">
        <f>+BV170+BW170</f>
        <v>#VALUE!</v>
      </c>
      <c r="BY170" s="480" t="e">
        <f t="shared" si="249"/>
        <v>#VALUE!</v>
      </c>
      <c r="BZ170" s="480" t="e">
        <f t="shared" si="249"/>
        <v>#REF!</v>
      </c>
      <c r="CA170" s="480" t="e">
        <f t="shared" si="249"/>
        <v>#VALUE!</v>
      </c>
    </row>
    <row r="171" spans="1:79">
      <c r="A171" s="313"/>
      <c r="B171" s="454" t="s">
        <v>482</v>
      </c>
      <c r="C171" s="454"/>
      <c r="D171" s="454"/>
      <c r="E171" s="454"/>
      <c r="F171" s="454"/>
      <c r="G171" s="229"/>
      <c r="H171" s="229"/>
      <c r="I171" s="229"/>
      <c r="J171" s="229"/>
      <c r="K171" s="229"/>
      <c r="L171" s="454"/>
      <c r="M171" s="454"/>
      <c r="N171" s="455"/>
      <c r="O171" s="454"/>
      <c r="P171" s="454"/>
      <c r="Q171" s="454"/>
      <c r="R171" s="150"/>
      <c r="S171" s="454"/>
      <c r="T171" s="456"/>
      <c r="U171" s="456"/>
      <c r="V171" s="457"/>
      <c r="W171" s="456"/>
      <c r="X171" s="456"/>
      <c r="Y171" s="456"/>
      <c r="Z171" s="456"/>
      <c r="AA171" s="456"/>
      <c r="AB171" s="456"/>
      <c r="AC171" s="153"/>
      <c r="AD171" s="456"/>
      <c r="AE171" s="456"/>
      <c r="AF171" s="456"/>
      <c r="AG171" s="456"/>
      <c r="AH171" s="155" t="s">
        <v>141</v>
      </c>
      <c r="AI171" s="156" t="str">
        <f>IF(AH171="No of Seats","No of Seats",(IF(AH171="Space","Sq Ft","")))</f>
        <v>No of Seats</v>
      </c>
      <c r="AJ171" s="456">
        <f>SUM(AJ170:AJ170)</f>
        <v>0</v>
      </c>
      <c r="AK171" s="456">
        <f>SUM(AK170:AK170)</f>
        <v>0</v>
      </c>
      <c r="AL171" s="456">
        <f>SUM(AL170:AL170)</f>
        <v>0</v>
      </c>
      <c r="AM171" s="456">
        <f>SUM(AM170:AM170)</f>
        <v>0</v>
      </c>
      <c r="AN171" s="456"/>
      <c r="AO171" s="456"/>
      <c r="AP171" s="458"/>
      <c r="AQ171" s="458"/>
      <c r="AR171" s="458"/>
      <c r="AS171" s="458"/>
      <c r="AT171" s="458"/>
      <c r="AU171" s="456" t="e">
        <f>SUM(AU170:AU170)</f>
        <v>#VALUE!</v>
      </c>
      <c r="AV171" s="229" t="s">
        <v>354</v>
      </c>
      <c r="AW171" s="424"/>
      <c r="AX171" s="424"/>
      <c r="AY171" s="163"/>
      <c r="AZ171" s="424"/>
      <c r="BA171" s="164"/>
      <c r="CA171" s="22"/>
    </row>
    <row r="172" spans="1:79">
      <c r="A172" s="313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419"/>
      <c r="O172" s="420"/>
      <c r="P172" s="420"/>
      <c r="Q172" s="420"/>
      <c r="R172" s="420"/>
      <c r="S172" s="420"/>
      <c r="T172" s="422"/>
      <c r="U172" s="229"/>
      <c r="V172" s="419"/>
      <c r="W172" s="229"/>
      <c r="X172" s="229"/>
      <c r="Y172" s="229"/>
      <c r="Z172" s="229"/>
      <c r="AA172" s="229"/>
      <c r="AB172" s="229"/>
      <c r="AC172" s="229"/>
      <c r="AD172" s="229"/>
      <c r="AE172" s="229"/>
      <c r="AF172" s="229"/>
      <c r="AG172" s="423"/>
      <c r="AH172" s="423"/>
      <c r="AI172" s="423"/>
      <c r="AJ172" s="229"/>
      <c r="AK172" s="229"/>
      <c r="AL172" s="229"/>
      <c r="AM172" s="229"/>
      <c r="AN172" s="229"/>
      <c r="AO172" s="229"/>
      <c r="AP172" s="229"/>
      <c r="AQ172" s="229"/>
      <c r="AR172" s="229"/>
      <c r="AS172" s="229"/>
      <c r="AT172" s="229"/>
      <c r="AU172" s="229"/>
      <c r="AV172" s="229"/>
      <c r="AW172" s="424"/>
      <c r="AX172" s="424"/>
      <c r="AY172" s="424"/>
      <c r="AZ172" s="424"/>
      <c r="BA172" s="164"/>
    </row>
    <row r="173" spans="1:79" s="16" customFormat="1">
      <c r="A173" s="142" t="s">
        <v>49</v>
      </c>
      <c r="B173" s="143" t="s">
        <v>483</v>
      </c>
      <c r="C173" s="145" t="s">
        <v>480</v>
      </c>
      <c r="D173" s="145"/>
      <c r="E173" s="145"/>
      <c r="F173" s="145"/>
      <c r="G173" s="145" t="s">
        <v>169</v>
      </c>
      <c r="H173" s="146" t="s">
        <v>170</v>
      </c>
      <c r="I173" s="145" t="s">
        <v>59</v>
      </c>
      <c r="J173" s="145" t="s">
        <v>185</v>
      </c>
      <c r="K173" s="147" t="str">
        <f>IF(I173="Rack","No of Racks",(IF(I173="Space","Sq Ft","U Space")))</f>
        <v>Sq Ft</v>
      </c>
      <c r="L173" s="145">
        <v>1320</v>
      </c>
      <c r="M173" s="145">
        <v>1320</v>
      </c>
      <c r="N173" s="148">
        <f t="shared" ref="N173:N180" si="251">L173-M173</f>
        <v>0</v>
      </c>
      <c r="O173" s="145">
        <v>1320</v>
      </c>
      <c r="P173" s="145"/>
      <c r="Q173" s="149">
        <f t="shared" ref="Q173" si="252">(0)/12</f>
        <v>0</v>
      </c>
      <c r="R173" s="150" t="str">
        <f t="shared" ref="R173:R180" si="253">G173</f>
        <v>Subscribed</v>
      </c>
      <c r="S173" s="145" t="s">
        <v>123</v>
      </c>
      <c r="T173" s="146">
        <v>392</v>
      </c>
      <c r="U173" s="327">
        <f t="shared" ref="U173:U178" si="254">Z173</f>
        <v>161.38244047619048</v>
      </c>
      <c r="V173" s="232">
        <f t="shared" ref="V173:V196" si="255">T173-U173</f>
        <v>230.61755952380952</v>
      </c>
      <c r="W173" s="146"/>
      <c r="X173" s="146" t="s">
        <v>484</v>
      </c>
      <c r="Y173" s="146">
        <f>IF(R173="Rated",T173*#REF!,T173)</f>
        <v>392</v>
      </c>
      <c r="Z173" s="231">
        <f>AG173/28/24</f>
        <v>161.38244047619048</v>
      </c>
      <c r="AA173" s="146">
        <f t="shared" ref="AA173:AA196" si="256">IF((V173*-1)&gt;0, (V173*-1), 0)</f>
        <v>0</v>
      </c>
      <c r="AB173" s="152">
        <f>0/12</f>
        <v>0</v>
      </c>
      <c r="AC173" s="153" t="str">
        <f t="shared" ref="AC173:AC180" si="257">H173</f>
        <v>Metered</v>
      </c>
      <c r="AD173" s="146" t="s">
        <v>481</v>
      </c>
      <c r="AE173" s="146" t="s">
        <v>333</v>
      </c>
      <c r="AF173" s="154">
        <v>0</v>
      </c>
      <c r="AG173" s="146">
        <v>108449</v>
      </c>
      <c r="AH173" s="155"/>
      <c r="AI173" s="156"/>
      <c r="AJ173" s="146"/>
      <c r="AK173" s="146"/>
      <c r="AL173" s="146"/>
      <c r="AM173" s="146"/>
      <c r="AN173" s="146"/>
      <c r="AO173" s="149"/>
      <c r="AP173" s="157">
        <f t="shared" ref="AP173:AP180" si="258">Q173*O173</f>
        <v>0</v>
      </c>
      <c r="AQ173" s="157">
        <f t="shared" ref="AQ173:AQ180" si="259">AB173*AA173</f>
        <v>0</v>
      </c>
      <c r="AR173" s="158" t="e">
        <f t="shared" ref="AR173:AR180" si="260">AG173*AF173*AD173</f>
        <v>#VALUE!</v>
      </c>
      <c r="AS173" s="157">
        <f t="shared" ref="AS173:AS180" si="261">AO173*AM173</f>
        <v>0</v>
      </c>
      <c r="AT173" s="159"/>
      <c r="AU173" s="160" t="e">
        <f t="shared" ref="AU173:AU180" si="262">SUBTOTAL(9,AP173:AT173)</f>
        <v>#VALUE!</v>
      </c>
      <c r="AV173" s="160"/>
      <c r="AW173" s="161"/>
      <c r="AX173" s="318"/>
      <c r="AY173" s="319"/>
      <c r="AZ173" s="318"/>
      <c r="BA173" s="320"/>
      <c r="BC173" s="165" t="e">
        <f t="shared" ref="BC173:BC180" si="263">IF(I173="Rack",AU173/L173,0)+IF(I173="U Space",AU173*40/L173,0)+IF(I173="Space",AU173*30/L173,0)</f>
        <v>#VALUE!</v>
      </c>
      <c r="BD173" s="165" t="e">
        <f t="shared" ref="BD173:BD180" si="264">+AU173/Y173</f>
        <v>#VALUE!</v>
      </c>
      <c r="BE173" s="165" t="e">
        <f t="shared" ref="BE173:BF180" si="265">+($AP173+$AQ173+$AR173-BL173)/$Y173</f>
        <v>#VALUE!</v>
      </c>
      <c r="BF173" s="165" t="e">
        <f t="shared" si="265"/>
        <v>#VALUE!</v>
      </c>
      <c r="BG173" s="165" t="e">
        <f t="shared" ref="BG173:BG180" si="266">+($AP173+$AQ173+IF(H173="Bundled",0,Y173*0.85*AD173*AF173*30.5*24)-BN173)/$Y173</f>
        <v>#VALUE!</v>
      </c>
      <c r="BH173" s="165"/>
      <c r="BI173" s="166" t="e">
        <f t="shared" ref="BI173:BI180" si="267">+AP173+AQ173+AR173</f>
        <v>#VALUE!</v>
      </c>
      <c r="BJ173" s="166" t="e">
        <f t="shared" ref="BJ173:BJ180" si="268">+BI173-BK173</f>
        <v>#VALUE!</v>
      </c>
      <c r="BK173" s="166" t="e">
        <f>IF(H173="Bundled",MIN(Y173*#REF!*(1+#REF!),BI173),AR173)</f>
        <v>#VALUE!</v>
      </c>
      <c r="BL173" s="167" t="e">
        <f>IF($AG173&gt;0,$AG173*#REF!*#REF!*(1+#REF!*(20/#REF!)/732),#REF!*Z173)</f>
        <v>#REF!</v>
      </c>
      <c r="BM173" s="167" t="e">
        <f>IF($AG173&gt;0,$AG173*#REF!*#REF!*(1+#REF!*(20/#REF!)/732),+#REF!*(Z173+X173))</f>
        <v>#REF!</v>
      </c>
      <c r="BN173" s="167" t="e">
        <f>IF(H173="Bundled",#REF!*Y173,#REF!*Y173*0.85)</f>
        <v>#REF!</v>
      </c>
      <c r="BO173" s="167" t="e">
        <f t="shared" ref="BO173:BO180" si="269">+BE173*Y173</f>
        <v>#VALUE!</v>
      </c>
      <c r="BP173" s="167" t="e">
        <f>+#REF!*Y173</f>
        <v>#REF!</v>
      </c>
      <c r="BQ173" s="167" t="e">
        <f t="shared" ref="BQ173:BQ180" si="270">+BJ173-BP173</f>
        <v>#VALUE!</v>
      </c>
      <c r="BR173" s="167" t="e">
        <f t="shared" ref="BR173:BR180" si="271">+BK173-BL173</f>
        <v>#VALUE!</v>
      </c>
      <c r="BS173" s="167" t="e">
        <f t="shared" ref="BS173:BS180" si="272">+BQ173+BR173</f>
        <v>#VALUE!</v>
      </c>
      <c r="BT173" s="167">
        <f t="shared" ref="BT173:BT180" si="273">+Y173</f>
        <v>392</v>
      </c>
      <c r="BU173" s="167" t="e">
        <f t="shared" ref="BU173:BU180" si="274">+BE173</f>
        <v>#VALUE!</v>
      </c>
      <c r="BV173" s="167" t="e">
        <f t="shared" ref="BV173:BV180" si="275">IF(H173="Bundled",BN173-BL173,AR173-BL173)</f>
        <v>#VALUE!</v>
      </c>
      <c r="BW173" s="167" t="e">
        <f>IF(H173="Bundled",+(BG173-#REF!)*Y173,(AP173+AQ173)-Y173*#REF!)</f>
        <v>#REF!</v>
      </c>
      <c r="BX173" s="167" t="e">
        <f t="shared" ref="BX173:BX180" si="276">+BV173+BW173</f>
        <v>#VALUE!</v>
      </c>
      <c r="BY173" s="167" t="e">
        <f t="shared" ref="BY173:CA180" si="277">+BV173/$BT173</f>
        <v>#VALUE!</v>
      </c>
      <c r="BZ173" s="167" t="e">
        <f t="shared" si="277"/>
        <v>#REF!</v>
      </c>
      <c r="CA173" s="167" t="e">
        <f t="shared" si="277"/>
        <v>#VALUE!</v>
      </c>
    </row>
    <row r="174" spans="1:79" s="16" customFormat="1">
      <c r="A174" s="142" t="s">
        <v>49</v>
      </c>
      <c r="B174" s="143" t="s">
        <v>485</v>
      </c>
      <c r="C174" s="481" t="s">
        <v>486</v>
      </c>
      <c r="D174" s="196" t="s">
        <v>239</v>
      </c>
      <c r="E174" s="196"/>
      <c r="F174" s="196"/>
      <c r="G174" s="145" t="s">
        <v>169</v>
      </c>
      <c r="H174" s="146" t="s">
        <v>131</v>
      </c>
      <c r="I174" s="145" t="s">
        <v>59</v>
      </c>
      <c r="J174" s="145" t="s">
        <v>185</v>
      </c>
      <c r="K174" s="147" t="s">
        <v>252</v>
      </c>
      <c r="L174" s="145">
        <v>128</v>
      </c>
      <c r="M174" s="145">
        <v>128</v>
      </c>
      <c r="N174" s="148">
        <f t="shared" si="251"/>
        <v>0</v>
      </c>
      <c r="O174" s="145">
        <v>6</v>
      </c>
      <c r="P174" s="145"/>
      <c r="Q174" s="331">
        <v>1250</v>
      </c>
      <c r="R174" s="150" t="str">
        <f t="shared" si="253"/>
        <v>Subscribed</v>
      </c>
      <c r="S174" s="145" t="s">
        <v>123</v>
      </c>
      <c r="T174" s="146">
        <v>30</v>
      </c>
      <c r="U174" s="327">
        <f t="shared" si="254"/>
        <v>9.3958630952380968</v>
      </c>
      <c r="V174" s="232">
        <f t="shared" si="255"/>
        <v>20.604136904761901</v>
      </c>
      <c r="W174" s="146"/>
      <c r="X174" s="146">
        <f>IF(V174&lt;=0,0,(IF(R174="Rated",(V174+W174)*#REF!,(V174+W174))))</f>
        <v>20.604136904761901</v>
      </c>
      <c r="Y174" s="146">
        <f>IF(R174="Rated",T174*#REF!,T174)</f>
        <v>30</v>
      </c>
      <c r="Z174" s="231">
        <f t="shared" ref="Z174:Z178" si="278">AG174/28/24</f>
        <v>9.3958630952380968</v>
      </c>
      <c r="AA174" s="146">
        <f t="shared" si="256"/>
        <v>0</v>
      </c>
      <c r="AB174" s="482">
        <f>0/12</f>
        <v>0</v>
      </c>
      <c r="AC174" s="153" t="str">
        <f t="shared" si="257"/>
        <v>Bundled</v>
      </c>
      <c r="AD174" s="146">
        <v>1</v>
      </c>
      <c r="AE174" s="146" t="s">
        <v>171</v>
      </c>
      <c r="AF174" s="154">
        <v>0</v>
      </c>
      <c r="AG174" s="146">
        <v>6314.02</v>
      </c>
      <c r="AH174" s="155"/>
      <c r="AI174" s="156" t="str">
        <f>IF(AH174="No of Seats","No of Seats",(IF(AH174="Space","Sq Ft","")))</f>
        <v/>
      </c>
      <c r="AJ174" s="146"/>
      <c r="AK174" s="146"/>
      <c r="AL174" s="146">
        <f t="shared" ref="AL174:AL180" si="279">AJ174-AK174</f>
        <v>0</v>
      </c>
      <c r="AM174" s="146"/>
      <c r="AN174" s="146"/>
      <c r="AO174" s="149"/>
      <c r="AP174" s="331">
        <f t="shared" si="258"/>
        <v>7500</v>
      </c>
      <c r="AQ174" s="331">
        <f t="shared" si="259"/>
        <v>0</v>
      </c>
      <c r="AR174" s="331">
        <f t="shared" si="260"/>
        <v>0</v>
      </c>
      <c r="AS174" s="331">
        <f t="shared" si="261"/>
        <v>0</v>
      </c>
      <c r="AT174" s="331"/>
      <c r="AU174" s="332">
        <f t="shared" si="262"/>
        <v>7500</v>
      </c>
      <c r="AV174" s="160"/>
      <c r="AW174" s="161"/>
      <c r="AX174" s="162"/>
      <c r="AY174" s="163"/>
      <c r="AZ174" s="162"/>
      <c r="BA174" s="164"/>
      <c r="BB174" s="5"/>
      <c r="BC174" s="165">
        <f t="shared" si="263"/>
        <v>1757.8125</v>
      </c>
      <c r="BD174" s="165">
        <f t="shared" si="264"/>
        <v>250</v>
      </c>
      <c r="BE174" s="165" t="e">
        <f t="shared" si="265"/>
        <v>#REF!</v>
      </c>
      <c r="BF174" s="165" t="e">
        <f t="shared" si="265"/>
        <v>#REF!</v>
      </c>
      <c r="BG174" s="165" t="e">
        <f t="shared" si="266"/>
        <v>#REF!</v>
      </c>
      <c r="BH174" s="165"/>
      <c r="BI174" s="166">
        <f t="shared" si="267"/>
        <v>7500</v>
      </c>
      <c r="BJ174" s="166" t="e">
        <f t="shared" si="268"/>
        <v>#REF!</v>
      </c>
      <c r="BK174" s="166" t="e">
        <f>IF(H174="Bundled",MIN(Y174*#REF!*(1+#REF!),BI174),AR174)</f>
        <v>#REF!</v>
      </c>
      <c r="BL174" s="167" t="e">
        <f>IF($AG174&gt;0,$AG174*#REF!*#REF!*(1+#REF!*(20/#REF!)/732),#REF!*Z174)</f>
        <v>#REF!</v>
      </c>
      <c r="BM174" s="167" t="e">
        <f>IF($AG174&gt;0,$AG174*#REF!*#REF!*(1+#REF!*(20/#REF!)/732),+#REF!*(Z174+X174))</f>
        <v>#REF!</v>
      </c>
      <c r="BN174" s="167" t="e">
        <f>IF(H174="Bundled",#REF!*Y174,#REF!*Y174*0.85)</f>
        <v>#REF!</v>
      </c>
      <c r="BO174" s="167" t="e">
        <f t="shared" si="269"/>
        <v>#REF!</v>
      </c>
      <c r="BP174" s="167" t="e">
        <f>+#REF!*Y174</f>
        <v>#REF!</v>
      </c>
      <c r="BQ174" s="167" t="e">
        <f t="shared" si="270"/>
        <v>#REF!</v>
      </c>
      <c r="BR174" s="167" t="e">
        <f t="shared" si="271"/>
        <v>#REF!</v>
      </c>
      <c r="BS174" s="167" t="e">
        <f t="shared" si="272"/>
        <v>#REF!</v>
      </c>
      <c r="BT174" s="167">
        <f t="shared" si="273"/>
        <v>30</v>
      </c>
      <c r="BU174" s="167" t="e">
        <f t="shared" si="274"/>
        <v>#REF!</v>
      </c>
      <c r="BV174" s="167" t="e">
        <f t="shared" si="275"/>
        <v>#REF!</v>
      </c>
      <c r="BW174" s="167" t="e">
        <f>IF(H174="Bundled",+(BG174-#REF!)*Y174,(AP174+AQ174)-Y174*#REF!)</f>
        <v>#REF!</v>
      </c>
      <c r="BX174" s="167" t="e">
        <f t="shared" si="276"/>
        <v>#REF!</v>
      </c>
      <c r="BY174" s="167" t="e">
        <f t="shared" si="277"/>
        <v>#REF!</v>
      </c>
      <c r="BZ174" s="167" t="e">
        <f t="shared" si="277"/>
        <v>#REF!</v>
      </c>
      <c r="CA174" s="167" t="e">
        <f t="shared" si="277"/>
        <v>#REF!</v>
      </c>
    </row>
    <row r="175" spans="1:79" s="16" customFormat="1" ht="26.1">
      <c r="A175" s="142" t="s">
        <v>49</v>
      </c>
      <c r="B175" s="143" t="s">
        <v>487</v>
      </c>
      <c r="C175" s="196" t="s">
        <v>401</v>
      </c>
      <c r="D175" s="196" t="s">
        <v>235</v>
      </c>
      <c r="E175" s="196"/>
      <c r="F175" s="196"/>
      <c r="G175" s="145" t="s">
        <v>169</v>
      </c>
      <c r="H175" s="146" t="s">
        <v>170</v>
      </c>
      <c r="I175" s="145" t="s">
        <v>132</v>
      </c>
      <c r="J175" s="145" t="s">
        <v>133</v>
      </c>
      <c r="K175" s="147" t="str">
        <f t="shared" ref="K175:K181" si="280">IF(I175="Rack","No of Racks",(IF(I175="Space","Sq Ft","U Space")))</f>
        <v>No of Racks</v>
      </c>
      <c r="L175" s="145">
        <v>5</v>
      </c>
      <c r="M175" s="200">
        <v>5</v>
      </c>
      <c r="N175" s="323">
        <f t="shared" si="251"/>
        <v>0</v>
      </c>
      <c r="O175" s="200">
        <v>5</v>
      </c>
      <c r="P175" s="200"/>
      <c r="Q175" s="324">
        <f>65945</f>
        <v>65945</v>
      </c>
      <c r="R175" s="150" t="str">
        <f t="shared" si="253"/>
        <v>Subscribed</v>
      </c>
      <c r="S175" s="145" t="s">
        <v>123</v>
      </c>
      <c r="T175" s="146">
        <v>43</v>
      </c>
      <c r="U175" s="327">
        <f t="shared" si="254"/>
        <v>31.613392857142859</v>
      </c>
      <c r="V175" s="232">
        <f t="shared" si="255"/>
        <v>11.386607142857141</v>
      </c>
      <c r="W175" s="146"/>
      <c r="X175" s="146">
        <f>IF(V175&lt;=0,0,(IF(R175="Rated",(V175+W175)*#REF!,(V175+W175))))</f>
        <v>11.386607142857141</v>
      </c>
      <c r="Y175" s="146">
        <f>IF(R175="Rated",T175*#REF!,T175)</f>
        <v>43</v>
      </c>
      <c r="Z175" s="231">
        <f t="shared" si="278"/>
        <v>31.613392857142859</v>
      </c>
      <c r="AA175" s="146">
        <f t="shared" si="256"/>
        <v>0</v>
      </c>
      <c r="AB175" s="152">
        <f>0/12</f>
        <v>0</v>
      </c>
      <c r="AC175" s="153" t="str">
        <f t="shared" si="257"/>
        <v>Metered</v>
      </c>
      <c r="AD175" s="146">
        <v>1</v>
      </c>
      <c r="AE175" s="146" t="s">
        <v>171</v>
      </c>
      <c r="AF175" s="154">
        <v>0</v>
      </c>
      <c r="AG175" s="351">
        <v>21244.2</v>
      </c>
      <c r="AH175" s="155"/>
      <c r="AI175" s="156" t="str">
        <f>IF(AH175="No of Seats","No of Seats",(IF(AH175="Space","Sq Ft","")))</f>
        <v/>
      </c>
      <c r="AJ175" s="146"/>
      <c r="AK175" s="146"/>
      <c r="AL175" s="146">
        <f t="shared" si="279"/>
        <v>0</v>
      </c>
      <c r="AM175" s="146"/>
      <c r="AN175" s="146"/>
      <c r="AO175" s="149"/>
      <c r="AP175" s="157">
        <f t="shared" si="258"/>
        <v>329725</v>
      </c>
      <c r="AQ175" s="157">
        <f t="shared" si="259"/>
        <v>0</v>
      </c>
      <c r="AR175" s="158">
        <f t="shared" si="260"/>
        <v>0</v>
      </c>
      <c r="AS175" s="157">
        <f t="shared" si="261"/>
        <v>0</v>
      </c>
      <c r="AT175" s="159"/>
      <c r="AU175" s="160">
        <f t="shared" si="262"/>
        <v>329725</v>
      </c>
      <c r="AV175" s="160"/>
      <c r="AW175" s="161"/>
      <c r="AX175" s="318"/>
      <c r="AY175" s="319"/>
      <c r="AZ175" s="318"/>
      <c r="BA175" s="320"/>
      <c r="BC175" s="165">
        <f t="shared" si="263"/>
        <v>65945</v>
      </c>
      <c r="BD175" s="165">
        <f t="shared" si="264"/>
        <v>7668.0232558139533</v>
      </c>
      <c r="BE175" s="165" t="e">
        <f t="shared" si="265"/>
        <v>#REF!</v>
      </c>
      <c r="BF175" s="165" t="e">
        <f t="shared" si="265"/>
        <v>#REF!</v>
      </c>
      <c r="BG175" s="165" t="e">
        <f t="shared" si="266"/>
        <v>#REF!</v>
      </c>
      <c r="BH175" s="165"/>
      <c r="BI175" s="166">
        <f t="shared" si="267"/>
        <v>329725</v>
      </c>
      <c r="BJ175" s="166">
        <f t="shared" si="268"/>
        <v>329725</v>
      </c>
      <c r="BK175" s="166">
        <f>IF(H175="Bundled",MIN(Y175*#REF!*(1+#REF!),BI175),AR175)</f>
        <v>0</v>
      </c>
      <c r="BL175" s="167" t="e">
        <f>IF($AG175&gt;0,$AG175*#REF!*#REF!*(1+#REF!*(20/#REF!)/732),#REF!*Z175)</f>
        <v>#REF!</v>
      </c>
      <c r="BM175" s="167" t="e">
        <f>IF($AG175&gt;0,$AG175*#REF!*#REF!*(1+#REF!*(20/#REF!)/732),+#REF!*(Z175+X175))</f>
        <v>#REF!</v>
      </c>
      <c r="BN175" s="167" t="e">
        <f>IF(H175="Bundled",#REF!*Y175,#REF!*Y175*0.85)</f>
        <v>#REF!</v>
      </c>
      <c r="BO175" s="167" t="e">
        <f t="shared" si="269"/>
        <v>#REF!</v>
      </c>
      <c r="BP175" s="167" t="e">
        <f>+#REF!*Y175</f>
        <v>#REF!</v>
      </c>
      <c r="BQ175" s="167" t="e">
        <f t="shared" si="270"/>
        <v>#REF!</v>
      </c>
      <c r="BR175" s="167" t="e">
        <f t="shared" si="271"/>
        <v>#REF!</v>
      </c>
      <c r="BS175" s="167" t="e">
        <f t="shared" si="272"/>
        <v>#REF!</v>
      </c>
      <c r="BT175" s="167">
        <f t="shared" si="273"/>
        <v>43</v>
      </c>
      <c r="BU175" s="167" t="e">
        <f t="shared" si="274"/>
        <v>#REF!</v>
      </c>
      <c r="BV175" s="167" t="e">
        <f t="shared" si="275"/>
        <v>#REF!</v>
      </c>
      <c r="BW175" s="167" t="e">
        <f>IF(H175="Bundled",+(BG175-#REF!)*Y175,(AP175+AQ175)-Y175*#REF!)</f>
        <v>#REF!</v>
      </c>
      <c r="BX175" s="167" t="e">
        <f t="shared" si="276"/>
        <v>#REF!</v>
      </c>
      <c r="BY175" s="167" t="e">
        <f t="shared" si="277"/>
        <v>#REF!</v>
      </c>
      <c r="BZ175" s="167" t="e">
        <f t="shared" si="277"/>
        <v>#REF!</v>
      </c>
      <c r="CA175" s="167" t="e">
        <f t="shared" si="277"/>
        <v>#REF!</v>
      </c>
    </row>
    <row r="176" spans="1:79" s="16" customFormat="1" ht="26.1">
      <c r="A176" s="483" t="s">
        <v>49</v>
      </c>
      <c r="B176" s="484" t="s">
        <v>488</v>
      </c>
      <c r="C176" s="196" t="s">
        <v>401</v>
      </c>
      <c r="D176" s="196" t="s">
        <v>235</v>
      </c>
      <c r="E176" s="196"/>
      <c r="F176" s="196"/>
      <c r="G176" s="145" t="s">
        <v>169</v>
      </c>
      <c r="H176" s="146" t="s">
        <v>170</v>
      </c>
      <c r="I176" s="145" t="s">
        <v>132</v>
      </c>
      <c r="J176" s="145" t="s">
        <v>133</v>
      </c>
      <c r="K176" s="147" t="str">
        <f t="shared" si="280"/>
        <v>No of Racks</v>
      </c>
      <c r="L176" s="145">
        <v>5</v>
      </c>
      <c r="M176" s="200">
        <v>5</v>
      </c>
      <c r="N176" s="323">
        <f t="shared" si="251"/>
        <v>0</v>
      </c>
      <c r="O176" s="200">
        <v>5</v>
      </c>
      <c r="P176" s="200"/>
      <c r="Q176" s="324">
        <f>65945</f>
        <v>65945</v>
      </c>
      <c r="R176" s="150" t="str">
        <f t="shared" si="253"/>
        <v>Subscribed</v>
      </c>
      <c r="S176" s="145" t="s">
        <v>123</v>
      </c>
      <c r="T176" s="146">
        <v>43</v>
      </c>
      <c r="U176" s="327">
        <f t="shared" si="254"/>
        <v>29.675297619047615</v>
      </c>
      <c r="V176" s="232">
        <f t="shared" si="255"/>
        <v>13.324702380952385</v>
      </c>
      <c r="W176" s="146"/>
      <c r="X176" s="146">
        <f>IF(V176&lt;=0,0,(IF(R176="Rated",(V176+W176)*#REF!,(V176+W176))))</f>
        <v>13.324702380952385</v>
      </c>
      <c r="Y176" s="146">
        <f>IF(R176="Rated",T176*#REF!,T176)</f>
        <v>43</v>
      </c>
      <c r="Z176" s="231">
        <f t="shared" si="278"/>
        <v>29.675297619047615</v>
      </c>
      <c r="AA176" s="146">
        <f t="shared" si="256"/>
        <v>0</v>
      </c>
      <c r="AB176" s="152">
        <f>0/12</f>
        <v>0</v>
      </c>
      <c r="AC176" s="153" t="str">
        <f t="shared" si="257"/>
        <v>Metered</v>
      </c>
      <c r="AD176" s="146">
        <v>1</v>
      </c>
      <c r="AE176" s="146" t="s">
        <v>171</v>
      </c>
      <c r="AF176" s="154">
        <v>0</v>
      </c>
      <c r="AG176" s="351">
        <v>19941.8</v>
      </c>
      <c r="AH176" s="155"/>
      <c r="AI176" s="156" t="str">
        <f>IF(AH176="No of Seats","No of Seats",(IF(AH176="Space","Sq Ft","")))</f>
        <v/>
      </c>
      <c r="AJ176" s="146"/>
      <c r="AK176" s="146"/>
      <c r="AL176" s="146">
        <f t="shared" si="279"/>
        <v>0</v>
      </c>
      <c r="AM176" s="146"/>
      <c r="AN176" s="146"/>
      <c r="AO176" s="149"/>
      <c r="AP176" s="157">
        <f t="shared" si="258"/>
        <v>329725</v>
      </c>
      <c r="AQ176" s="157">
        <f t="shared" si="259"/>
        <v>0</v>
      </c>
      <c r="AR176" s="158">
        <f t="shared" si="260"/>
        <v>0</v>
      </c>
      <c r="AS176" s="157">
        <f t="shared" si="261"/>
        <v>0</v>
      </c>
      <c r="AT176" s="159"/>
      <c r="AU176" s="160">
        <f t="shared" si="262"/>
        <v>329725</v>
      </c>
      <c r="AV176" s="160"/>
      <c r="AW176" s="161"/>
      <c r="AX176" s="318"/>
      <c r="AY176" s="319"/>
      <c r="AZ176" s="318"/>
      <c r="BA176" s="320"/>
      <c r="BC176" s="165">
        <f t="shared" si="263"/>
        <v>65945</v>
      </c>
      <c r="BD176" s="165">
        <f t="shared" si="264"/>
        <v>7668.0232558139533</v>
      </c>
      <c r="BE176" s="165" t="e">
        <f t="shared" si="265"/>
        <v>#REF!</v>
      </c>
      <c r="BF176" s="165" t="e">
        <f t="shared" si="265"/>
        <v>#REF!</v>
      </c>
      <c r="BG176" s="165" t="e">
        <f t="shared" si="266"/>
        <v>#REF!</v>
      </c>
      <c r="BH176" s="165"/>
      <c r="BI176" s="166">
        <f t="shared" si="267"/>
        <v>329725</v>
      </c>
      <c r="BJ176" s="166">
        <f t="shared" si="268"/>
        <v>329725</v>
      </c>
      <c r="BK176" s="166">
        <f>IF(H176="Bundled",MIN(Y176*#REF!*(1+#REF!),BI176),AR176)</f>
        <v>0</v>
      </c>
      <c r="BL176" s="167" t="e">
        <f>IF($AG176&gt;0,$AG176*#REF!*#REF!*(1+#REF!*(20/#REF!)/732),#REF!*Z176)</f>
        <v>#REF!</v>
      </c>
      <c r="BM176" s="167" t="e">
        <f>IF($AG176&gt;0,$AG176*#REF!*#REF!*(1+#REF!*(20/#REF!)/732),+#REF!*(Z176+X176))</f>
        <v>#REF!</v>
      </c>
      <c r="BN176" s="167" t="e">
        <f>IF(H176="Bundled",#REF!*Y176,#REF!*Y176*0.85)</f>
        <v>#REF!</v>
      </c>
      <c r="BO176" s="167" t="e">
        <f t="shared" si="269"/>
        <v>#REF!</v>
      </c>
      <c r="BP176" s="167" t="e">
        <f>+#REF!*Y176</f>
        <v>#REF!</v>
      </c>
      <c r="BQ176" s="167" t="e">
        <f t="shared" si="270"/>
        <v>#REF!</v>
      </c>
      <c r="BR176" s="167" t="e">
        <f t="shared" si="271"/>
        <v>#REF!</v>
      </c>
      <c r="BS176" s="167" t="e">
        <f t="shared" si="272"/>
        <v>#REF!</v>
      </c>
      <c r="BT176" s="167">
        <f t="shared" si="273"/>
        <v>43</v>
      </c>
      <c r="BU176" s="167" t="e">
        <f t="shared" si="274"/>
        <v>#REF!</v>
      </c>
      <c r="BV176" s="167" t="e">
        <f t="shared" si="275"/>
        <v>#REF!</v>
      </c>
      <c r="BW176" s="167" t="e">
        <f>IF(H176="Bundled",+(BG176-#REF!)*Y176,(AP176+AQ176)-Y176*#REF!)</f>
        <v>#REF!</v>
      </c>
      <c r="BX176" s="167" t="e">
        <f t="shared" si="276"/>
        <v>#REF!</v>
      </c>
      <c r="BY176" s="167" t="e">
        <f t="shared" si="277"/>
        <v>#REF!</v>
      </c>
      <c r="BZ176" s="167" t="e">
        <f t="shared" si="277"/>
        <v>#REF!</v>
      </c>
      <c r="CA176" s="167" t="e">
        <f t="shared" si="277"/>
        <v>#REF!</v>
      </c>
    </row>
    <row r="177" spans="1:79" s="16" customFormat="1">
      <c r="A177" s="142" t="s">
        <v>49</v>
      </c>
      <c r="B177" s="143" t="s">
        <v>489</v>
      </c>
      <c r="C177" s="168" t="s">
        <v>490</v>
      </c>
      <c r="D177" s="168" t="s">
        <v>235</v>
      </c>
      <c r="E177" s="168"/>
      <c r="F177" s="168"/>
      <c r="G177" s="145" t="s">
        <v>169</v>
      </c>
      <c r="H177" s="146" t="s">
        <v>170</v>
      </c>
      <c r="I177" s="145" t="s">
        <v>132</v>
      </c>
      <c r="J177" s="145" t="s">
        <v>133</v>
      </c>
      <c r="K177" s="147" t="str">
        <f t="shared" si="280"/>
        <v>No of Racks</v>
      </c>
      <c r="L177" s="145">
        <v>1</v>
      </c>
      <c r="M177" s="200">
        <v>1</v>
      </c>
      <c r="N177" s="323">
        <f t="shared" si="251"/>
        <v>0</v>
      </c>
      <c r="O177" s="200">
        <v>1</v>
      </c>
      <c r="P177" s="200"/>
      <c r="Q177" s="324">
        <f>(340000)/12</f>
        <v>28333.333333333332</v>
      </c>
      <c r="R177" s="150" t="str">
        <f t="shared" si="253"/>
        <v>Subscribed</v>
      </c>
      <c r="S177" s="145" t="s">
        <v>123</v>
      </c>
      <c r="T177" s="146">
        <v>3</v>
      </c>
      <c r="U177" s="327">
        <f t="shared" si="254"/>
        <v>1.3232142857142859</v>
      </c>
      <c r="V177" s="232">
        <f t="shared" si="255"/>
        <v>1.6767857142857141</v>
      </c>
      <c r="W177" s="146"/>
      <c r="X177" s="146">
        <f>IF(V177&lt;=0,0,(IF(R177="Rated",(V177+W177)*#REF!,(V177+W177))))</f>
        <v>1.6767857142857141</v>
      </c>
      <c r="Y177" s="146">
        <f>IF(R177="Rated",T177*#REF!,T177)</f>
        <v>3</v>
      </c>
      <c r="Z177" s="231">
        <f t="shared" si="278"/>
        <v>1.3232142857142859</v>
      </c>
      <c r="AA177" s="146">
        <f t="shared" si="256"/>
        <v>0</v>
      </c>
      <c r="AB177" s="152">
        <f>80000/12</f>
        <v>6666.666666666667</v>
      </c>
      <c r="AC177" s="153" t="str">
        <f t="shared" si="257"/>
        <v>Metered</v>
      </c>
      <c r="AD177" s="146">
        <v>1</v>
      </c>
      <c r="AE177" s="146" t="s">
        <v>171</v>
      </c>
      <c r="AF177" s="154">
        <v>20</v>
      </c>
      <c r="AG177" s="351">
        <v>889.2</v>
      </c>
      <c r="AH177" s="155"/>
      <c r="AI177" s="156"/>
      <c r="AJ177" s="146"/>
      <c r="AK177" s="146"/>
      <c r="AL177" s="146">
        <f t="shared" si="279"/>
        <v>0</v>
      </c>
      <c r="AM177" s="146"/>
      <c r="AN177" s="146"/>
      <c r="AO177" s="149">
        <f t="shared" ref="AO177:AO188" si="281">(0)/12</f>
        <v>0</v>
      </c>
      <c r="AP177" s="157">
        <f t="shared" si="258"/>
        <v>28333.333333333332</v>
      </c>
      <c r="AQ177" s="157">
        <f t="shared" si="259"/>
        <v>0</v>
      </c>
      <c r="AR177" s="158">
        <f t="shared" si="260"/>
        <v>17784</v>
      </c>
      <c r="AS177" s="157">
        <f t="shared" si="261"/>
        <v>0</v>
      </c>
      <c r="AT177" s="159">
        <f>0/12</f>
        <v>0</v>
      </c>
      <c r="AU177" s="160">
        <f t="shared" si="262"/>
        <v>46117.333333333328</v>
      </c>
      <c r="AV177" s="160"/>
      <c r="AW177" s="161"/>
      <c r="AX177" s="162"/>
      <c r="AY177" s="163"/>
      <c r="AZ177" s="162"/>
      <c r="BA177" s="164"/>
      <c r="BB177" s="5"/>
      <c r="BC177" s="165">
        <f t="shared" si="263"/>
        <v>46117.333333333328</v>
      </c>
      <c r="BD177" s="165">
        <f t="shared" si="264"/>
        <v>15372.444444444443</v>
      </c>
      <c r="BE177" s="165" t="e">
        <f t="shared" si="265"/>
        <v>#REF!</v>
      </c>
      <c r="BF177" s="165" t="e">
        <f t="shared" si="265"/>
        <v>#REF!</v>
      </c>
      <c r="BG177" s="165" t="e">
        <f t="shared" si="266"/>
        <v>#REF!</v>
      </c>
      <c r="BH177" s="165"/>
      <c r="BI177" s="166">
        <f t="shared" si="267"/>
        <v>46117.333333333328</v>
      </c>
      <c r="BJ177" s="166">
        <f t="shared" si="268"/>
        <v>28333.333333333328</v>
      </c>
      <c r="BK177" s="166">
        <f>IF(H177="Bundled",MIN(Y177*#REF!*(1+#REF!),BI177),AR177)</f>
        <v>17784</v>
      </c>
      <c r="BL177" s="167" t="e">
        <f>IF($AG177&gt;0,$AG177*#REF!*#REF!*(1+#REF!*(20/#REF!)/732),#REF!*Z177)</f>
        <v>#REF!</v>
      </c>
      <c r="BM177" s="167" t="e">
        <f>IF($AG177&gt;0,$AG177*#REF!*#REF!*(1+#REF!*(20/#REF!)/732),+#REF!*(Z177+X177))</f>
        <v>#REF!</v>
      </c>
      <c r="BN177" s="167" t="e">
        <f>IF(H177="Bundled",#REF!*Y177,#REF!*Y177*0.85)</f>
        <v>#REF!</v>
      </c>
      <c r="BO177" s="167" t="e">
        <f t="shared" si="269"/>
        <v>#REF!</v>
      </c>
      <c r="BP177" s="167" t="e">
        <f>+#REF!*Y177</f>
        <v>#REF!</v>
      </c>
      <c r="BQ177" s="167" t="e">
        <f t="shared" si="270"/>
        <v>#REF!</v>
      </c>
      <c r="BR177" s="167" t="e">
        <f t="shared" si="271"/>
        <v>#REF!</v>
      </c>
      <c r="BS177" s="167" t="e">
        <f t="shared" si="272"/>
        <v>#REF!</v>
      </c>
      <c r="BT177" s="167">
        <f t="shared" si="273"/>
        <v>3</v>
      </c>
      <c r="BU177" s="167" t="e">
        <f t="shared" si="274"/>
        <v>#REF!</v>
      </c>
      <c r="BV177" s="167" t="e">
        <f t="shared" si="275"/>
        <v>#REF!</v>
      </c>
      <c r="BW177" s="167" t="e">
        <f>IF(H177="Bundled",+(BG177-#REF!)*Y177,(AP177+AQ177)-Y177*#REF!)</f>
        <v>#REF!</v>
      </c>
      <c r="BX177" s="167" t="e">
        <f t="shared" si="276"/>
        <v>#REF!</v>
      </c>
      <c r="BY177" s="167" t="e">
        <f t="shared" si="277"/>
        <v>#REF!</v>
      </c>
      <c r="BZ177" s="167" t="e">
        <f t="shared" si="277"/>
        <v>#REF!</v>
      </c>
      <c r="CA177" s="167" t="e">
        <f t="shared" si="277"/>
        <v>#REF!</v>
      </c>
    </row>
    <row r="178" spans="1:79" s="16" customFormat="1">
      <c r="A178" s="142" t="s">
        <v>49</v>
      </c>
      <c r="B178" s="143" t="s">
        <v>491</v>
      </c>
      <c r="C178" s="198" t="s">
        <v>492</v>
      </c>
      <c r="D178" s="198" t="s">
        <v>239</v>
      </c>
      <c r="E178" s="198"/>
      <c r="F178" s="198"/>
      <c r="G178" s="145" t="s">
        <v>169</v>
      </c>
      <c r="H178" s="146" t="s">
        <v>170</v>
      </c>
      <c r="I178" s="145" t="s">
        <v>132</v>
      </c>
      <c r="J178" s="145" t="s">
        <v>133</v>
      </c>
      <c r="K178" s="147" t="str">
        <f t="shared" si="280"/>
        <v>No of Racks</v>
      </c>
      <c r="L178" s="145">
        <v>7</v>
      </c>
      <c r="M178" s="200">
        <v>7</v>
      </c>
      <c r="N178" s="323">
        <f t="shared" si="251"/>
        <v>0</v>
      </c>
      <c r="O178" s="200">
        <v>7</v>
      </c>
      <c r="P178" s="200"/>
      <c r="Q178" s="324">
        <f>(213750)/12</f>
        <v>17812.5</v>
      </c>
      <c r="R178" s="150" t="str">
        <f t="shared" si="253"/>
        <v>Subscribed</v>
      </c>
      <c r="S178" s="145" t="s">
        <v>123</v>
      </c>
      <c r="T178" s="146">
        <v>18</v>
      </c>
      <c r="U178" s="327">
        <f t="shared" si="254"/>
        <v>13.543601190476188</v>
      </c>
      <c r="V178" s="232">
        <f t="shared" si="255"/>
        <v>4.4563988095238116</v>
      </c>
      <c r="W178" s="146"/>
      <c r="X178" s="146">
        <f>IF(V178&lt;=0,0,(IF(R178="Rated",(V178+W178)*#REF!,(V178+W178))))</f>
        <v>4.4563988095238116</v>
      </c>
      <c r="Y178" s="146">
        <f>IF(R178="Rated",T178*#REF!,T178)</f>
        <v>18</v>
      </c>
      <c r="Z178" s="231">
        <f t="shared" si="278"/>
        <v>13.543601190476188</v>
      </c>
      <c r="AA178" s="146">
        <f t="shared" si="256"/>
        <v>0</v>
      </c>
      <c r="AB178" s="152">
        <f>0/12</f>
        <v>0</v>
      </c>
      <c r="AC178" s="153" t="str">
        <f t="shared" si="257"/>
        <v>Metered</v>
      </c>
      <c r="AD178" s="146">
        <v>1</v>
      </c>
      <c r="AE178" s="146" t="s">
        <v>171</v>
      </c>
      <c r="AF178" s="154">
        <v>16</v>
      </c>
      <c r="AG178" s="351">
        <v>9101.2999999999993</v>
      </c>
      <c r="AH178" s="146">
        <v>1</v>
      </c>
      <c r="AI178" s="156"/>
      <c r="AJ178" s="146">
        <v>1</v>
      </c>
      <c r="AK178" s="146"/>
      <c r="AL178" s="146">
        <f t="shared" si="279"/>
        <v>1</v>
      </c>
      <c r="AM178" s="146"/>
      <c r="AN178" s="146"/>
      <c r="AO178" s="149">
        <f t="shared" si="281"/>
        <v>0</v>
      </c>
      <c r="AP178" s="157">
        <f t="shared" si="258"/>
        <v>124687.5</v>
      </c>
      <c r="AQ178" s="157">
        <f t="shared" si="259"/>
        <v>0</v>
      </c>
      <c r="AR178" s="158">
        <f t="shared" si="260"/>
        <v>145620.79999999999</v>
      </c>
      <c r="AS178" s="157">
        <f t="shared" si="261"/>
        <v>0</v>
      </c>
      <c r="AT178" s="159">
        <f>0/12</f>
        <v>0</v>
      </c>
      <c r="AU178" s="160">
        <f t="shared" si="262"/>
        <v>270308.3</v>
      </c>
      <c r="AV178" s="160"/>
      <c r="AW178" s="161"/>
      <c r="AX178" s="162"/>
      <c r="AY178" s="163"/>
      <c r="AZ178" s="162"/>
      <c r="BA178" s="164"/>
      <c r="BB178" s="5"/>
      <c r="BC178" s="165">
        <f t="shared" si="263"/>
        <v>38615.471428571429</v>
      </c>
      <c r="BD178" s="165">
        <f t="shared" si="264"/>
        <v>15017.127777777778</v>
      </c>
      <c r="BE178" s="165" t="e">
        <f t="shared" si="265"/>
        <v>#REF!</v>
      </c>
      <c r="BF178" s="165" t="e">
        <f t="shared" si="265"/>
        <v>#REF!</v>
      </c>
      <c r="BG178" s="165" t="e">
        <f t="shared" si="266"/>
        <v>#REF!</v>
      </c>
      <c r="BH178" s="165"/>
      <c r="BI178" s="166">
        <f t="shared" si="267"/>
        <v>270308.3</v>
      </c>
      <c r="BJ178" s="166">
        <f t="shared" si="268"/>
        <v>124687.5</v>
      </c>
      <c r="BK178" s="166">
        <f>IF(H178="Bundled",MIN(Y178*#REF!*(1+#REF!),BI178),AR178)</f>
        <v>145620.79999999999</v>
      </c>
      <c r="BL178" s="167" t="e">
        <f>IF($AG178&gt;0,$AG178*#REF!*#REF!*(1+#REF!*(20/#REF!)/732),#REF!*Z178)</f>
        <v>#REF!</v>
      </c>
      <c r="BM178" s="167" t="e">
        <f>IF($AG178&gt;0,$AG178*#REF!*#REF!*(1+#REF!*(20/#REF!)/732),+#REF!*(Z178+X178))</f>
        <v>#REF!</v>
      </c>
      <c r="BN178" s="167" t="e">
        <f>IF(H178="Bundled",#REF!*Y178,#REF!*Y178*0.85)</f>
        <v>#REF!</v>
      </c>
      <c r="BO178" s="167" t="e">
        <f t="shared" si="269"/>
        <v>#REF!</v>
      </c>
      <c r="BP178" s="167" t="e">
        <f>+#REF!*Y178</f>
        <v>#REF!</v>
      </c>
      <c r="BQ178" s="167" t="e">
        <f t="shared" si="270"/>
        <v>#REF!</v>
      </c>
      <c r="BR178" s="167" t="e">
        <f t="shared" si="271"/>
        <v>#REF!</v>
      </c>
      <c r="BS178" s="167" t="e">
        <f t="shared" si="272"/>
        <v>#REF!</v>
      </c>
      <c r="BT178" s="167">
        <f t="shared" si="273"/>
        <v>18</v>
      </c>
      <c r="BU178" s="167" t="e">
        <f t="shared" si="274"/>
        <v>#REF!</v>
      </c>
      <c r="BV178" s="167" t="e">
        <f t="shared" si="275"/>
        <v>#REF!</v>
      </c>
      <c r="BW178" s="167" t="e">
        <f>IF(H178="Bundled",+(BG178-#REF!)*Y178,(AP178+AQ178)-Y178*#REF!)</f>
        <v>#REF!</v>
      </c>
      <c r="BX178" s="167" t="e">
        <f t="shared" si="276"/>
        <v>#REF!</v>
      </c>
      <c r="BY178" s="167" t="e">
        <f t="shared" si="277"/>
        <v>#REF!</v>
      </c>
      <c r="BZ178" s="167" t="e">
        <f t="shared" si="277"/>
        <v>#REF!</v>
      </c>
      <c r="CA178" s="167" t="e">
        <f t="shared" si="277"/>
        <v>#REF!</v>
      </c>
    </row>
    <row r="179" spans="1:79" s="16" customFormat="1">
      <c r="A179" s="142" t="s">
        <v>49</v>
      </c>
      <c r="B179" s="435" t="s">
        <v>493</v>
      </c>
      <c r="C179" s="199" t="s">
        <v>494</v>
      </c>
      <c r="D179" s="144" t="s">
        <v>235</v>
      </c>
      <c r="E179" s="144"/>
      <c r="F179" s="144"/>
      <c r="G179" s="145" t="s">
        <v>130</v>
      </c>
      <c r="H179" s="146" t="s">
        <v>131</v>
      </c>
      <c r="I179" s="145" t="s">
        <v>144</v>
      </c>
      <c r="J179" s="145" t="s">
        <v>133</v>
      </c>
      <c r="K179" s="147" t="str">
        <f t="shared" si="280"/>
        <v>U Space</v>
      </c>
      <c r="L179" s="145">
        <v>21</v>
      </c>
      <c r="M179" s="200">
        <v>21</v>
      </c>
      <c r="N179" s="323">
        <f t="shared" si="251"/>
        <v>0</v>
      </c>
      <c r="O179" s="200">
        <v>21</v>
      </c>
      <c r="P179" s="200"/>
      <c r="Q179" s="324">
        <f>(300000)/12/21</f>
        <v>1190.4761904761904</v>
      </c>
      <c r="R179" s="150" t="str">
        <f t="shared" si="253"/>
        <v>Rated</v>
      </c>
      <c r="S179" s="145" t="s">
        <v>134</v>
      </c>
      <c r="T179" s="146">
        <v>2</v>
      </c>
      <c r="U179" s="151">
        <v>4.13</v>
      </c>
      <c r="V179" s="232">
        <f t="shared" si="255"/>
        <v>-2.13</v>
      </c>
      <c r="W179" s="146"/>
      <c r="X179" s="146">
        <f>IF(V179&lt;=0,0,(IF(R179="Rated",(V179+W179)*#REF!,(V179+W179))))</f>
        <v>0</v>
      </c>
      <c r="Y179" s="146" t="e">
        <f>IF(R179="Rated",T179*#REF!,T179)</f>
        <v>#REF!</v>
      </c>
      <c r="Z179" s="361">
        <v>3.12</v>
      </c>
      <c r="AA179" s="146">
        <f t="shared" si="256"/>
        <v>2.13</v>
      </c>
      <c r="AB179" s="152">
        <f>100000/12</f>
        <v>8333.3333333333339</v>
      </c>
      <c r="AC179" s="153" t="str">
        <f t="shared" si="257"/>
        <v>Bundled</v>
      </c>
      <c r="AD179" s="146"/>
      <c r="AE179" s="146"/>
      <c r="AF179" s="154"/>
      <c r="AG179" s="146"/>
      <c r="AH179" s="155"/>
      <c r="AI179" s="156"/>
      <c r="AJ179" s="146"/>
      <c r="AK179" s="146"/>
      <c r="AL179" s="146">
        <f t="shared" si="279"/>
        <v>0</v>
      </c>
      <c r="AM179" s="146"/>
      <c r="AN179" s="146"/>
      <c r="AO179" s="149">
        <f t="shared" si="281"/>
        <v>0</v>
      </c>
      <c r="AP179" s="157">
        <f t="shared" si="258"/>
        <v>24999.999999999996</v>
      </c>
      <c r="AQ179" s="157">
        <f t="shared" si="259"/>
        <v>17750</v>
      </c>
      <c r="AR179" s="158">
        <f t="shared" si="260"/>
        <v>0</v>
      </c>
      <c r="AS179" s="157">
        <f t="shared" si="261"/>
        <v>0</v>
      </c>
      <c r="AT179" s="159">
        <f>0/12</f>
        <v>0</v>
      </c>
      <c r="AU179" s="160">
        <f t="shared" si="262"/>
        <v>42750</v>
      </c>
      <c r="AV179" s="160"/>
      <c r="AW179" s="161"/>
      <c r="AX179" s="162"/>
      <c r="AY179" s="163"/>
      <c r="AZ179" s="162"/>
      <c r="BA179" s="164"/>
      <c r="BB179" s="5"/>
      <c r="BC179" s="165">
        <f t="shared" si="263"/>
        <v>81428.571428571435</v>
      </c>
      <c r="BD179" s="165" t="e">
        <f t="shared" si="264"/>
        <v>#REF!</v>
      </c>
      <c r="BE179" s="165" t="e">
        <f t="shared" si="265"/>
        <v>#REF!</v>
      </c>
      <c r="BF179" s="165" t="e">
        <f t="shared" si="265"/>
        <v>#REF!</v>
      </c>
      <c r="BG179" s="165" t="e">
        <f t="shared" si="266"/>
        <v>#REF!</v>
      </c>
      <c r="BH179" s="165"/>
      <c r="BI179" s="166">
        <f t="shared" si="267"/>
        <v>42750</v>
      </c>
      <c r="BJ179" s="166" t="e">
        <f t="shared" si="268"/>
        <v>#REF!</v>
      </c>
      <c r="BK179" s="166" t="e">
        <f>IF(H179="Bundled",MIN(Y179*#REF!*(1+#REF!),BI179),AR179)</f>
        <v>#REF!</v>
      </c>
      <c r="BL179" s="167" t="e">
        <f>IF($AG179&gt;0,$AG179*#REF!*#REF!*(1+#REF!*(20/#REF!)/732),#REF!*Z179)</f>
        <v>#REF!</v>
      </c>
      <c r="BM179" s="167" t="e">
        <f>IF($AG179&gt;0,$AG179*#REF!*#REF!*(1+#REF!*(20/#REF!)/732),+#REF!*(Z179+X179))</f>
        <v>#REF!</v>
      </c>
      <c r="BN179" s="167" t="e">
        <f>IF(H179="Bundled",#REF!*Y179,#REF!*Y179*0.85)</f>
        <v>#REF!</v>
      </c>
      <c r="BO179" s="167" t="e">
        <f t="shared" si="269"/>
        <v>#REF!</v>
      </c>
      <c r="BP179" s="167" t="e">
        <f>+#REF!*Y179</f>
        <v>#REF!</v>
      </c>
      <c r="BQ179" s="167" t="e">
        <f t="shared" si="270"/>
        <v>#REF!</v>
      </c>
      <c r="BR179" s="167" t="e">
        <f t="shared" si="271"/>
        <v>#REF!</v>
      </c>
      <c r="BS179" s="167" t="e">
        <f t="shared" si="272"/>
        <v>#REF!</v>
      </c>
      <c r="BT179" s="167" t="e">
        <f t="shared" si="273"/>
        <v>#REF!</v>
      </c>
      <c r="BU179" s="167" t="e">
        <f t="shared" si="274"/>
        <v>#REF!</v>
      </c>
      <c r="BV179" s="167" t="e">
        <f t="shared" si="275"/>
        <v>#REF!</v>
      </c>
      <c r="BW179" s="167" t="e">
        <f>IF(H179="Bundled",+(BG179-#REF!)*Y179,(AP179+AQ179)-Y179*#REF!)</f>
        <v>#REF!</v>
      </c>
      <c r="BX179" s="167" t="e">
        <f t="shared" si="276"/>
        <v>#REF!</v>
      </c>
      <c r="BY179" s="167" t="e">
        <f t="shared" si="277"/>
        <v>#REF!</v>
      </c>
      <c r="BZ179" s="167" t="e">
        <f t="shared" si="277"/>
        <v>#REF!</v>
      </c>
      <c r="CA179" s="167" t="e">
        <f t="shared" si="277"/>
        <v>#REF!</v>
      </c>
    </row>
    <row r="180" spans="1:79" s="16" customFormat="1">
      <c r="A180" s="142" t="s">
        <v>49</v>
      </c>
      <c r="B180" s="435"/>
      <c r="C180" s="199" t="s">
        <v>495</v>
      </c>
      <c r="D180" s="144" t="s">
        <v>235</v>
      </c>
      <c r="E180" s="144"/>
      <c r="F180" s="144"/>
      <c r="G180" s="145" t="s">
        <v>130</v>
      </c>
      <c r="H180" s="146" t="s">
        <v>131</v>
      </c>
      <c r="I180" s="145" t="s">
        <v>144</v>
      </c>
      <c r="J180" s="145" t="s">
        <v>133</v>
      </c>
      <c r="K180" s="147" t="str">
        <f t="shared" si="280"/>
        <v>U Space</v>
      </c>
      <c r="L180" s="145">
        <v>21</v>
      </c>
      <c r="M180" s="200">
        <v>21</v>
      </c>
      <c r="N180" s="323">
        <f t="shared" si="251"/>
        <v>0</v>
      </c>
      <c r="O180" s="200">
        <v>21</v>
      </c>
      <c r="P180" s="200"/>
      <c r="Q180" s="324">
        <f>(400000)/12/21</f>
        <v>1587.3015873015875</v>
      </c>
      <c r="R180" s="150" t="str">
        <f t="shared" si="253"/>
        <v>Rated</v>
      </c>
      <c r="S180" s="145" t="s">
        <v>134</v>
      </c>
      <c r="T180" s="146">
        <v>11</v>
      </c>
      <c r="U180" s="151">
        <v>3.02</v>
      </c>
      <c r="V180" s="232">
        <f t="shared" si="255"/>
        <v>7.98</v>
      </c>
      <c r="W180" s="146"/>
      <c r="X180" s="146" t="e">
        <f>IF(V180&lt;=0,0,(IF(R180="Rated",(V180+W180)*#REF!,(V180+W180))))</f>
        <v>#REF!</v>
      </c>
      <c r="Y180" s="146" t="e">
        <f>IF(R180="Rated",T180*#REF!,T180)</f>
        <v>#REF!</v>
      </c>
      <c r="Z180" s="361"/>
      <c r="AA180" s="146">
        <f t="shared" si="256"/>
        <v>0</v>
      </c>
      <c r="AB180" s="152">
        <f>90000/12</f>
        <v>7500</v>
      </c>
      <c r="AC180" s="153" t="str">
        <f t="shared" si="257"/>
        <v>Bundled</v>
      </c>
      <c r="AD180" s="146"/>
      <c r="AE180" s="146"/>
      <c r="AF180" s="154"/>
      <c r="AG180" s="146"/>
      <c r="AH180" s="155"/>
      <c r="AI180" s="156"/>
      <c r="AJ180" s="146"/>
      <c r="AK180" s="146"/>
      <c r="AL180" s="146">
        <f t="shared" si="279"/>
        <v>0</v>
      </c>
      <c r="AM180" s="146"/>
      <c r="AN180" s="146"/>
      <c r="AO180" s="149">
        <f t="shared" si="281"/>
        <v>0</v>
      </c>
      <c r="AP180" s="157">
        <f t="shared" si="258"/>
        <v>33333.333333333336</v>
      </c>
      <c r="AQ180" s="157">
        <f t="shared" si="259"/>
        <v>0</v>
      </c>
      <c r="AR180" s="158">
        <f t="shared" si="260"/>
        <v>0</v>
      </c>
      <c r="AS180" s="157">
        <f t="shared" si="261"/>
        <v>0</v>
      </c>
      <c r="AT180" s="159">
        <f>0/12</f>
        <v>0</v>
      </c>
      <c r="AU180" s="160">
        <f t="shared" si="262"/>
        <v>33333.333333333336</v>
      </c>
      <c r="AV180" s="160"/>
      <c r="AW180" s="161"/>
      <c r="AX180" s="162"/>
      <c r="AY180" s="163"/>
      <c r="AZ180" s="162"/>
      <c r="BA180" s="164"/>
      <c r="BB180" s="5"/>
      <c r="BC180" s="165">
        <f t="shared" si="263"/>
        <v>63492.063492063498</v>
      </c>
      <c r="BD180" s="165" t="e">
        <f t="shared" si="264"/>
        <v>#REF!</v>
      </c>
      <c r="BE180" s="165" t="e">
        <f t="shared" si="265"/>
        <v>#REF!</v>
      </c>
      <c r="BF180" s="165" t="e">
        <f t="shared" si="265"/>
        <v>#REF!</v>
      </c>
      <c r="BG180" s="165" t="e">
        <f t="shared" si="266"/>
        <v>#REF!</v>
      </c>
      <c r="BH180" s="165"/>
      <c r="BI180" s="166">
        <f t="shared" si="267"/>
        <v>33333.333333333336</v>
      </c>
      <c r="BJ180" s="166" t="e">
        <f t="shared" si="268"/>
        <v>#REF!</v>
      </c>
      <c r="BK180" s="166" t="e">
        <f>IF(H180="Bundled",MIN(Y180*#REF!*(1+#REF!),BI180),AR180)</f>
        <v>#REF!</v>
      </c>
      <c r="BL180" s="167" t="e">
        <f>IF($AG180&gt;0,$AG180*#REF!*#REF!*(1+#REF!*(20/#REF!)/732),#REF!*Z180)</f>
        <v>#REF!</v>
      </c>
      <c r="BM180" s="167" t="e">
        <f>IF($AG180&gt;0,$AG180*#REF!*#REF!*(1+#REF!*(20/#REF!)/732),+#REF!*(Z180+X180))</f>
        <v>#REF!</v>
      </c>
      <c r="BN180" s="167" t="e">
        <f>IF(H180="Bundled",#REF!*Y180,#REF!*Y180*0.85)</f>
        <v>#REF!</v>
      </c>
      <c r="BO180" s="167" t="e">
        <f t="shared" si="269"/>
        <v>#REF!</v>
      </c>
      <c r="BP180" s="167" t="e">
        <f>+#REF!*Y180</f>
        <v>#REF!</v>
      </c>
      <c r="BQ180" s="167" t="e">
        <f t="shared" si="270"/>
        <v>#REF!</v>
      </c>
      <c r="BR180" s="167" t="e">
        <f t="shared" si="271"/>
        <v>#REF!</v>
      </c>
      <c r="BS180" s="167" t="e">
        <f t="shared" si="272"/>
        <v>#REF!</v>
      </c>
      <c r="BT180" s="167" t="e">
        <f t="shared" si="273"/>
        <v>#REF!</v>
      </c>
      <c r="BU180" s="167" t="e">
        <f t="shared" si="274"/>
        <v>#REF!</v>
      </c>
      <c r="BV180" s="167" t="e">
        <f t="shared" si="275"/>
        <v>#REF!</v>
      </c>
      <c r="BW180" s="167" t="e">
        <f>IF(H180="Bundled",+(BG180-#REF!)*Y180,(AP180+AQ180)-Y180*#REF!)</f>
        <v>#REF!</v>
      </c>
      <c r="BX180" s="167" t="e">
        <f t="shared" si="276"/>
        <v>#REF!</v>
      </c>
      <c r="BY180" s="167" t="e">
        <f t="shared" si="277"/>
        <v>#REF!</v>
      </c>
      <c r="BZ180" s="167" t="e">
        <f t="shared" si="277"/>
        <v>#REF!</v>
      </c>
      <c r="CA180" s="167" t="e">
        <f t="shared" si="277"/>
        <v>#REF!</v>
      </c>
    </row>
    <row r="181" spans="1:79" s="16" customFormat="1" ht="26.1" customHeight="1">
      <c r="A181" s="142" t="s">
        <v>49</v>
      </c>
      <c r="B181" s="434" t="s">
        <v>496</v>
      </c>
      <c r="C181" s="199" t="s">
        <v>497</v>
      </c>
      <c r="D181" s="144" t="s">
        <v>235</v>
      </c>
      <c r="E181" s="144"/>
      <c r="F181" s="144"/>
      <c r="G181" s="145" t="s">
        <v>130</v>
      </c>
      <c r="H181" s="146" t="s">
        <v>131</v>
      </c>
      <c r="I181" s="145" t="s">
        <v>144</v>
      </c>
      <c r="J181" s="145" t="s">
        <v>133</v>
      </c>
      <c r="K181" s="147" t="str">
        <f t="shared" si="280"/>
        <v>U Space</v>
      </c>
      <c r="L181" s="145">
        <v>5</v>
      </c>
      <c r="M181" s="200">
        <v>5</v>
      </c>
      <c r="N181" s="323">
        <v>0</v>
      </c>
      <c r="O181" s="200">
        <v>5</v>
      </c>
      <c r="P181" s="200"/>
      <c r="Q181" s="324"/>
      <c r="R181" s="150" t="s">
        <v>130</v>
      </c>
      <c r="S181" s="145" t="s">
        <v>134</v>
      </c>
      <c r="T181" s="146">
        <v>1.25</v>
      </c>
      <c r="U181" s="151">
        <v>1.49</v>
      </c>
      <c r="V181" s="232">
        <f t="shared" si="255"/>
        <v>-0.24</v>
      </c>
      <c r="W181" s="146"/>
      <c r="X181" s="146">
        <f>IF(V181&lt;=0,0,(IF(R181="Rated",(V181+W181)*#REF!,(V181+W181))))</f>
        <v>0</v>
      </c>
      <c r="Y181" s="146" t="e">
        <f>IF(R181="Rated",T181*#REF!,T181)</f>
        <v>#REF!</v>
      </c>
      <c r="Z181" s="361">
        <v>1.26</v>
      </c>
      <c r="AA181" s="146">
        <f t="shared" si="256"/>
        <v>0.24</v>
      </c>
      <c r="AB181" s="152"/>
      <c r="AC181" s="153"/>
      <c r="AD181" s="146"/>
      <c r="AE181" s="146"/>
      <c r="AF181" s="154"/>
      <c r="AG181" s="146"/>
      <c r="AH181" s="155"/>
      <c r="AI181" s="156"/>
      <c r="AJ181" s="146"/>
      <c r="AK181" s="146"/>
      <c r="AL181" s="146"/>
      <c r="AM181" s="146"/>
      <c r="AN181" s="146"/>
      <c r="AO181" s="149"/>
      <c r="AP181" s="157"/>
      <c r="AQ181" s="157"/>
      <c r="AR181" s="158"/>
      <c r="AS181" s="157"/>
      <c r="AT181" s="159"/>
      <c r="AU181" s="160"/>
      <c r="AV181" s="160"/>
      <c r="AW181" s="161"/>
      <c r="AX181" s="162"/>
      <c r="AY181" s="163"/>
      <c r="AZ181" s="162"/>
      <c r="BA181" s="164"/>
      <c r="BB181" s="5"/>
      <c r="BC181" s="165"/>
      <c r="BD181" s="165"/>
      <c r="BE181" s="165"/>
      <c r="BF181" s="165"/>
      <c r="BG181" s="165"/>
      <c r="BH181" s="165"/>
      <c r="BI181" s="166"/>
      <c r="BJ181" s="166"/>
      <c r="BK181" s="166"/>
      <c r="BL181" s="167"/>
      <c r="BM181" s="167"/>
      <c r="BN181" s="167"/>
      <c r="BO181" s="167"/>
      <c r="BP181" s="167"/>
      <c r="BQ181" s="167"/>
      <c r="BR181" s="167"/>
      <c r="BS181" s="167"/>
      <c r="BT181" s="167"/>
      <c r="BU181" s="167"/>
      <c r="BV181" s="167"/>
      <c r="BW181" s="167"/>
      <c r="BX181" s="167"/>
      <c r="BY181" s="167"/>
      <c r="BZ181" s="167"/>
      <c r="CA181" s="167"/>
    </row>
    <row r="182" spans="1:79" s="16" customFormat="1" ht="26.1" customHeight="1">
      <c r="A182" s="142" t="s">
        <v>49</v>
      </c>
      <c r="B182" s="267"/>
      <c r="C182" s="199" t="s">
        <v>498</v>
      </c>
      <c r="D182" s="144" t="s">
        <v>235</v>
      </c>
      <c r="E182" s="144"/>
      <c r="F182" s="144"/>
      <c r="G182" s="145" t="s">
        <v>130</v>
      </c>
      <c r="H182" s="146" t="s">
        <v>131</v>
      </c>
      <c r="I182" s="145" t="s">
        <v>144</v>
      </c>
      <c r="J182" s="145" t="s">
        <v>133</v>
      </c>
      <c r="K182" s="147" t="s">
        <v>499</v>
      </c>
      <c r="L182" s="145">
        <v>7</v>
      </c>
      <c r="M182" s="200">
        <v>7</v>
      </c>
      <c r="N182" s="323">
        <v>0</v>
      </c>
      <c r="O182" s="200">
        <v>7</v>
      </c>
      <c r="P182" s="200"/>
      <c r="Q182" s="324"/>
      <c r="R182" s="150" t="s">
        <v>130</v>
      </c>
      <c r="S182" s="145" t="s">
        <v>134</v>
      </c>
      <c r="T182" s="485">
        <v>1.05</v>
      </c>
      <c r="U182" s="151">
        <v>2.23</v>
      </c>
      <c r="V182" s="232">
        <f t="shared" si="255"/>
        <v>-1.18</v>
      </c>
      <c r="W182" s="146"/>
      <c r="X182" s="146">
        <f>IF(V182&lt;=0,0,(IF(R182="Rated",(V182+W182)*#REF!,(V182+W182))))</f>
        <v>0</v>
      </c>
      <c r="Y182" s="146" t="e">
        <f>IF(R182="Rated",T182*#REF!,T182)</f>
        <v>#REF!</v>
      </c>
      <c r="Z182" s="361"/>
      <c r="AA182" s="146">
        <f t="shared" si="256"/>
        <v>1.18</v>
      </c>
      <c r="AB182" s="152"/>
      <c r="AC182" s="153"/>
      <c r="AD182" s="146"/>
      <c r="AE182" s="146"/>
      <c r="AF182" s="154"/>
      <c r="AG182" s="146"/>
      <c r="AH182" s="155"/>
      <c r="AI182" s="156"/>
      <c r="AJ182" s="146"/>
      <c r="AK182" s="146"/>
      <c r="AL182" s="146"/>
      <c r="AM182" s="146"/>
      <c r="AN182" s="146"/>
      <c r="AO182" s="149"/>
      <c r="AP182" s="157"/>
      <c r="AQ182" s="157"/>
      <c r="AR182" s="158"/>
      <c r="AS182" s="157"/>
      <c r="AT182" s="159"/>
      <c r="AU182" s="160"/>
      <c r="AV182" s="160"/>
      <c r="AW182" s="161"/>
      <c r="AX182" s="162"/>
      <c r="AY182" s="163"/>
      <c r="AZ182" s="162"/>
      <c r="BA182" s="164"/>
      <c r="BB182" s="5"/>
      <c r="BC182" s="165"/>
      <c r="BD182" s="165"/>
      <c r="BE182" s="165"/>
      <c r="BF182" s="165"/>
      <c r="BG182" s="165"/>
      <c r="BH182" s="165"/>
      <c r="BI182" s="166"/>
      <c r="BJ182" s="166"/>
      <c r="BK182" s="166"/>
      <c r="BL182" s="167"/>
      <c r="BM182" s="167"/>
      <c r="BN182" s="167"/>
      <c r="BO182" s="167"/>
      <c r="BP182" s="167"/>
      <c r="BQ182" s="167"/>
      <c r="BR182" s="167"/>
      <c r="BS182" s="167"/>
      <c r="BT182" s="167"/>
      <c r="BU182" s="167"/>
      <c r="BV182" s="167"/>
      <c r="BW182" s="167"/>
      <c r="BX182" s="167"/>
      <c r="BY182" s="167"/>
      <c r="BZ182" s="167"/>
      <c r="CA182" s="167"/>
    </row>
    <row r="183" spans="1:79" s="16" customFormat="1" ht="26.1" customHeight="1">
      <c r="A183" s="142"/>
      <c r="B183" s="267"/>
      <c r="C183" s="199" t="s">
        <v>500</v>
      </c>
      <c r="D183" s="144" t="s">
        <v>239</v>
      </c>
      <c r="E183" s="144"/>
      <c r="F183" s="144"/>
      <c r="G183" s="145" t="s">
        <v>130</v>
      </c>
      <c r="H183" s="146" t="s">
        <v>131</v>
      </c>
      <c r="I183" s="145" t="s">
        <v>144</v>
      </c>
      <c r="J183" s="145" t="s">
        <v>133</v>
      </c>
      <c r="K183" s="147" t="s">
        <v>499</v>
      </c>
      <c r="L183" s="145">
        <v>2</v>
      </c>
      <c r="M183" s="200">
        <v>2</v>
      </c>
      <c r="N183" s="323">
        <v>0</v>
      </c>
      <c r="O183" s="200">
        <v>2</v>
      </c>
      <c r="P183" s="200"/>
      <c r="Q183" s="324"/>
      <c r="R183" s="150" t="s">
        <v>130</v>
      </c>
      <c r="S183" s="145"/>
      <c r="T183" s="485">
        <v>0.5</v>
      </c>
      <c r="U183" s="151">
        <v>0.28000000000000003</v>
      </c>
      <c r="V183" s="232">
        <f t="shared" si="255"/>
        <v>0.21999999999999997</v>
      </c>
      <c r="W183" s="146"/>
      <c r="X183" s="146" t="e">
        <f>IF(V183&lt;=0,0,(IF(R183="Rated",(V183+W183)*#REF!,(V183+W183))))</f>
        <v>#REF!</v>
      </c>
      <c r="Y183" s="146" t="e">
        <f>IF(R183="Rated",T183*#REF!,T183)</f>
        <v>#REF!</v>
      </c>
      <c r="Z183" s="361"/>
      <c r="AA183" s="146">
        <f t="shared" si="256"/>
        <v>0</v>
      </c>
      <c r="AB183" s="152"/>
      <c r="AC183" s="153"/>
      <c r="AD183" s="146"/>
      <c r="AE183" s="146"/>
      <c r="AF183" s="154"/>
      <c r="AG183" s="146"/>
      <c r="AH183" s="155"/>
      <c r="AI183" s="156"/>
      <c r="AJ183" s="146"/>
      <c r="AK183" s="146"/>
      <c r="AL183" s="146"/>
      <c r="AM183" s="146"/>
      <c r="AN183" s="146"/>
      <c r="AO183" s="149"/>
      <c r="AP183" s="157"/>
      <c r="AQ183" s="157"/>
      <c r="AR183" s="158"/>
      <c r="AS183" s="157"/>
      <c r="AT183" s="159"/>
      <c r="AU183" s="160"/>
      <c r="AV183" s="160"/>
      <c r="AW183" s="161"/>
      <c r="AX183" s="162"/>
      <c r="AY183" s="163"/>
      <c r="AZ183" s="162"/>
      <c r="BA183" s="164"/>
      <c r="BB183" s="5"/>
      <c r="BC183" s="165"/>
      <c r="BD183" s="165"/>
      <c r="BE183" s="165"/>
      <c r="BF183" s="165"/>
      <c r="BG183" s="165"/>
      <c r="BH183" s="165"/>
      <c r="BI183" s="166"/>
      <c r="BJ183" s="166"/>
      <c r="BK183" s="166"/>
      <c r="BL183" s="167"/>
      <c r="BM183" s="167"/>
      <c r="BN183" s="167"/>
      <c r="BO183" s="167"/>
      <c r="BP183" s="167"/>
      <c r="BQ183" s="167"/>
      <c r="BR183" s="167"/>
      <c r="BS183" s="167"/>
      <c r="BT183" s="167"/>
      <c r="BU183" s="167"/>
      <c r="BV183" s="167"/>
      <c r="BW183" s="167"/>
      <c r="BX183" s="167"/>
      <c r="BY183" s="167"/>
      <c r="BZ183" s="167"/>
      <c r="CA183" s="167"/>
    </row>
    <row r="184" spans="1:79" s="16" customFormat="1" ht="26.1" customHeight="1">
      <c r="A184" s="142" t="s">
        <v>49</v>
      </c>
      <c r="B184" s="262"/>
      <c r="C184" s="199" t="s">
        <v>501</v>
      </c>
      <c r="D184" s="144" t="s">
        <v>235</v>
      </c>
      <c r="E184" s="144"/>
      <c r="F184" s="144"/>
      <c r="G184" s="145" t="s">
        <v>130</v>
      </c>
      <c r="H184" s="146" t="s">
        <v>131</v>
      </c>
      <c r="I184" s="145" t="s">
        <v>144</v>
      </c>
      <c r="J184" s="145" t="s">
        <v>133</v>
      </c>
      <c r="K184" s="147" t="str">
        <f t="shared" ref="K184:K196" si="282">IF(I184="Rack","No of Racks",(IF(I184="Space","Sq Ft","U Space")))</f>
        <v>U Space</v>
      </c>
      <c r="L184" s="145">
        <v>8</v>
      </c>
      <c r="M184" s="200">
        <v>8</v>
      </c>
      <c r="N184" s="323">
        <v>0</v>
      </c>
      <c r="O184" s="200">
        <v>8</v>
      </c>
      <c r="P184" s="200"/>
      <c r="Q184" s="324"/>
      <c r="R184" s="150" t="s">
        <v>130</v>
      </c>
      <c r="S184" s="145" t="s">
        <v>134</v>
      </c>
      <c r="T184" s="146">
        <v>2</v>
      </c>
      <c r="U184" s="151">
        <v>1.49</v>
      </c>
      <c r="V184" s="232">
        <f t="shared" si="255"/>
        <v>0.51</v>
      </c>
      <c r="W184" s="146"/>
      <c r="X184" s="146" t="e">
        <f>IF(V184&lt;=0,0,(IF(R184="Rated",(V184+W184)*#REF!,(V184+W184))))</f>
        <v>#REF!</v>
      </c>
      <c r="Y184" s="146" t="e">
        <f>IF(R184="Rated",T184*#REF!,T184)</f>
        <v>#REF!</v>
      </c>
      <c r="Z184" s="361"/>
      <c r="AA184" s="146">
        <f t="shared" si="256"/>
        <v>0</v>
      </c>
      <c r="AB184" s="152"/>
      <c r="AC184" s="153"/>
      <c r="AD184" s="146"/>
      <c r="AE184" s="146"/>
      <c r="AF184" s="154"/>
      <c r="AG184" s="146"/>
      <c r="AH184" s="155"/>
      <c r="AI184" s="156"/>
      <c r="AJ184" s="146"/>
      <c r="AK184" s="146"/>
      <c r="AL184" s="146"/>
      <c r="AM184" s="146"/>
      <c r="AN184" s="146"/>
      <c r="AO184" s="149"/>
      <c r="AP184" s="157"/>
      <c r="AQ184" s="157"/>
      <c r="AR184" s="158"/>
      <c r="AS184" s="157"/>
      <c r="AT184" s="159"/>
      <c r="AU184" s="160"/>
      <c r="AV184" s="160"/>
      <c r="AW184" s="161"/>
      <c r="AX184" s="162"/>
      <c r="AY184" s="163"/>
      <c r="AZ184" s="162"/>
      <c r="BA184" s="164"/>
      <c r="BB184" s="5"/>
      <c r="BC184" s="165"/>
      <c r="BD184" s="165"/>
      <c r="BE184" s="165"/>
      <c r="BF184" s="165"/>
      <c r="BG184" s="165"/>
      <c r="BH184" s="165"/>
      <c r="BI184" s="166"/>
      <c r="BJ184" s="166"/>
      <c r="BK184" s="166"/>
      <c r="BL184" s="167"/>
      <c r="BM184" s="167"/>
      <c r="BN184" s="167"/>
      <c r="BO184" s="167"/>
      <c r="BP184" s="167"/>
      <c r="BQ184" s="167"/>
      <c r="BR184" s="167"/>
      <c r="BS184" s="167"/>
      <c r="BT184" s="167"/>
      <c r="BU184" s="167"/>
      <c r="BV184" s="167"/>
      <c r="BW184" s="167"/>
      <c r="BX184" s="167"/>
      <c r="BY184" s="167"/>
      <c r="BZ184" s="167"/>
      <c r="CA184" s="167"/>
    </row>
    <row r="185" spans="1:79" s="16" customFormat="1">
      <c r="A185" s="142" t="s">
        <v>49</v>
      </c>
      <c r="B185" s="143" t="s">
        <v>502</v>
      </c>
      <c r="C185" s="329" t="s">
        <v>503</v>
      </c>
      <c r="D185" s="144" t="s">
        <v>235</v>
      </c>
      <c r="E185" s="144"/>
      <c r="F185" s="144"/>
      <c r="G185" s="145" t="s">
        <v>130</v>
      </c>
      <c r="H185" s="146" t="s">
        <v>131</v>
      </c>
      <c r="I185" s="145" t="s">
        <v>144</v>
      </c>
      <c r="J185" s="145" t="s">
        <v>133</v>
      </c>
      <c r="K185" s="147" t="str">
        <f t="shared" si="282"/>
        <v>U Space</v>
      </c>
      <c r="L185" s="145">
        <v>21</v>
      </c>
      <c r="M185" s="200">
        <v>21</v>
      </c>
      <c r="N185" s="323">
        <v>0</v>
      </c>
      <c r="O185" s="200">
        <v>21</v>
      </c>
      <c r="P185" s="200"/>
      <c r="Q185" s="324"/>
      <c r="R185" s="150" t="s">
        <v>130</v>
      </c>
      <c r="S185" s="145"/>
      <c r="T185" s="146">
        <v>6</v>
      </c>
      <c r="U185" s="151">
        <v>5.61</v>
      </c>
      <c r="V185" s="232">
        <f t="shared" si="255"/>
        <v>0.38999999999999968</v>
      </c>
      <c r="W185" s="146"/>
      <c r="X185" s="146" t="e">
        <f>IF(V185&lt;=0,0,(IF(R185="Rated",(V185+W185)*#REF!,(V185+W185))))</f>
        <v>#REF!</v>
      </c>
      <c r="Y185" s="146" t="e">
        <f>IF(R185="Rated",T185*#REF!,T185)</f>
        <v>#REF!</v>
      </c>
      <c r="Z185" s="231">
        <v>1.37</v>
      </c>
      <c r="AA185" s="146">
        <f t="shared" si="256"/>
        <v>0</v>
      </c>
      <c r="AB185" s="152"/>
      <c r="AC185" s="153" t="s">
        <v>131</v>
      </c>
      <c r="AD185" s="146"/>
      <c r="AE185" s="146"/>
      <c r="AF185" s="154"/>
      <c r="AG185" s="146"/>
      <c r="AH185" s="155"/>
      <c r="AI185" s="156"/>
      <c r="AJ185" s="146"/>
      <c r="AK185" s="146"/>
      <c r="AL185" s="146"/>
      <c r="AM185" s="146"/>
      <c r="AN185" s="146"/>
      <c r="AO185" s="149"/>
      <c r="AP185" s="157"/>
      <c r="AQ185" s="157"/>
      <c r="AR185" s="158"/>
      <c r="AS185" s="157"/>
      <c r="AT185" s="159"/>
      <c r="AU185" s="160"/>
      <c r="AV185" s="160"/>
      <c r="AW185" s="161"/>
      <c r="AX185" s="162"/>
      <c r="AY185" s="163"/>
      <c r="AZ185" s="162"/>
      <c r="BA185" s="164"/>
      <c r="BB185" s="5"/>
      <c r="BC185" s="165"/>
      <c r="BD185" s="165"/>
      <c r="BE185" s="165"/>
      <c r="BF185" s="165"/>
      <c r="BG185" s="165"/>
      <c r="BH185" s="165"/>
      <c r="BI185" s="166"/>
      <c r="BJ185" s="166"/>
      <c r="BK185" s="166"/>
      <c r="BL185" s="167"/>
      <c r="BM185" s="167"/>
      <c r="BN185" s="167"/>
      <c r="BO185" s="167"/>
      <c r="BP185" s="167"/>
      <c r="BQ185" s="167"/>
      <c r="BR185" s="167"/>
      <c r="BS185" s="167"/>
      <c r="BT185" s="167"/>
      <c r="BU185" s="167"/>
      <c r="BV185" s="167"/>
      <c r="BW185" s="167"/>
      <c r="BX185" s="167"/>
      <c r="BY185" s="167"/>
      <c r="BZ185" s="167"/>
      <c r="CA185" s="167"/>
    </row>
    <row r="186" spans="1:79" s="16" customFormat="1">
      <c r="A186" s="142"/>
      <c r="B186" s="143" t="s">
        <v>504</v>
      </c>
      <c r="C186" s="199" t="s">
        <v>505</v>
      </c>
      <c r="D186" s="144" t="s">
        <v>235</v>
      </c>
      <c r="E186" s="144"/>
      <c r="F186" s="144"/>
      <c r="G186" s="145" t="s">
        <v>130</v>
      </c>
      <c r="H186" s="146" t="s">
        <v>131</v>
      </c>
      <c r="I186" s="145" t="s">
        <v>144</v>
      </c>
      <c r="J186" s="145" t="s">
        <v>133</v>
      </c>
      <c r="K186" s="147" t="str">
        <f t="shared" si="282"/>
        <v>U Space</v>
      </c>
      <c r="L186" s="145">
        <v>21</v>
      </c>
      <c r="M186" s="200">
        <v>21</v>
      </c>
      <c r="N186" s="323">
        <v>0</v>
      </c>
      <c r="O186" s="200">
        <v>21</v>
      </c>
      <c r="P186" s="200"/>
      <c r="Q186" s="324"/>
      <c r="R186" s="150" t="s">
        <v>130</v>
      </c>
      <c r="S186" s="145" t="s">
        <v>134</v>
      </c>
      <c r="T186" s="146">
        <v>3</v>
      </c>
      <c r="U186" s="151">
        <v>2.5</v>
      </c>
      <c r="V186" s="232">
        <f t="shared" si="255"/>
        <v>0.5</v>
      </c>
      <c r="W186" s="146"/>
      <c r="X186" s="146" t="e">
        <f>IF(V186&lt;=0,0,(IF(R186="Rated",(V186+W186)*#REF!,(V186+W186))))</f>
        <v>#REF!</v>
      </c>
      <c r="Y186" s="146" t="e">
        <f>IF(R186="Rated",T186*#REF!,T186)</f>
        <v>#REF!</v>
      </c>
      <c r="Z186" s="231">
        <f>AG186/28/24</f>
        <v>0.82589285714285721</v>
      </c>
      <c r="AA186" s="146">
        <f t="shared" si="256"/>
        <v>0</v>
      </c>
      <c r="AB186" s="152"/>
      <c r="AC186" s="153"/>
      <c r="AD186" s="146"/>
      <c r="AE186" s="146"/>
      <c r="AF186" s="154"/>
      <c r="AG186" s="146">
        <v>555</v>
      </c>
      <c r="AH186" s="155"/>
      <c r="AI186" s="156"/>
      <c r="AJ186" s="146"/>
      <c r="AK186" s="146"/>
      <c r="AL186" s="146"/>
      <c r="AM186" s="146"/>
      <c r="AN186" s="146"/>
      <c r="AO186" s="149"/>
      <c r="AP186" s="157"/>
      <c r="AQ186" s="157"/>
      <c r="AR186" s="158"/>
      <c r="AS186" s="157"/>
      <c r="AT186" s="159"/>
      <c r="AU186" s="160"/>
      <c r="AV186" s="160"/>
      <c r="AW186" s="161"/>
      <c r="AX186" s="162"/>
      <c r="AY186" s="163"/>
      <c r="AZ186" s="162"/>
      <c r="BA186" s="164"/>
      <c r="BB186" s="5"/>
      <c r="BC186" s="165"/>
      <c r="BD186" s="165"/>
      <c r="BE186" s="165"/>
      <c r="BF186" s="165"/>
      <c r="BG186" s="165"/>
      <c r="BH186" s="165"/>
      <c r="BI186" s="166"/>
      <c r="BJ186" s="166"/>
      <c r="BK186" s="166"/>
      <c r="BL186" s="167"/>
      <c r="BM186" s="167"/>
      <c r="BN186" s="167"/>
      <c r="BO186" s="167"/>
      <c r="BP186" s="167"/>
      <c r="BQ186" s="167"/>
      <c r="BR186" s="167"/>
      <c r="BS186" s="167"/>
      <c r="BT186" s="167"/>
      <c r="BU186" s="167"/>
      <c r="BV186" s="167"/>
      <c r="BW186" s="167"/>
      <c r="BX186" s="167"/>
      <c r="BY186" s="167"/>
      <c r="BZ186" s="167"/>
      <c r="CA186" s="167"/>
    </row>
    <row r="187" spans="1:79" s="16" customFormat="1">
      <c r="A187" s="142" t="s">
        <v>49</v>
      </c>
      <c r="B187" s="435" t="s">
        <v>506</v>
      </c>
      <c r="C187" s="198" t="s">
        <v>507</v>
      </c>
      <c r="D187" s="198" t="s">
        <v>235</v>
      </c>
      <c r="E187" s="198"/>
      <c r="F187" s="198"/>
      <c r="G187" s="145" t="s">
        <v>130</v>
      </c>
      <c r="H187" s="146" t="s">
        <v>131</v>
      </c>
      <c r="I187" s="145" t="s">
        <v>144</v>
      </c>
      <c r="J187" s="145" t="s">
        <v>133</v>
      </c>
      <c r="K187" s="147" t="str">
        <f t="shared" si="282"/>
        <v>U Space</v>
      </c>
      <c r="L187" s="145">
        <v>21</v>
      </c>
      <c r="M187" s="200">
        <v>21</v>
      </c>
      <c r="N187" s="323">
        <f t="shared" ref="N187:N195" si="283">L187-M187</f>
        <v>0</v>
      </c>
      <c r="O187" s="200">
        <v>21</v>
      </c>
      <c r="P187" s="200"/>
      <c r="Q187" s="324">
        <f>(380000)/12/21</f>
        <v>1507.936507936508</v>
      </c>
      <c r="R187" s="150" t="str">
        <f t="shared" ref="R187:R203" si="284">G187</f>
        <v>Rated</v>
      </c>
      <c r="S187" s="145" t="s">
        <v>134</v>
      </c>
      <c r="T187" s="146">
        <v>1.5</v>
      </c>
      <c r="U187" s="151">
        <v>2.27</v>
      </c>
      <c r="V187" s="232">
        <f t="shared" si="255"/>
        <v>-0.77</v>
      </c>
      <c r="W187" s="146"/>
      <c r="X187" s="146">
        <f>IF(V187&lt;=0,0,(IF(R187="Rated",(V187+W187)*#REF!,(V187+W187))))</f>
        <v>0</v>
      </c>
      <c r="Y187" s="146" t="e">
        <f>IF(R187="Rated",T187*#REF!,T187)</f>
        <v>#REF!</v>
      </c>
      <c r="Z187" s="361">
        <v>1.31</v>
      </c>
      <c r="AA187" s="146">
        <f t="shared" si="256"/>
        <v>0.77</v>
      </c>
      <c r="AB187" s="152">
        <f t="shared" ref="AB187:AB194" si="285">0/12</f>
        <v>0</v>
      </c>
      <c r="AC187" s="153" t="str">
        <f t="shared" ref="AC187:AC203" si="286">H187</f>
        <v>Bundled</v>
      </c>
      <c r="AD187" s="146"/>
      <c r="AE187" s="146"/>
      <c r="AF187" s="154"/>
      <c r="AG187" s="146"/>
      <c r="AH187" s="155"/>
      <c r="AI187" s="156"/>
      <c r="AJ187" s="146"/>
      <c r="AK187" s="146"/>
      <c r="AL187" s="146">
        <f t="shared" ref="AL187:AL196" si="287">AJ187-AK187</f>
        <v>0</v>
      </c>
      <c r="AM187" s="146"/>
      <c r="AN187" s="146"/>
      <c r="AO187" s="149">
        <f t="shared" si="281"/>
        <v>0</v>
      </c>
      <c r="AP187" s="157">
        <f t="shared" ref="AP187:AP196" si="288">Q187*O187</f>
        <v>31666.666666666668</v>
      </c>
      <c r="AQ187" s="157">
        <f t="shared" ref="AQ187:AQ196" si="289">AB187*AA187</f>
        <v>0</v>
      </c>
      <c r="AR187" s="158">
        <f t="shared" ref="AR187:AR196" si="290">AG187*AF187*AD187</f>
        <v>0</v>
      </c>
      <c r="AS187" s="157">
        <f t="shared" ref="AS187:AS196" si="291">AO187*AM187</f>
        <v>0</v>
      </c>
      <c r="AT187" s="159">
        <f t="shared" ref="AT187:AT195" si="292">0/12</f>
        <v>0</v>
      </c>
      <c r="AU187" s="160">
        <f t="shared" ref="AU187:AU196" si="293">SUBTOTAL(9,AP187:AT187)</f>
        <v>31666.666666666668</v>
      </c>
      <c r="AV187" s="160"/>
      <c r="AW187" s="161"/>
      <c r="AX187" s="162"/>
      <c r="AY187" s="163"/>
      <c r="AZ187" s="162"/>
      <c r="BA187" s="164"/>
      <c r="BB187" s="5"/>
      <c r="BC187" s="165">
        <f t="shared" ref="BC187:BC196" si="294">IF(I187="Rack",AU187/L187,0)+IF(I187="U Space",AU187*40/L187,0)+IF(I187="Space",AU187*30/L187,0)</f>
        <v>60317.460317460318</v>
      </c>
      <c r="BD187" s="165" t="e">
        <f t="shared" ref="BD187:BD196" si="295">+AU187/Y187</f>
        <v>#REF!</v>
      </c>
      <c r="BE187" s="165" t="e">
        <f t="shared" ref="BE187:BE196" si="296">+($AP187+$AQ187+$AR187-BL187)/$Y187</f>
        <v>#REF!</v>
      </c>
      <c r="BF187" s="165" t="e">
        <f t="shared" ref="BF187:BF196" si="297">+($AP187+$AQ187+$AR187-BM187)/$Y187</f>
        <v>#REF!</v>
      </c>
      <c r="BG187" s="165" t="e">
        <f t="shared" ref="BG187:BG196" si="298">+($AP187+$AQ187+IF(H187="Bundled",0,Y187*0.85*AD187*AF187*30.5*24)-BN187)/$Y187</f>
        <v>#REF!</v>
      </c>
      <c r="BH187" s="165"/>
      <c r="BI187" s="166">
        <f t="shared" ref="BI187:BI196" si="299">+AP187+AQ187+AR187</f>
        <v>31666.666666666668</v>
      </c>
      <c r="BJ187" s="166" t="e">
        <f t="shared" ref="BJ187:BJ196" si="300">+BI187-BK187</f>
        <v>#REF!</v>
      </c>
      <c r="BK187" s="166" t="e">
        <f>IF(H187="Bundled",MIN(Y187*#REF!*(1+#REF!),BI187),AR187)</f>
        <v>#REF!</v>
      </c>
      <c r="BL187" s="167" t="e">
        <f>IF($AG187&gt;0,$AG187*#REF!*#REF!*(1+#REF!*(20/#REF!)/732),#REF!*Z187)</f>
        <v>#REF!</v>
      </c>
      <c r="BM187" s="167" t="e">
        <f>IF($AG187&gt;0,$AG187*#REF!*#REF!*(1+#REF!*(20/#REF!)/732),+#REF!*(Z187+X187))</f>
        <v>#REF!</v>
      </c>
      <c r="BN187" s="167" t="e">
        <f>IF(H187="Bundled",#REF!*Y187,#REF!*Y187*0.85)</f>
        <v>#REF!</v>
      </c>
      <c r="BO187" s="167" t="e">
        <f t="shared" ref="BO187:BO196" si="301">+BE187*Y187</f>
        <v>#REF!</v>
      </c>
      <c r="BP187" s="167" t="e">
        <f>+#REF!*Y187</f>
        <v>#REF!</v>
      </c>
      <c r="BQ187" s="167" t="e">
        <f t="shared" ref="BQ187:BQ196" si="302">+BJ187-BP187</f>
        <v>#REF!</v>
      </c>
      <c r="BR187" s="167" t="e">
        <f t="shared" ref="BR187:BR196" si="303">+BK187-BL187</f>
        <v>#REF!</v>
      </c>
      <c r="BS187" s="167" t="e">
        <f t="shared" ref="BS187:BS196" si="304">+BQ187+BR187</f>
        <v>#REF!</v>
      </c>
      <c r="BT187" s="167" t="e">
        <f t="shared" ref="BT187:BT203" si="305">+Y187</f>
        <v>#REF!</v>
      </c>
      <c r="BU187" s="167" t="e">
        <f t="shared" ref="BU187:BU196" si="306">+BE187</f>
        <v>#REF!</v>
      </c>
      <c r="BV187" s="167" t="e">
        <f t="shared" ref="BV187:BV196" si="307">IF(H187="Bundled",BN187-BL187,AR187-BL187)</f>
        <v>#REF!</v>
      </c>
      <c r="BW187" s="167" t="e">
        <f>IF(H187="Bundled",+(BG187-#REF!)*Y187,(AP187+AQ187)-Y187*#REF!)</f>
        <v>#REF!</v>
      </c>
      <c r="BX187" s="167" t="e">
        <f t="shared" ref="BX187:BX196" si="308">+BV187+BW187</f>
        <v>#REF!</v>
      </c>
      <c r="BY187" s="167" t="e">
        <f t="shared" ref="BY187:BY196" si="309">+BV187/$BT187</f>
        <v>#REF!</v>
      </c>
      <c r="BZ187" s="167" t="e">
        <f t="shared" ref="BZ187:BZ196" si="310">+BW187/$BT187</f>
        <v>#REF!</v>
      </c>
      <c r="CA187" s="167" t="e">
        <f t="shared" ref="CA187:CA196" si="311">+BX187/$BT187</f>
        <v>#REF!</v>
      </c>
    </row>
    <row r="188" spans="1:79" s="16" customFormat="1">
      <c r="A188" s="142" t="s">
        <v>49</v>
      </c>
      <c r="B188" s="435"/>
      <c r="C188" s="198" t="s">
        <v>508</v>
      </c>
      <c r="D188" s="198" t="s">
        <v>235</v>
      </c>
      <c r="E188" s="198"/>
      <c r="F188" s="198"/>
      <c r="G188" s="145" t="s">
        <v>130</v>
      </c>
      <c r="H188" s="146" t="s">
        <v>131</v>
      </c>
      <c r="I188" s="145" t="s">
        <v>144</v>
      </c>
      <c r="J188" s="145" t="s">
        <v>133</v>
      </c>
      <c r="K188" s="147" t="str">
        <f t="shared" si="282"/>
        <v>U Space</v>
      </c>
      <c r="L188" s="145">
        <v>21</v>
      </c>
      <c r="M188" s="200">
        <v>21</v>
      </c>
      <c r="N188" s="323">
        <f t="shared" si="283"/>
        <v>0</v>
      </c>
      <c r="O188" s="200">
        <v>21</v>
      </c>
      <c r="P188" s="200"/>
      <c r="Q188" s="324">
        <f>(310000)/12/21</f>
        <v>1230.1587301587301</v>
      </c>
      <c r="R188" s="150" t="str">
        <f t="shared" si="284"/>
        <v>Rated</v>
      </c>
      <c r="S188" s="145" t="s">
        <v>134</v>
      </c>
      <c r="T188" s="146">
        <v>1.5</v>
      </c>
      <c r="U188" s="151">
        <v>1.82</v>
      </c>
      <c r="V188" s="232">
        <f t="shared" si="255"/>
        <v>-0.32000000000000006</v>
      </c>
      <c r="W188" s="146"/>
      <c r="X188" s="146">
        <f>IF(V188&lt;=0,0,(IF(R188="Rated",(V188+W188)*#REF!,(V188+W188))))</f>
        <v>0</v>
      </c>
      <c r="Y188" s="146" t="e">
        <f>IF(R188="Rated",T188*#REF!,T188)</f>
        <v>#REF!</v>
      </c>
      <c r="Z188" s="361"/>
      <c r="AA188" s="146">
        <f t="shared" si="256"/>
        <v>0.32000000000000006</v>
      </c>
      <c r="AB188" s="152">
        <f t="shared" si="285"/>
        <v>0</v>
      </c>
      <c r="AC188" s="153" t="str">
        <f t="shared" si="286"/>
        <v>Bundled</v>
      </c>
      <c r="AD188" s="146"/>
      <c r="AE188" s="146"/>
      <c r="AF188" s="154"/>
      <c r="AG188" s="146"/>
      <c r="AH188" s="155"/>
      <c r="AI188" s="156"/>
      <c r="AJ188" s="146"/>
      <c r="AK188" s="146"/>
      <c r="AL188" s="146">
        <f t="shared" si="287"/>
        <v>0</v>
      </c>
      <c r="AM188" s="146"/>
      <c r="AN188" s="146"/>
      <c r="AO188" s="149">
        <f t="shared" si="281"/>
        <v>0</v>
      </c>
      <c r="AP188" s="157">
        <f t="shared" si="288"/>
        <v>25833.333333333332</v>
      </c>
      <c r="AQ188" s="157">
        <f t="shared" si="289"/>
        <v>0</v>
      </c>
      <c r="AR188" s="158">
        <f t="shared" si="290"/>
        <v>0</v>
      </c>
      <c r="AS188" s="157">
        <f t="shared" si="291"/>
        <v>0</v>
      </c>
      <c r="AT188" s="159">
        <f t="shared" si="292"/>
        <v>0</v>
      </c>
      <c r="AU188" s="160">
        <f t="shared" si="293"/>
        <v>25833.333333333332</v>
      </c>
      <c r="AV188" s="160"/>
      <c r="AW188" s="161"/>
      <c r="AX188" s="162"/>
      <c r="AY188" s="163"/>
      <c r="AZ188" s="162"/>
      <c r="BA188" s="164"/>
      <c r="BB188" s="5"/>
      <c r="BC188" s="165">
        <f t="shared" si="294"/>
        <v>49206.349206349201</v>
      </c>
      <c r="BD188" s="165" t="e">
        <f t="shared" si="295"/>
        <v>#REF!</v>
      </c>
      <c r="BE188" s="165" t="e">
        <f t="shared" si="296"/>
        <v>#REF!</v>
      </c>
      <c r="BF188" s="165" t="e">
        <f t="shared" si="297"/>
        <v>#REF!</v>
      </c>
      <c r="BG188" s="165" t="e">
        <f t="shared" si="298"/>
        <v>#REF!</v>
      </c>
      <c r="BH188" s="165"/>
      <c r="BI188" s="166">
        <f t="shared" si="299"/>
        <v>25833.333333333332</v>
      </c>
      <c r="BJ188" s="166" t="e">
        <f t="shared" si="300"/>
        <v>#REF!</v>
      </c>
      <c r="BK188" s="166" t="e">
        <f>IF(H188="Bundled",MIN(Y188*#REF!*(1+#REF!),BI188),AR188)</f>
        <v>#REF!</v>
      </c>
      <c r="BL188" s="167" t="e">
        <f>IF($AG188&gt;0,$AG188*#REF!*#REF!*(1+#REF!*(20/#REF!)/732),#REF!*Z188)</f>
        <v>#REF!</v>
      </c>
      <c r="BM188" s="167" t="e">
        <f>IF($AG188&gt;0,$AG188*#REF!*#REF!*(1+#REF!*(20/#REF!)/732),+#REF!*(Z188+X188))</f>
        <v>#REF!</v>
      </c>
      <c r="BN188" s="167" t="e">
        <f>IF(H188="Bundled",#REF!*Y188,#REF!*Y188*0.85)</f>
        <v>#REF!</v>
      </c>
      <c r="BO188" s="167" t="e">
        <f t="shared" si="301"/>
        <v>#REF!</v>
      </c>
      <c r="BP188" s="167" t="e">
        <f>+#REF!*Y188</f>
        <v>#REF!</v>
      </c>
      <c r="BQ188" s="167" t="e">
        <f t="shared" si="302"/>
        <v>#REF!</v>
      </c>
      <c r="BR188" s="167" t="e">
        <f t="shared" si="303"/>
        <v>#REF!</v>
      </c>
      <c r="BS188" s="167" t="e">
        <f t="shared" si="304"/>
        <v>#REF!</v>
      </c>
      <c r="BT188" s="167" t="e">
        <f t="shared" si="305"/>
        <v>#REF!</v>
      </c>
      <c r="BU188" s="167" t="e">
        <f t="shared" si="306"/>
        <v>#REF!</v>
      </c>
      <c r="BV188" s="167" t="e">
        <f t="shared" si="307"/>
        <v>#REF!</v>
      </c>
      <c r="BW188" s="167" t="e">
        <f>IF(H188="Bundled",+(BG188-#REF!)*Y188,(AP188+AQ188)-Y188*#REF!)</f>
        <v>#REF!</v>
      </c>
      <c r="BX188" s="167" t="e">
        <f t="shared" si="308"/>
        <v>#REF!</v>
      </c>
      <c r="BY188" s="167" t="e">
        <f t="shared" si="309"/>
        <v>#REF!</v>
      </c>
      <c r="BZ188" s="167" t="e">
        <f t="shared" si="310"/>
        <v>#REF!</v>
      </c>
      <c r="CA188" s="167" t="e">
        <f t="shared" si="311"/>
        <v>#REF!</v>
      </c>
    </row>
    <row r="189" spans="1:79" s="16" customFormat="1">
      <c r="A189" s="142" t="s">
        <v>49</v>
      </c>
      <c r="B189" s="143" t="s">
        <v>509</v>
      </c>
      <c r="C189" s="198" t="s">
        <v>435</v>
      </c>
      <c r="D189" s="198" t="s">
        <v>239</v>
      </c>
      <c r="E189" s="198"/>
      <c r="F189" s="198"/>
      <c r="G189" s="145" t="s">
        <v>130</v>
      </c>
      <c r="H189" s="146" t="s">
        <v>170</v>
      </c>
      <c r="I189" s="145" t="s">
        <v>59</v>
      </c>
      <c r="J189" s="145" t="s">
        <v>185</v>
      </c>
      <c r="K189" s="147" t="str">
        <f t="shared" si="282"/>
        <v>Sq Ft</v>
      </c>
      <c r="L189" s="145">
        <v>200</v>
      </c>
      <c r="M189" s="200">
        <v>200</v>
      </c>
      <c r="N189" s="323">
        <f t="shared" si="283"/>
        <v>0</v>
      </c>
      <c r="O189" s="200">
        <v>200</v>
      </c>
      <c r="P189" s="200"/>
      <c r="Q189" s="324">
        <f>(2300676)/200/12</f>
        <v>958.6149999999999</v>
      </c>
      <c r="R189" s="150" t="str">
        <f t="shared" si="284"/>
        <v>Rated</v>
      </c>
      <c r="S189" s="145" t="s">
        <v>134</v>
      </c>
      <c r="T189" s="146">
        <v>45</v>
      </c>
      <c r="U189" s="151">
        <v>56.12</v>
      </c>
      <c r="V189" s="232">
        <f t="shared" si="255"/>
        <v>-11.119999999999997</v>
      </c>
      <c r="W189" s="146"/>
      <c r="X189" s="146">
        <f>IF(V189&lt;=0,0,(IF(R189="Rated",(V189+W189)*#REF!,(V189+W189))))</f>
        <v>0</v>
      </c>
      <c r="Y189" s="146" t="e">
        <f>IF(R189="Rated",T189*#REF!,T189)</f>
        <v>#REF!</v>
      </c>
      <c r="Z189" s="231">
        <f>AG189/28/24</f>
        <v>12.645089285714285</v>
      </c>
      <c r="AA189" s="146">
        <f t="shared" si="256"/>
        <v>11.119999999999997</v>
      </c>
      <c r="AB189" s="152">
        <f t="shared" si="285"/>
        <v>0</v>
      </c>
      <c r="AC189" s="153" t="str">
        <f t="shared" si="286"/>
        <v>Metered</v>
      </c>
      <c r="AD189" s="146">
        <v>1</v>
      </c>
      <c r="AE189" s="146" t="s">
        <v>171</v>
      </c>
      <c r="AF189" s="154">
        <v>17.5</v>
      </c>
      <c r="AG189" s="486">
        <v>8497.5</v>
      </c>
      <c r="AH189" s="155"/>
      <c r="AI189" s="156"/>
      <c r="AJ189" s="146"/>
      <c r="AK189" s="146"/>
      <c r="AL189" s="146">
        <f t="shared" si="287"/>
        <v>0</v>
      </c>
      <c r="AM189" s="146"/>
      <c r="AN189" s="146"/>
      <c r="AO189" s="149">
        <f t="shared" ref="AO189:AO196" si="312">(0)/12</f>
        <v>0</v>
      </c>
      <c r="AP189" s="157">
        <f t="shared" si="288"/>
        <v>191722.99999999997</v>
      </c>
      <c r="AQ189" s="157">
        <f t="shared" si="289"/>
        <v>0</v>
      </c>
      <c r="AR189" s="158">
        <f t="shared" si="290"/>
        <v>148706.25</v>
      </c>
      <c r="AS189" s="157">
        <f t="shared" si="291"/>
        <v>0</v>
      </c>
      <c r="AT189" s="159">
        <f t="shared" si="292"/>
        <v>0</v>
      </c>
      <c r="AU189" s="160">
        <f t="shared" si="293"/>
        <v>340429.25</v>
      </c>
      <c r="AV189" s="160"/>
      <c r="AW189" s="161"/>
      <c r="AX189" s="162"/>
      <c r="AY189" s="163"/>
      <c r="AZ189" s="162"/>
      <c r="BA189" s="164"/>
      <c r="BB189" s="5"/>
      <c r="BC189" s="165">
        <f t="shared" si="294"/>
        <v>51064.387499999997</v>
      </c>
      <c r="BD189" s="165" t="e">
        <f t="shared" si="295"/>
        <v>#REF!</v>
      </c>
      <c r="BE189" s="165" t="e">
        <f t="shared" si="296"/>
        <v>#REF!</v>
      </c>
      <c r="BF189" s="165" t="e">
        <f t="shared" si="297"/>
        <v>#REF!</v>
      </c>
      <c r="BG189" s="165" t="e">
        <f t="shared" si="298"/>
        <v>#REF!</v>
      </c>
      <c r="BH189" s="165"/>
      <c r="BI189" s="166">
        <f t="shared" si="299"/>
        <v>340429.25</v>
      </c>
      <c r="BJ189" s="166">
        <f t="shared" si="300"/>
        <v>191723</v>
      </c>
      <c r="BK189" s="166">
        <f>IF(H189="Bundled",MIN(Y189*#REF!*(1+#REF!),BI189),AR189)</f>
        <v>148706.25</v>
      </c>
      <c r="BL189" s="167" t="e">
        <f>IF($AG189&gt;0,$AG189*#REF!*#REF!*(1+#REF!*(20/#REF!)/732),#REF!*Z189)</f>
        <v>#REF!</v>
      </c>
      <c r="BM189" s="167" t="e">
        <f>IF($AG189&gt;0,$AG189*#REF!*#REF!*(1+#REF!*(20/#REF!)/732),+#REF!*(Z189+X189))</f>
        <v>#REF!</v>
      </c>
      <c r="BN189" s="167" t="e">
        <f>IF(H189="Bundled",#REF!*Y189,#REF!*Y189*0.85)</f>
        <v>#REF!</v>
      </c>
      <c r="BO189" s="167" t="e">
        <f t="shared" si="301"/>
        <v>#REF!</v>
      </c>
      <c r="BP189" s="167" t="e">
        <f>+#REF!*Y189</f>
        <v>#REF!</v>
      </c>
      <c r="BQ189" s="167" t="e">
        <f t="shared" si="302"/>
        <v>#REF!</v>
      </c>
      <c r="BR189" s="167" t="e">
        <f t="shared" si="303"/>
        <v>#REF!</v>
      </c>
      <c r="BS189" s="167" t="e">
        <f t="shared" si="304"/>
        <v>#REF!</v>
      </c>
      <c r="BT189" s="167" t="e">
        <f t="shared" si="305"/>
        <v>#REF!</v>
      </c>
      <c r="BU189" s="167" t="e">
        <f t="shared" si="306"/>
        <v>#REF!</v>
      </c>
      <c r="BV189" s="167" t="e">
        <f t="shared" si="307"/>
        <v>#REF!</v>
      </c>
      <c r="BW189" s="167" t="e">
        <f>IF(H189="Bundled",+(BG189-#REF!)*Y189,(AP189+AQ189)-Y189*#REF!)</f>
        <v>#REF!</v>
      </c>
      <c r="BX189" s="167" t="e">
        <f t="shared" si="308"/>
        <v>#REF!</v>
      </c>
      <c r="BY189" s="167" t="e">
        <f t="shared" si="309"/>
        <v>#REF!</v>
      </c>
      <c r="BZ189" s="167" t="e">
        <f t="shared" si="310"/>
        <v>#REF!</v>
      </c>
      <c r="CA189" s="167" t="e">
        <f t="shared" si="311"/>
        <v>#REF!</v>
      </c>
    </row>
    <row r="190" spans="1:79" s="16" customFormat="1">
      <c r="A190" s="142" t="s">
        <v>49</v>
      </c>
      <c r="B190" s="143" t="s">
        <v>510</v>
      </c>
      <c r="C190" s="198" t="s">
        <v>511</v>
      </c>
      <c r="D190" s="198" t="s">
        <v>239</v>
      </c>
      <c r="E190" s="198"/>
      <c r="F190" s="198"/>
      <c r="G190" s="145" t="s">
        <v>169</v>
      </c>
      <c r="H190" s="146" t="s">
        <v>170</v>
      </c>
      <c r="I190" s="145" t="s">
        <v>132</v>
      </c>
      <c r="J190" s="145" t="s">
        <v>133</v>
      </c>
      <c r="K190" s="147" t="str">
        <f t="shared" si="282"/>
        <v>No of Racks</v>
      </c>
      <c r="L190" s="145">
        <v>2</v>
      </c>
      <c r="M190" s="200">
        <v>2</v>
      </c>
      <c r="N190" s="323">
        <f t="shared" si="283"/>
        <v>0</v>
      </c>
      <c r="O190" s="200">
        <v>2</v>
      </c>
      <c r="P190" s="200"/>
      <c r="Q190" s="324">
        <f>(0)/12/2</f>
        <v>0</v>
      </c>
      <c r="R190" s="150" t="str">
        <f t="shared" si="284"/>
        <v>Subscribed</v>
      </c>
      <c r="S190" s="145" t="s">
        <v>123</v>
      </c>
      <c r="T190" s="146">
        <v>6</v>
      </c>
      <c r="U190" s="327">
        <f>Z190</f>
        <v>1.9095238095238096</v>
      </c>
      <c r="V190" s="232">
        <f t="shared" si="255"/>
        <v>4.0904761904761902</v>
      </c>
      <c r="W190" s="146"/>
      <c r="X190" s="146">
        <f>IF(V190&lt;=0,0,(IF(R190="Rated",(V190+W190)*#REF!,(V190+W190))))</f>
        <v>4.0904761904761902</v>
      </c>
      <c r="Y190" s="146">
        <f>IF(R190="Rated",T190*#REF!,T190)</f>
        <v>6</v>
      </c>
      <c r="Z190" s="231">
        <f t="shared" ref="Z190:Z205" si="313">AG190/28/24</f>
        <v>1.9095238095238096</v>
      </c>
      <c r="AA190" s="146">
        <f t="shared" si="256"/>
        <v>0</v>
      </c>
      <c r="AB190" s="152">
        <f t="shared" si="285"/>
        <v>0</v>
      </c>
      <c r="AC190" s="153" t="str">
        <f t="shared" si="286"/>
        <v>Metered</v>
      </c>
      <c r="AD190" s="146">
        <v>1</v>
      </c>
      <c r="AE190" s="146" t="s">
        <v>171</v>
      </c>
      <c r="AF190" s="154">
        <v>0</v>
      </c>
      <c r="AG190" s="351">
        <v>1283.2</v>
      </c>
      <c r="AH190" s="155"/>
      <c r="AI190" s="156"/>
      <c r="AJ190" s="146"/>
      <c r="AK190" s="146"/>
      <c r="AL190" s="146">
        <f t="shared" si="287"/>
        <v>0</v>
      </c>
      <c r="AM190" s="146"/>
      <c r="AN190" s="146"/>
      <c r="AO190" s="149">
        <f t="shared" si="312"/>
        <v>0</v>
      </c>
      <c r="AP190" s="157">
        <f t="shared" si="288"/>
        <v>0</v>
      </c>
      <c r="AQ190" s="157">
        <f t="shared" si="289"/>
        <v>0</v>
      </c>
      <c r="AR190" s="158">
        <f t="shared" si="290"/>
        <v>0</v>
      </c>
      <c r="AS190" s="157">
        <f t="shared" si="291"/>
        <v>0</v>
      </c>
      <c r="AT190" s="159">
        <f t="shared" si="292"/>
        <v>0</v>
      </c>
      <c r="AU190" s="160">
        <f t="shared" si="293"/>
        <v>0</v>
      </c>
      <c r="AV190" s="160"/>
      <c r="AW190" s="161"/>
      <c r="AX190" s="162"/>
      <c r="AY190" s="163"/>
      <c r="AZ190" s="162"/>
      <c r="BA190" s="164"/>
      <c r="BB190" s="5"/>
      <c r="BC190" s="165">
        <f t="shared" si="294"/>
        <v>0</v>
      </c>
      <c r="BD190" s="165">
        <f t="shared" si="295"/>
        <v>0</v>
      </c>
      <c r="BE190" s="165" t="e">
        <f t="shared" si="296"/>
        <v>#REF!</v>
      </c>
      <c r="BF190" s="165" t="e">
        <f t="shared" si="297"/>
        <v>#REF!</v>
      </c>
      <c r="BG190" s="165" t="e">
        <f t="shared" si="298"/>
        <v>#REF!</v>
      </c>
      <c r="BH190" s="165"/>
      <c r="BI190" s="166">
        <f t="shared" si="299"/>
        <v>0</v>
      </c>
      <c r="BJ190" s="166">
        <f t="shared" si="300"/>
        <v>0</v>
      </c>
      <c r="BK190" s="166">
        <f>IF(H190="Bundled",MIN(Y190*#REF!*(1+#REF!),BI190),AR190)</f>
        <v>0</v>
      </c>
      <c r="BL190" s="167" t="e">
        <f>IF($AG190&gt;0,$AG190*#REF!*#REF!*(1+#REF!*(20/#REF!)/732),#REF!*Z190)</f>
        <v>#REF!</v>
      </c>
      <c r="BM190" s="167" t="e">
        <f>IF($AG190&gt;0,$AG190*#REF!*#REF!*(1+#REF!*(20/#REF!)/732),+#REF!*(Z190+X190))</f>
        <v>#REF!</v>
      </c>
      <c r="BN190" s="167" t="e">
        <f>IF(H190="Bundled",#REF!*Y190,#REF!*Y190*0.85)</f>
        <v>#REF!</v>
      </c>
      <c r="BO190" s="167" t="e">
        <f t="shared" si="301"/>
        <v>#REF!</v>
      </c>
      <c r="BP190" s="167" t="e">
        <f>+#REF!*Y190</f>
        <v>#REF!</v>
      </c>
      <c r="BQ190" s="167" t="e">
        <f t="shared" si="302"/>
        <v>#REF!</v>
      </c>
      <c r="BR190" s="167" t="e">
        <f t="shared" si="303"/>
        <v>#REF!</v>
      </c>
      <c r="BS190" s="167" t="e">
        <f t="shared" si="304"/>
        <v>#REF!</v>
      </c>
      <c r="BT190" s="167">
        <f t="shared" si="305"/>
        <v>6</v>
      </c>
      <c r="BU190" s="167" t="e">
        <f t="shared" si="306"/>
        <v>#REF!</v>
      </c>
      <c r="BV190" s="167" t="e">
        <f t="shared" si="307"/>
        <v>#REF!</v>
      </c>
      <c r="BW190" s="167" t="e">
        <f>IF(H190="Bundled",+(BG190-#REF!)*Y190,(AP190+AQ190)-Y190*#REF!)</f>
        <v>#REF!</v>
      </c>
      <c r="BX190" s="167" t="e">
        <f t="shared" si="308"/>
        <v>#REF!</v>
      </c>
      <c r="BY190" s="167" t="e">
        <f t="shared" si="309"/>
        <v>#REF!</v>
      </c>
      <c r="BZ190" s="167" t="e">
        <f t="shared" si="310"/>
        <v>#REF!</v>
      </c>
      <c r="CA190" s="167" t="e">
        <f t="shared" si="311"/>
        <v>#REF!</v>
      </c>
    </row>
    <row r="191" spans="1:79" s="16" customFormat="1">
      <c r="A191" s="142" t="s">
        <v>49</v>
      </c>
      <c r="B191" s="143" t="s">
        <v>512</v>
      </c>
      <c r="C191" s="198" t="s">
        <v>513</v>
      </c>
      <c r="D191" s="198" t="s">
        <v>239</v>
      </c>
      <c r="E191" s="198"/>
      <c r="F191" s="198"/>
      <c r="G191" s="145" t="s">
        <v>169</v>
      </c>
      <c r="H191" s="146" t="s">
        <v>170</v>
      </c>
      <c r="I191" s="145" t="s">
        <v>132</v>
      </c>
      <c r="J191" s="145" t="s">
        <v>133</v>
      </c>
      <c r="K191" s="147" t="str">
        <f t="shared" si="282"/>
        <v>No of Racks</v>
      </c>
      <c r="L191" s="145">
        <v>2</v>
      </c>
      <c r="M191" s="200">
        <v>2</v>
      </c>
      <c r="N191" s="323">
        <f t="shared" si="283"/>
        <v>0</v>
      </c>
      <c r="O191" s="200">
        <v>2</v>
      </c>
      <c r="P191" s="200"/>
      <c r="Q191" s="324">
        <f>(250000)/12</f>
        <v>20833.333333333332</v>
      </c>
      <c r="R191" s="150" t="str">
        <f t="shared" si="284"/>
        <v>Subscribed</v>
      </c>
      <c r="S191" s="145" t="s">
        <v>123</v>
      </c>
      <c r="T191" s="146">
        <v>6</v>
      </c>
      <c r="U191" s="327">
        <f>Z191</f>
        <v>3.2482142857142864</v>
      </c>
      <c r="V191" s="232">
        <f t="shared" si="255"/>
        <v>2.7517857142857136</v>
      </c>
      <c r="W191" s="146"/>
      <c r="X191" s="146">
        <f>IF(V191&lt;=0,0,(IF(R191="Rated",(V191+W191)*#REF!,(V191+W191))))</f>
        <v>2.7517857142857136</v>
      </c>
      <c r="Y191" s="146">
        <f>IF(R191="Rated",T191*#REF!,T191)</f>
        <v>6</v>
      </c>
      <c r="Z191" s="231">
        <f t="shared" si="313"/>
        <v>3.2482142857142864</v>
      </c>
      <c r="AA191" s="146">
        <f t="shared" si="256"/>
        <v>0</v>
      </c>
      <c r="AB191" s="152">
        <f t="shared" si="285"/>
        <v>0</v>
      </c>
      <c r="AC191" s="153" t="str">
        <f t="shared" si="286"/>
        <v>Metered</v>
      </c>
      <c r="AD191" s="146">
        <v>1</v>
      </c>
      <c r="AE191" s="146" t="s">
        <v>171</v>
      </c>
      <c r="AF191" s="154">
        <v>0</v>
      </c>
      <c r="AG191" s="351">
        <v>2182.8000000000002</v>
      </c>
      <c r="AH191" s="155"/>
      <c r="AI191" s="156"/>
      <c r="AJ191" s="146"/>
      <c r="AK191" s="146"/>
      <c r="AL191" s="146">
        <f t="shared" si="287"/>
        <v>0</v>
      </c>
      <c r="AM191" s="146"/>
      <c r="AN191" s="146"/>
      <c r="AO191" s="149">
        <f t="shared" si="312"/>
        <v>0</v>
      </c>
      <c r="AP191" s="157">
        <f t="shared" si="288"/>
        <v>41666.666666666664</v>
      </c>
      <c r="AQ191" s="157">
        <f t="shared" si="289"/>
        <v>0</v>
      </c>
      <c r="AR191" s="158">
        <f t="shared" si="290"/>
        <v>0</v>
      </c>
      <c r="AS191" s="157">
        <f t="shared" si="291"/>
        <v>0</v>
      </c>
      <c r="AT191" s="159">
        <f t="shared" si="292"/>
        <v>0</v>
      </c>
      <c r="AU191" s="160">
        <f t="shared" si="293"/>
        <v>41666.666666666664</v>
      </c>
      <c r="AV191" s="160"/>
      <c r="AW191" s="161"/>
      <c r="AX191" s="162"/>
      <c r="AY191" s="163"/>
      <c r="AZ191" s="162"/>
      <c r="BA191" s="164"/>
      <c r="BB191" s="5"/>
      <c r="BC191" s="165">
        <f t="shared" si="294"/>
        <v>20833.333333333332</v>
      </c>
      <c r="BD191" s="165">
        <f t="shared" si="295"/>
        <v>6944.4444444444443</v>
      </c>
      <c r="BE191" s="165" t="e">
        <f t="shared" si="296"/>
        <v>#REF!</v>
      </c>
      <c r="BF191" s="165" t="e">
        <f t="shared" si="297"/>
        <v>#REF!</v>
      </c>
      <c r="BG191" s="165" t="e">
        <f t="shared" si="298"/>
        <v>#REF!</v>
      </c>
      <c r="BH191" s="165"/>
      <c r="BI191" s="166">
        <f t="shared" si="299"/>
        <v>41666.666666666664</v>
      </c>
      <c r="BJ191" s="166">
        <f t="shared" si="300"/>
        <v>41666.666666666664</v>
      </c>
      <c r="BK191" s="166">
        <f>IF(H191="Bundled",MIN(Y191*#REF!*(1+#REF!),BI191),AR191)</f>
        <v>0</v>
      </c>
      <c r="BL191" s="167" t="e">
        <f>IF($AG191&gt;0,$AG191*#REF!*#REF!*(1+#REF!*(20/#REF!)/732),#REF!*Z191)</f>
        <v>#REF!</v>
      </c>
      <c r="BM191" s="167" t="e">
        <f>IF($AG191&gt;0,$AG191*#REF!*#REF!*(1+#REF!*(20/#REF!)/732),+#REF!*(Z191+X191))</f>
        <v>#REF!</v>
      </c>
      <c r="BN191" s="167" t="e">
        <f>IF(H191="Bundled",#REF!*Y191,#REF!*Y191*0.85)</f>
        <v>#REF!</v>
      </c>
      <c r="BO191" s="167" t="e">
        <f t="shared" si="301"/>
        <v>#REF!</v>
      </c>
      <c r="BP191" s="167" t="e">
        <f>+#REF!*Y191</f>
        <v>#REF!</v>
      </c>
      <c r="BQ191" s="167" t="e">
        <f t="shared" si="302"/>
        <v>#REF!</v>
      </c>
      <c r="BR191" s="167" t="e">
        <f t="shared" si="303"/>
        <v>#REF!</v>
      </c>
      <c r="BS191" s="167" t="e">
        <f t="shared" si="304"/>
        <v>#REF!</v>
      </c>
      <c r="BT191" s="167">
        <f t="shared" si="305"/>
        <v>6</v>
      </c>
      <c r="BU191" s="167" t="e">
        <f t="shared" si="306"/>
        <v>#REF!</v>
      </c>
      <c r="BV191" s="167" t="e">
        <f t="shared" si="307"/>
        <v>#REF!</v>
      </c>
      <c r="BW191" s="167" t="e">
        <f>IF(H191="Bundled",+(BG191-#REF!)*Y191,(AP191+AQ191)-Y191*#REF!)</f>
        <v>#REF!</v>
      </c>
      <c r="BX191" s="167" t="e">
        <f t="shared" si="308"/>
        <v>#REF!</v>
      </c>
      <c r="BY191" s="167" t="e">
        <f t="shared" si="309"/>
        <v>#REF!</v>
      </c>
      <c r="BZ191" s="167" t="e">
        <f t="shared" si="310"/>
        <v>#REF!</v>
      </c>
      <c r="CA191" s="167" t="e">
        <f t="shared" si="311"/>
        <v>#REF!</v>
      </c>
    </row>
    <row r="192" spans="1:79" s="16" customFormat="1">
      <c r="A192" s="142" t="s">
        <v>49</v>
      </c>
      <c r="B192" s="143" t="s">
        <v>514</v>
      </c>
      <c r="C192" s="198" t="s">
        <v>513</v>
      </c>
      <c r="D192" s="198" t="s">
        <v>239</v>
      </c>
      <c r="E192" s="198"/>
      <c r="F192" s="198"/>
      <c r="G192" s="145" t="s">
        <v>169</v>
      </c>
      <c r="H192" s="146" t="s">
        <v>170</v>
      </c>
      <c r="I192" s="145" t="s">
        <v>132</v>
      </c>
      <c r="J192" s="145" t="s">
        <v>133</v>
      </c>
      <c r="K192" s="147" t="str">
        <f t="shared" si="282"/>
        <v>No of Racks</v>
      </c>
      <c r="L192" s="145">
        <v>1</v>
      </c>
      <c r="M192" s="200">
        <v>1</v>
      </c>
      <c r="N192" s="323">
        <f t="shared" si="283"/>
        <v>0</v>
      </c>
      <c r="O192" s="200">
        <v>1</v>
      </c>
      <c r="P192" s="200"/>
      <c r="Q192" s="324"/>
      <c r="R192" s="150" t="str">
        <f t="shared" si="284"/>
        <v>Subscribed</v>
      </c>
      <c r="S192" s="145" t="s">
        <v>123</v>
      </c>
      <c r="T192" s="146">
        <v>6</v>
      </c>
      <c r="U192" s="327">
        <f>Z192</f>
        <v>1.5248511904761906</v>
      </c>
      <c r="V192" s="232">
        <f t="shared" si="255"/>
        <v>4.4751488095238097</v>
      </c>
      <c r="W192" s="146"/>
      <c r="X192" s="146">
        <f>IF(V192&lt;=0,0,(IF(R192="Rated",(V192+W192)*#REF!,(V192+W192))))</f>
        <v>4.4751488095238097</v>
      </c>
      <c r="Y192" s="146">
        <f>IF(R192="Rated",T192*#REF!,T192)</f>
        <v>6</v>
      </c>
      <c r="Z192" s="231">
        <f t="shared" si="313"/>
        <v>1.5248511904761906</v>
      </c>
      <c r="AA192" s="146">
        <f t="shared" si="256"/>
        <v>0</v>
      </c>
      <c r="AB192" s="152">
        <f t="shared" si="285"/>
        <v>0</v>
      </c>
      <c r="AC192" s="153" t="str">
        <f t="shared" si="286"/>
        <v>Metered</v>
      </c>
      <c r="AD192" s="146">
        <v>1</v>
      </c>
      <c r="AE192" s="146" t="s">
        <v>171</v>
      </c>
      <c r="AF192" s="154">
        <v>0</v>
      </c>
      <c r="AG192" s="351">
        <v>1024.7</v>
      </c>
      <c r="AH192" s="155"/>
      <c r="AI192" s="156"/>
      <c r="AJ192" s="146"/>
      <c r="AK192" s="146"/>
      <c r="AL192" s="146">
        <f t="shared" si="287"/>
        <v>0</v>
      </c>
      <c r="AM192" s="146"/>
      <c r="AN192" s="146"/>
      <c r="AO192" s="149">
        <f t="shared" si="312"/>
        <v>0</v>
      </c>
      <c r="AP192" s="157">
        <f t="shared" si="288"/>
        <v>0</v>
      </c>
      <c r="AQ192" s="157">
        <f t="shared" si="289"/>
        <v>0</v>
      </c>
      <c r="AR192" s="158">
        <f t="shared" si="290"/>
        <v>0</v>
      </c>
      <c r="AS192" s="157">
        <f t="shared" si="291"/>
        <v>0</v>
      </c>
      <c r="AT192" s="159">
        <f t="shared" si="292"/>
        <v>0</v>
      </c>
      <c r="AU192" s="160">
        <f t="shared" si="293"/>
        <v>0</v>
      </c>
      <c r="AV192" s="160"/>
      <c r="AW192" s="161"/>
      <c r="AX192" s="162"/>
      <c r="AY192" s="163"/>
      <c r="AZ192" s="162"/>
      <c r="BA192" s="164"/>
      <c r="BB192" s="5"/>
      <c r="BC192" s="165">
        <f t="shared" si="294"/>
        <v>0</v>
      </c>
      <c r="BD192" s="165">
        <f t="shared" si="295"/>
        <v>0</v>
      </c>
      <c r="BE192" s="165" t="e">
        <f t="shared" si="296"/>
        <v>#REF!</v>
      </c>
      <c r="BF192" s="165" t="e">
        <f t="shared" si="297"/>
        <v>#REF!</v>
      </c>
      <c r="BG192" s="165" t="e">
        <f t="shared" si="298"/>
        <v>#REF!</v>
      </c>
      <c r="BH192" s="165"/>
      <c r="BI192" s="166">
        <f t="shared" si="299"/>
        <v>0</v>
      </c>
      <c r="BJ192" s="166">
        <f t="shared" si="300"/>
        <v>0</v>
      </c>
      <c r="BK192" s="166">
        <f>IF(H192="Bundled",MIN(Y192*#REF!*(1+#REF!),BI192),AR192)</f>
        <v>0</v>
      </c>
      <c r="BL192" s="167" t="e">
        <f>IF($AG192&gt;0,$AG192*#REF!*#REF!*(1+#REF!*(20/#REF!)/732),#REF!*Z192)</f>
        <v>#REF!</v>
      </c>
      <c r="BM192" s="167" t="e">
        <f>IF($AG192&gt;0,$AG192*#REF!*#REF!*(1+#REF!*(20/#REF!)/732),+#REF!*(Z192+X192))</f>
        <v>#REF!</v>
      </c>
      <c r="BN192" s="167" t="e">
        <f>IF(H192="Bundled",#REF!*Y192,#REF!*Y192*0.85)</f>
        <v>#REF!</v>
      </c>
      <c r="BO192" s="167" t="e">
        <f t="shared" si="301"/>
        <v>#REF!</v>
      </c>
      <c r="BP192" s="167" t="e">
        <f>+#REF!*Y192</f>
        <v>#REF!</v>
      </c>
      <c r="BQ192" s="167" t="e">
        <f t="shared" si="302"/>
        <v>#REF!</v>
      </c>
      <c r="BR192" s="167" t="e">
        <f t="shared" si="303"/>
        <v>#REF!</v>
      </c>
      <c r="BS192" s="167" t="e">
        <f t="shared" si="304"/>
        <v>#REF!</v>
      </c>
      <c r="BT192" s="167">
        <f t="shared" si="305"/>
        <v>6</v>
      </c>
      <c r="BU192" s="167" t="e">
        <f t="shared" si="306"/>
        <v>#REF!</v>
      </c>
      <c r="BV192" s="167" t="e">
        <f t="shared" si="307"/>
        <v>#REF!</v>
      </c>
      <c r="BW192" s="167" t="e">
        <f>IF(H192="Bundled",+(BG192-#REF!)*Y192,(AP192+AQ192)-Y192*#REF!)</f>
        <v>#REF!</v>
      </c>
      <c r="BX192" s="167" t="e">
        <f t="shared" si="308"/>
        <v>#REF!</v>
      </c>
      <c r="BY192" s="167" t="e">
        <f t="shared" si="309"/>
        <v>#REF!</v>
      </c>
      <c r="BZ192" s="167" t="e">
        <f t="shared" si="310"/>
        <v>#REF!</v>
      </c>
      <c r="CA192" s="167" t="e">
        <f t="shared" si="311"/>
        <v>#REF!</v>
      </c>
    </row>
    <row r="193" spans="1:79" s="16" customFormat="1">
      <c r="A193" s="142" t="s">
        <v>49</v>
      </c>
      <c r="B193" s="143" t="s">
        <v>515</v>
      </c>
      <c r="C193" s="198" t="s">
        <v>513</v>
      </c>
      <c r="D193" s="198" t="s">
        <v>239</v>
      </c>
      <c r="E193" s="198"/>
      <c r="F193" s="198"/>
      <c r="G193" s="145" t="s">
        <v>169</v>
      </c>
      <c r="H193" s="146" t="s">
        <v>170</v>
      </c>
      <c r="I193" s="145" t="s">
        <v>132</v>
      </c>
      <c r="J193" s="145" t="s">
        <v>133</v>
      </c>
      <c r="K193" s="147" t="str">
        <f t="shared" si="282"/>
        <v>No of Racks</v>
      </c>
      <c r="L193" s="145">
        <v>1</v>
      </c>
      <c r="M193" s="200">
        <v>1</v>
      </c>
      <c r="N193" s="323">
        <f t="shared" si="283"/>
        <v>0</v>
      </c>
      <c r="O193" s="200">
        <v>1</v>
      </c>
      <c r="P193" s="200"/>
      <c r="Q193" s="324"/>
      <c r="R193" s="150" t="str">
        <f t="shared" si="284"/>
        <v>Subscribed</v>
      </c>
      <c r="S193" s="145" t="s">
        <v>123</v>
      </c>
      <c r="T193" s="146">
        <v>6</v>
      </c>
      <c r="U193" s="327">
        <f>Z193</f>
        <v>1.6049107142857144</v>
      </c>
      <c r="V193" s="232">
        <f t="shared" si="255"/>
        <v>4.3950892857142856</v>
      </c>
      <c r="W193" s="146"/>
      <c r="X193" s="146">
        <f>IF(V193&lt;=0,0,(IF(R193="Rated",(V193+W193)*#REF!,(V193+W193))))</f>
        <v>4.3950892857142856</v>
      </c>
      <c r="Y193" s="146">
        <f>IF(R193="Rated",T193*#REF!,T193)</f>
        <v>6</v>
      </c>
      <c r="Z193" s="231">
        <f t="shared" si="313"/>
        <v>1.6049107142857144</v>
      </c>
      <c r="AA193" s="146">
        <f t="shared" si="256"/>
        <v>0</v>
      </c>
      <c r="AB193" s="152">
        <f t="shared" si="285"/>
        <v>0</v>
      </c>
      <c r="AC193" s="153" t="str">
        <f t="shared" si="286"/>
        <v>Metered</v>
      </c>
      <c r="AD193" s="146">
        <v>1</v>
      </c>
      <c r="AE193" s="146" t="s">
        <v>171</v>
      </c>
      <c r="AF193" s="154">
        <v>0</v>
      </c>
      <c r="AG193" s="351">
        <v>1078.5</v>
      </c>
      <c r="AH193" s="155"/>
      <c r="AI193" s="156"/>
      <c r="AJ193" s="146"/>
      <c r="AK193" s="146"/>
      <c r="AL193" s="146">
        <f t="shared" si="287"/>
        <v>0</v>
      </c>
      <c r="AM193" s="146"/>
      <c r="AN193" s="146"/>
      <c r="AO193" s="149">
        <f t="shared" si="312"/>
        <v>0</v>
      </c>
      <c r="AP193" s="157">
        <f t="shared" si="288"/>
        <v>0</v>
      </c>
      <c r="AQ193" s="157">
        <f t="shared" si="289"/>
        <v>0</v>
      </c>
      <c r="AR193" s="158">
        <f t="shared" si="290"/>
        <v>0</v>
      </c>
      <c r="AS193" s="157">
        <f t="shared" si="291"/>
        <v>0</v>
      </c>
      <c r="AT193" s="159">
        <f t="shared" si="292"/>
        <v>0</v>
      </c>
      <c r="AU193" s="160">
        <f t="shared" si="293"/>
        <v>0</v>
      </c>
      <c r="AV193" s="160"/>
      <c r="AW193" s="161"/>
      <c r="AX193" s="162"/>
      <c r="AY193" s="163"/>
      <c r="AZ193" s="162"/>
      <c r="BA193" s="164"/>
      <c r="BB193" s="5"/>
      <c r="BC193" s="165">
        <f t="shared" si="294"/>
        <v>0</v>
      </c>
      <c r="BD193" s="165">
        <f t="shared" si="295"/>
        <v>0</v>
      </c>
      <c r="BE193" s="165" t="e">
        <f t="shared" si="296"/>
        <v>#REF!</v>
      </c>
      <c r="BF193" s="165" t="e">
        <f t="shared" si="297"/>
        <v>#REF!</v>
      </c>
      <c r="BG193" s="165" t="e">
        <f t="shared" si="298"/>
        <v>#REF!</v>
      </c>
      <c r="BH193" s="165"/>
      <c r="BI193" s="166">
        <f t="shared" si="299"/>
        <v>0</v>
      </c>
      <c r="BJ193" s="166">
        <f t="shared" si="300"/>
        <v>0</v>
      </c>
      <c r="BK193" s="166">
        <f>IF(H193="Bundled",MIN(Y193*#REF!*(1+#REF!),BI193),AR193)</f>
        <v>0</v>
      </c>
      <c r="BL193" s="167" t="e">
        <f>IF($AG193&gt;0,$AG193*#REF!*#REF!*(1+#REF!*(20/#REF!)/732),#REF!*Z193)</f>
        <v>#REF!</v>
      </c>
      <c r="BM193" s="167" t="e">
        <f>IF($AG193&gt;0,$AG193*#REF!*#REF!*(1+#REF!*(20/#REF!)/732),+#REF!*(Z193+X193))</f>
        <v>#REF!</v>
      </c>
      <c r="BN193" s="167" t="e">
        <f>IF(H193="Bundled",#REF!*Y193,#REF!*Y193*0.85)</f>
        <v>#REF!</v>
      </c>
      <c r="BO193" s="167" t="e">
        <f t="shared" si="301"/>
        <v>#REF!</v>
      </c>
      <c r="BP193" s="167" t="e">
        <f>+#REF!*Y193</f>
        <v>#REF!</v>
      </c>
      <c r="BQ193" s="167" t="e">
        <f t="shared" si="302"/>
        <v>#REF!</v>
      </c>
      <c r="BR193" s="167" t="e">
        <f t="shared" si="303"/>
        <v>#REF!</v>
      </c>
      <c r="BS193" s="167" t="e">
        <f t="shared" si="304"/>
        <v>#REF!</v>
      </c>
      <c r="BT193" s="167">
        <f t="shared" si="305"/>
        <v>6</v>
      </c>
      <c r="BU193" s="167" t="e">
        <f t="shared" si="306"/>
        <v>#REF!</v>
      </c>
      <c r="BV193" s="167" t="e">
        <f t="shared" si="307"/>
        <v>#REF!</v>
      </c>
      <c r="BW193" s="167" t="e">
        <f>IF(H193="Bundled",+(BG193-#REF!)*Y193,(AP193+AQ193)-Y193*#REF!)</f>
        <v>#REF!</v>
      </c>
      <c r="BX193" s="167" t="e">
        <f t="shared" si="308"/>
        <v>#REF!</v>
      </c>
      <c r="BY193" s="167" t="e">
        <f t="shared" si="309"/>
        <v>#REF!</v>
      </c>
      <c r="BZ193" s="167" t="e">
        <f t="shared" si="310"/>
        <v>#REF!</v>
      </c>
      <c r="CA193" s="167" t="e">
        <f t="shared" si="311"/>
        <v>#REF!</v>
      </c>
    </row>
    <row r="194" spans="1:79" s="16" customFormat="1" ht="26.1">
      <c r="A194" s="142" t="s">
        <v>49</v>
      </c>
      <c r="B194" s="143" t="s">
        <v>516</v>
      </c>
      <c r="C194" s="198" t="s">
        <v>517</v>
      </c>
      <c r="D194" s="198" t="s">
        <v>239</v>
      </c>
      <c r="E194" s="198"/>
      <c r="F194" s="198"/>
      <c r="G194" s="145" t="s">
        <v>130</v>
      </c>
      <c r="H194" s="146" t="s">
        <v>131</v>
      </c>
      <c r="I194" s="145" t="s">
        <v>132</v>
      </c>
      <c r="J194" s="145" t="s">
        <v>133</v>
      </c>
      <c r="K194" s="147" t="str">
        <f t="shared" si="282"/>
        <v>No of Racks</v>
      </c>
      <c r="L194" s="145">
        <v>1</v>
      </c>
      <c r="M194" s="200">
        <v>1</v>
      </c>
      <c r="N194" s="323">
        <f t="shared" si="283"/>
        <v>0</v>
      </c>
      <c r="O194" s="200">
        <v>1</v>
      </c>
      <c r="P194" s="200"/>
      <c r="Q194" s="324">
        <f>(260000)/12</f>
        <v>21666.666666666668</v>
      </c>
      <c r="R194" s="150" t="str">
        <f t="shared" si="284"/>
        <v>Rated</v>
      </c>
      <c r="S194" s="145" t="s">
        <v>134</v>
      </c>
      <c r="T194" s="146">
        <v>6</v>
      </c>
      <c r="U194" s="151">
        <v>7.72</v>
      </c>
      <c r="V194" s="232">
        <f t="shared" si="255"/>
        <v>-1.7199999999999998</v>
      </c>
      <c r="W194" s="146"/>
      <c r="X194" s="146">
        <f>IF(V194&lt;=0,0,(IF(R194="Rated",(V194+W194)*#REF!,(V194+W194))))</f>
        <v>0</v>
      </c>
      <c r="Y194" s="146" t="e">
        <f>IF(R194="Rated",T194*#REF!,T194)</f>
        <v>#REF!</v>
      </c>
      <c r="Z194" s="231">
        <f t="shared" si="313"/>
        <v>2.0416666666666665</v>
      </c>
      <c r="AA194" s="146">
        <f t="shared" si="256"/>
        <v>1.7199999999999998</v>
      </c>
      <c r="AB194" s="152">
        <f t="shared" si="285"/>
        <v>0</v>
      </c>
      <c r="AC194" s="153" t="str">
        <f t="shared" si="286"/>
        <v>Bundled</v>
      </c>
      <c r="AD194" s="146"/>
      <c r="AE194" s="146"/>
      <c r="AF194" s="154"/>
      <c r="AG194" s="146">
        <v>1372</v>
      </c>
      <c r="AH194" s="155"/>
      <c r="AI194" s="156"/>
      <c r="AJ194" s="146"/>
      <c r="AK194" s="146"/>
      <c r="AL194" s="146">
        <f t="shared" si="287"/>
        <v>0</v>
      </c>
      <c r="AM194" s="146"/>
      <c r="AN194" s="146"/>
      <c r="AO194" s="149">
        <f t="shared" si="312"/>
        <v>0</v>
      </c>
      <c r="AP194" s="157">
        <f t="shared" si="288"/>
        <v>21666.666666666668</v>
      </c>
      <c r="AQ194" s="157">
        <f t="shared" si="289"/>
        <v>0</v>
      </c>
      <c r="AR194" s="158">
        <f t="shared" si="290"/>
        <v>0</v>
      </c>
      <c r="AS194" s="157">
        <f t="shared" si="291"/>
        <v>0</v>
      </c>
      <c r="AT194" s="159">
        <f t="shared" si="292"/>
        <v>0</v>
      </c>
      <c r="AU194" s="160">
        <f t="shared" si="293"/>
        <v>21666.666666666668</v>
      </c>
      <c r="AV194" s="160"/>
      <c r="AW194" s="161"/>
      <c r="AX194" s="162"/>
      <c r="AY194" s="163"/>
      <c r="AZ194" s="162"/>
      <c r="BA194" s="164"/>
      <c r="BB194" s="5"/>
      <c r="BC194" s="165">
        <f t="shared" si="294"/>
        <v>21666.666666666668</v>
      </c>
      <c r="BD194" s="165" t="e">
        <f t="shared" si="295"/>
        <v>#REF!</v>
      </c>
      <c r="BE194" s="165" t="e">
        <f t="shared" si="296"/>
        <v>#REF!</v>
      </c>
      <c r="BF194" s="165" t="e">
        <f t="shared" si="297"/>
        <v>#REF!</v>
      </c>
      <c r="BG194" s="165" t="e">
        <f t="shared" si="298"/>
        <v>#REF!</v>
      </c>
      <c r="BH194" s="165"/>
      <c r="BI194" s="166">
        <f t="shared" si="299"/>
        <v>21666.666666666668</v>
      </c>
      <c r="BJ194" s="166" t="e">
        <f t="shared" si="300"/>
        <v>#REF!</v>
      </c>
      <c r="BK194" s="166" t="e">
        <f>IF(H194="Bundled",MIN(Y194*#REF!*(1+#REF!),BI194),AR194)</f>
        <v>#REF!</v>
      </c>
      <c r="BL194" s="167" t="e">
        <f>IF($AG194&gt;0,$AG194*#REF!*#REF!*(1+#REF!*(20/#REF!)/732),#REF!*Z194)</f>
        <v>#REF!</v>
      </c>
      <c r="BM194" s="167" t="e">
        <f>IF($AG194&gt;0,$AG194*#REF!*#REF!*(1+#REF!*(20/#REF!)/732),+#REF!*(Z194+X194))</f>
        <v>#REF!</v>
      </c>
      <c r="BN194" s="167" t="e">
        <f>IF(H194="Bundled",#REF!*Y194,#REF!*Y194*0.85)</f>
        <v>#REF!</v>
      </c>
      <c r="BO194" s="167" t="e">
        <f t="shared" si="301"/>
        <v>#REF!</v>
      </c>
      <c r="BP194" s="167" t="e">
        <f>+#REF!*Y194</f>
        <v>#REF!</v>
      </c>
      <c r="BQ194" s="167" t="e">
        <f t="shared" si="302"/>
        <v>#REF!</v>
      </c>
      <c r="BR194" s="167" t="e">
        <f t="shared" si="303"/>
        <v>#REF!</v>
      </c>
      <c r="BS194" s="167" t="e">
        <f t="shared" si="304"/>
        <v>#REF!</v>
      </c>
      <c r="BT194" s="167" t="e">
        <f t="shared" si="305"/>
        <v>#REF!</v>
      </c>
      <c r="BU194" s="167" t="e">
        <f t="shared" si="306"/>
        <v>#REF!</v>
      </c>
      <c r="BV194" s="167" t="e">
        <f t="shared" si="307"/>
        <v>#REF!</v>
      </c>
      <c r="BW194" s="167" t="e">
        <f>IF(H194="Bundled",+(BG194-#REF!)*Y194,(AP194+AQ194)-Y194*#REF!)</f>
        <v>#REF!</v>
      </c>
      <c r="BX194" s="167" t="e">
        <f t="shared" si="308"/>
        <v>#REF!</v>
      </c>
      <c r="BY194" s="167" t="e">
        <f t="shared" si="309"/>
        <v>#REF!</v>
      </c>
      <c r="BZ194" s="167" t="e">
        <f t="shared" si="310"/>
        <v>#REF!</v>
      </c>
      <c r="CA194" s="167" t="e">
        <f t="shared" si="311"/>
        <v>#REF!</v>
      </c>
    </row>
    <row r="195" spans="1:79" s="16" customFormat="1">
      <c r="A195" s="142" t="s">
        <v>49</v>
      </c>
      <c r="B195" s="143" t="s">
        <v>518</v>
      </c>
      <c r="C195" s="197" t="s">
        <v>519</v>
      </c>
      <c r="D195" s="197" t="s">
        <v>235</v>
      </c>
      <c r="E195" s="197"/>
      <c r="F195" s="197"/>
      <c r="G195" s="145" t="s">
        <v>130</v>
      </c>
      <c r="H195" s="146" t="s">
        <v>131</v>
      </c>
      <c r="I195" s="145" t="s">
        <v>132</v>
      </c>
      <c r="J195" s="145" t="s">
        <v>133</v>
      </c>
      <c r="K195" s="147" t="str">
        <f t="shared" si="282"/>
        <v>No of Racks</v>
      </c>
      <c r="L195" s="145">
        <v>1</v>
      </c>
      <c r="M195" s="200">
        <v>1</v>
      </c>
      <c r="N195" s="323">
        <f t="shared" si="283"/>
        <v>0</v>
      </c>
      <c r="O195" s="200">
        <v>1</v>
      </c>
      <c r="P195" s="200"/>
      <c r="Q195" s="324">
        <f>(485000)/12</f>
        <v>40416.666666666664</v>
      </c>
      <c r="R195" s="150" t="str">
        <f t="shared" si="284"/>
        <v>Rated</v>
      </c>
      <c r="S195" s="145" t="s">
        <v>134</v>
      </c>
      <c r="T195" s="146">
        <v>3</v>
      </c>
      <c r="U195" s="151">
        <v>3.6</v>
      </c>
      <c r="V195" s="232">
        <f t="shared" si="255"/>
        <v>-0.60000000000000009</v>
      </c>
      <c r="W195" s="146"/>
      <c r="X195" s="146">
        <f>IF(V195&lt;=0,0,(IF(R195="Rated",(V195+W195)*#REF!,(V195+W195))))</f>
        <v>0</v>
      </c>
      <c r="Y195" s="146" t="e">
        <f>IF(R195="Rated",T195*#REF!,T195)</f>
        <v>#REF!</v>
      </c>
      <c r="Z195" s="231">
        <f t="shared" si="313"/>
        <v>0.73630952380952375</v>
      </c>
      <c r="AA195" s="146">
        <f t="shared" si="256"/>
        <v>0.60000000000000009</v>
      </c>
      <c r="AB195" s="152">
        <f>0/12</f>
        <v>0</v>
      </c>
      <c r="AC195" s="153" t="str">
        <f t="shared" si="286"/>
        <v>Bundled</v>
      </c>
      <c r="AD195" s="146"/>
      <c r="AE195" s="146"/>
      <c r="AF195" s="154"/>
      <c r="AG195" s="146">
        <v>494.8</v>
      </c>
      <c r="AH195" s="155"/>
      <c r="AI195" s="156"/>
      <c r="AJ195" s="146"/>
      <c r="AK195" s="146"/>
      <c r="AL195" s="146">
        <f t="shared" si="287"/>
        <v>0</v>
      </c>
      <c r="AM195" s="146"/>
      <c r="AN195" s="146"/>
      <c r="AO195" s="149">
        <f t="shared" si="312"/>
        <v>0</v>
      </c>
      <c r="AP195" s="157">
        <f t="shared" si="288"/>
        <v>40416.666666666664</v>
      </c>
      <c r="AQ195" s="157">
        <f t="shared" si="289"/>
        <v>0</v>
      </c>
      <c r="AR195" s="158">
        <f t="shared" si="290"/>
        <v>0</v>
      </c>
      <c r="AS195" s="157">
        <f t="shared" si="291"/>
        <v>0</v>
      </c>
      <c r="AT195" s="159">
        <f t="shared" si="292"/>
        <v>0</v>
      </c>
      <c r="AU195" s="160">
        <f t="shared" si="293"/>
        <v>40416.666666666664</v>
      </c>
      <c r="AV195" s="160"/>
      <c r="AW195" s="161"/>
      <c r="AX195" s="162"/>
      <c r="AY195" s="163"/>
      <c r="AZ195" s="162"/>
      <c r="BA195" s="164"/>
      <c r="BB195" s="5"/>
      <c r="BC195" s="165">
        <f t="shared" si="294"/>
        <v>40416.666666666664</v>
      </c>
      <c r="BD195" s="165" t="e">
        <f t="shared" si="295"/>
        <v>#REF!</v>
      </c>
      <c r="BE195" s="165" t="e">
        <f t="shared" si="296"/>
        <v>#REF!</v>
      </c>
      <c r="BF195" s="165" t="e">
        <f t="shared" si="297"/>
        <v>#REF!</v>
      </c>
      <c r="BG195" s="165" t="e">
        <f t="shared" si="298"/>
        <v>#REF!</v>
      </c>
      <c r="BH195" s="165"/>
      <c r="BI195" s="166">
        <f t="shared" si="299"/>
        <v>40416.666666666664</v>
      </c>
      <c r="BJ195" s="166" t="e">
        <f t="shared" si="300"/>
        <v>#REF!</v>
      </c>
      <c r="BK195" s="166" t="e">
        <f>IF(H195="Bundled",MIN(Y195*#REF!*(1+#REF!),BI195),AR195)</f>
        <v>#REF!</v>
      </c>
      <c r="BL195" s="167" t="e">
        <f>IF($AG195&gt;0,$AG195*#REF!*#REF!*(1+#REF!*(20/#REF!)/732),#REF!*Z195)</f>
        <v>#REF!</v>
      </c>
      <c r="BM195" s="167" t="e">
        <f>IF($AG195&gt;0,$AG195*#REF!*#REF!*(1+#REF!*(20/#REF!)/732),+#REF!*(Z195+X195))</f>
        <v>#REF!</v>
      </c>
      <c r="BN195" s="167" t="e">
        <f>IF(H195="Bundled",#REF!*Y195,#REF!*Y195*0.85)</f>
        <v>#REF!</v>
      </c>
      <c r="BO195" s="167" t="e">
        <f t="shared" si="301"/>
        <v>#REF!</v>
      </c>
      <c r="BP195" s="167" t="e">
        <f>+#REF!*Y195</f>
        <v>#REF!</v>
      </c>
      <c r="BQ195" s="167" t="e">
        <f t="shared" si="302"/>
        <v>#REF!</v>
      </c>
      <c r="BR195" s="167" t="e">
        <f t="shared" si="303"/>
        <v>#REF!</v>
      </c>
      <c r="BS195" s="167" t="e">
        <f t="shared" si="304"/>
        <v>#REF!</v>
      </c>
      <c r="BT195" s="167" t="e">
        <f t="shared" si="305"/>
        <v>#REF!</v>
      </c>
      <c r="BU195" s="167" t="e">
        <f t="shared" si="306"/>
        <v>#REF!</v>
      </c>
      <c r="BV195" s="167" t="e">
        <f t="shared" si="307"/>
        <v>#REF!</v>
      </c>
      <c r="BW195" s="167" t="e">
        <f>IF(H195="Bundled",+(BG195-#REF!)*Y195,(AP195+AQ195)-Y195*#REF!)</f>
        <v>#REF!</v>
      </c>
      <c r="BX195" s="167" t="e">
        <f t="shared" si="308"/>
        <v>#REF!</v>
      </c>
      <c r="BY195" s="167" t="e">
        <f t="shared" si="309"/>
        <v>#REF!</v>
      </c>
      <c r="BZ195" s="167" t="e">
        <f t="shared" si="310"/>
        <v>#REF!</v>
      </c>
      <c r="CA195" s="167" t="e">
        <f t="shared" si="311"/>
        <v>#REF!</v>
      </c>
    </row>
    <row r="196" spans="1:79" s="16" customFormat="1" ht="26.1">
      <c r="A196" s="142" t="s">
        <v>49</v>
      </c>
      <c r="B196" s="168" t="s">
        <v>520</v>
      </c>
      <c r="C196" s="168" t="s">
        <v>389</v>
      </c>
      <c r="D196" s="168" t="s">
        <v>239</v>
      </c>
      <c r="E196" s="168"/>
      <c r="F196" s="168"/>
      <c r="G196" s="145" t="s">
        <v>169</v>
      </c>
      <c r="H196" s="146" t="s">
        <v>170</v>
      </c>
      <c r="I196" s="145" t="s">
        <v>59</v>
      </c>
      <c r="J196" s="145" t="s">
        <v>185</v>
      </c>
      <c r="K196" s="147" t="str">
        <f t="shared" si="282"/>
        <v>Sq Ft</v>
      </c>
      <c r="L196" s="145">
        <v>231</v>
      </c>
      <c r="M196" s="145">
        <v>231</v>
      </c>
      <c r="N196" s="148">
        <v>0</v>
      </c>
      <c r="O196" s="145">
        <v>2</v>
      </c>
      <c r="P196" s="145"/>
      <c r="Q196" s="149">
        <f>(0)/12</f>
        <v>0</v>
      </c>
      <c r="R196" s="150" t="str">
        <f t="shared" si="284"/>
        <v>Subscribed</v>
      </c>
      <c r="S196" s="145" t="s">
        <v>123</v>
      </c>
      <c r="T196" s="146">
        <v>30</v>
      </c>
      <c r="U196" s="327">
        <f t="shared" ref="U196:U203" si="314">Z196</f>
        <v>16.651190476190475</v>
      </c>
      <c r="V196" s="232">
        <f t="shared" si="255"/>
        <v>13.348809523809525</v>
      </c>
      <c r="W196" s="146"/>
      <c r="X196" s="146">
        <f>IF(V196&lt;=0,0,(IF(R196="Rated",(V196+W196)*#REF!,(V196+W196))))</f>
        <v>13.348809523809525</v>
      </c>
      <c r="Y196" s="146">
        <f>IF(R196="Rated",T196*#REF!,T196)</f>
        <v>30</v>
      </c>
      <c r="Z196" s="231">
        <f t="shared" si="313"/>
        <v>16.651190476190475</v>
      </c>
      <c r="AA196" s="146">
        <f t="shared" si="256"/>
        <v>0</v>
      </c>
      <c r="AB196" s="152">
        <f>0/12</f>
        <v>0</v>
      </c>
      <c r="AC196" s="153" t="str">
        <f t="shared" si="286"/>
        <v>Metered</v>
      </c>
      <c r="AD196" s="146"/>
      <c r="AE196" s="146" t="s">
        <v>171</v>
      </c>
      <c r="AF196" s="154">
        <v>0</v>
      </c>
      <c r="AG196" s="146">
        <v>11189.6</v>
      </c>
      <c r="AH196" s="155"/>
      <c r="AI196" s="156"/>
      <c r="AJ196" s="146"/>
      <c r="AK196" s="146"/>
      <c r="AL196" s="146">
        <f t="shared" si="287"/>
        <v>0</v>
      </c>
      <c r="AM196" s="146"/>
      <c r="AN196" s="146"/>
      <c r="AO196" s="149">
        <f t="shared" si="312"/>
        <v>0</v>
      </c>
      <c r="AP196" s="157">
        <f t="shared" si="288"/>
        <v>0</v>
      </c>
      <c r="AQ196" s="157">
        <f t="shared" si="289"/>
        <v>0</v>
      </c>
      <c r="AR196" s="158">
        <f t="shared" si="290"/>
        <v>0</v>
      </c>
      <c r="AS196" s="157">
        <f t="shared" si="291"/>
        <v>0</v>
      </c>
      <c r="AT196" s="159">
        <f>0/12</f>
        <v>0</v>
      </c>
      <c r="AU196" s="160">
        <f t="shared" si="293"/>
        <v>0</v>
      </c>
      <c r="AV196" s="160"/>
      <c r="AW196" s="161"/>
      <c r="AX196" s="162"/>
      <c r="AY196" s="163"/>
      <c r="AZ196" s="162"/>
      <c r="BA196" s="164"/>
      <c r="BB196" s="5"/>
      <c r="BC196" s="165">
        <f t="shared" si="294"/>
        <v>0</v>
      </c>
      <c r="BD196" s="165">
        <f t="shared" si="295"/>
        <v>0</v>
      </c>
      <c r="BE196" s="165" t="e">
        <f t="shared" si="296"/>
        <v>#REF!</v>
      </c>
      <c r="BF196" s="165" t="e">
        <f t="shared" si="297"/>
        <v>#REF!</v>
      </c>
      <c r="BG196" s="165" t="e">
        <f t="shared" si="298"/>
        <v>#REF!</v>
      </c>
      <c r="BH196" s="165"/>
      <c r="BI196" s="166">
        <f t="shared" si="299"/>
        <v>0</v>
      </c>
      <c r="BJ196" s="166">
        <f t="shared" si="300"/>
        <v>0</v>
      </c>
      <c r="BK196" s="166">
        <f>IF(H196="Bundled",MIN(Y196*#REF!*(1+#REF!),BI196),AR196)</f>
        <v>0</v>
      </c>
      <c r="BL196" s="167" t="e">
        <f>IF($AG196&gt;0,$AG196*#REF!*#REF!*(1+#REF!*(20/#REF!)/732),#REF!*Z196)</f>
        <v>#REF!</v>
      </c>
      <c r="BM196" s="167" t="e">
        <f>IF($AG196&gt;0,$AG196*#REF!*#REF!*(1+#REF!*(20/#REF!)/732),+#REF!*(Z196+X196))</f>
        <v>#REF!</v>
      </c>
      <c r="BN196" s="167" t="e">
        <f>IF(H196="Bundled",#REF!*Y196,#REF!*Y196*0.85)</f>
        <v>#REF!</v>
      </c>
      <c r="BO196" s="167" t="e">
        <f t="shared" si="301"/>
        <v>#REF!</v>
      </c>
      <c r="BP196" s="167" t="e">
        <f>+#REF!*Y196</f>
        <v>#REF!</v>
      </c>
      <c r="BQ196" s="167" t="e">
        <f t="shared" si="302"/>
        <v>#REF!</v>
      </c>
      <c r="BR196" s="167" t="e">
        <f t="shared" si="303"/>
        <v>#REF!</v>
      </c>
      <c r="BS196" s="167" t="e">
        <f t="shared" si="304"/>
        <v>#REF!</v>
      </c>
      <c r="BT196" s="167">
        <f t="shared" si="305"/>
        <v>30</v>
      </c>
      <c r="BU196" s="167" t="e">
        <f t="shared" si="306"/>
        <v>#REF!</v>
      </c>
      <c r="BV196" s="167" t="e">
        <f t="shared" si="307"/>
        <v>#REF!</v>
      </c>
      <c r="BW196" s="167" t="e">
        <f>IF(H196="Bundled",+(BG196-#REF!)*Y196,(AP196+AQ196)-Y196*#REF!)</f>
        <v>#REF!</v>
      </c>
      <c r="BX196" s="167" t="e">
        <f t="shared" si="308"/>
        <v>#REF!</v>
      </c>
      <c r="BY196" s="167" t="e">
        <f t="shared" si="309"/>
        <v>#REF!</v>
      </c>
      <c r="BZ196" s="167" t="e">
        <f t="shared" si="310"/>
        <v>#REF!</v>
      </c>
      <c r="CA196" s="167" t="e">
        <f t="shared" si="311"/>
        <v>#REF!</v>
      </c>
    </row>
    <row r="197" spans="1:79" s="16" customFormat="1" ht="26.1">
      <c r="A197" s="142" t="s">
        <v>49</v>
      </c>
      <c r="B197" s="168" t="s">
        <v>521</v>
      </c>
      <c r="C197" s="168" t="s">
        <v>389</v>
      </c>
      <c r="D197" s="168" t="s">
        <v>239</v>
      </c>
      <c r="E197" s="168"/>
      <c r="F197" s="168"/>
      <c r="G197" s="145" t="s">
        <v>169</v>
      </c>
      <c r="H197" s="146" t="s">
        <v>170</v>
      </c>
      <c r="I197" s="145" t="s">
        <v>59</v>
      </c>
      <c r="J197" s="145" t="s">
        <v>185</v>
      </c>
      <c r="K197" s="147" t="s">
        <v>252</v>
      </c>
      <c r="L197" s="145">
        <v>1177</v>
      </c>
      <c r="M197" s="145">
        <v>1177</v>
      </c>
      <c r="N197" s="148">
        <v>0</v>
      </c>
      <c r="O197" s="145">
        <v>24</v>
      </c>
      <c r="P197" s="145"/>
      <c r="Q197" s="149"/>
      <c r="R197" s="150" t="str">
        <f t="shared" si="284"/>
        <v>Subscribed</v>
      </c>
      <c r="S197" s="145" t="s">
        <v>123</v>
      </c>
      <c r="T197" s="146">
        <v>450</v>
      </c>
      <c r="U197" s="327">
        <f t="shared" si="314"/>
        <v>70.65327380952381</v>
      </c>
      <c r="V197" s="232"/>
      <c r="W197" s="146"/>
      <c r="X197" s="146"/>
      <c r="Y197" s="146">
        <f>IF(R197="Rated",T197*#REF!,T197)</f>
        <v>450</v>
      </c>
      <c r="Z197" s="231">
        <f t="shared" si="313"/>
        <v>70.65327380952381</v>
      </c>
      <c r="AA197" s="146"/>
      <c r="AB197" s="152"/>
      <c r="AC197" s="153" t="str">
        <f t="shared" si="286"/>
        <v>Metered</v>
      </c>
      <c r="AD197" s="146"/>
      <c r="AE197" s="146" t="s">
        <v>171</v>
      </c>
      <c r="AF197" s="154"/>
      <c r="AG197" s="146">
        <v>47479</v>
      </c>
      <c r="AH197" s="155"/>
      <c r="AI197" s="156"/>
      <c r="AJ197" s="146"/>
      <c r="AK197" s="146"/>
      <c r="AL197" s="146"/>
      <c r="AM197" s="146"/>
      <c r="AN197" s="146"/>
      <c r="AO197" s="149"/>
      <c r="AP197" s="157"/>
      <c r="AQ197" s="157"/>
      <c r="AR197" s="158"/>
      <c r="AS197" s="157"/>
      <c r="AT197" s="159"/>
      <c r="AU197" s="160"/>
      <c r="AV197" s="160"/>
      <c r="AW197" s="161"/>
      <c r="AX197" s="162"/>
      <c r="AY197" s="163"/>
      <c r="AZ197" s="162"/>
      <c r="BA197" s="164"/>
      <c r="BB197" s="5"/>
      <c r="BC197" s="165"/>
      <c r="BD197" s="165"/>
      <c r="BE197" s="165"/>
      <c r="BF197" s="165"/>
      <c r="BG197" s="165"/>
      <c r="BH197" s="165"/>
      <c r="BI197" s="166"/>
      <c r="BJ197" s="166"/>
      <c r="BK197" s="166"/>
      <c r="BL197" s="167" t="e">
        <f>IF($AG197&gt;0,$AG197*#REF!*#REF!*(1+#REF!*(20/#REF!)/732),#REF!*Z197)</f>
        <v>#REF!</v>
      </c>
      <c r="BM197" s="167"/>
      <c r="BN197" s="167" t="e">
        <f>IF(H197="Bundled",#REF!*Y197,#REF!*Y197*0.85)</f>
        <v>#REF!</v>
      </c>
      <c r="BO197" s="167"/>
      <c r="BP197" s="167"/>
      <c r="BQ197" s="167"/>
      <c r="BR197" s="167"/>
      <c r="BS197" s="167"/>
      <c r="BT197" s="167">
        <f t="shared" si="305"/>
        <v>450</v>
      </c>
      <c r="BU197" s="167"/>
      <c r="BV197" s="167"/>
      <c r="BW197" s="167"/>
      <c r="BX197" s="167"/>
      <c r="BY197" s="167"/>
      <c r="BZ197" s="167"/>
      <c r="CA197" s="167"/>
    </row>
    <row r="198" spans="1:79" s="16" customFormat="1" ht="51.95">
      <c r="A198" s="142" t="s">
        <v>49</v>
      </c>
      <c r="B198" s="168" t="s">
        <v>522</v>
      </c>
      <c r="C198" s="168" t="s">
        <v>523</v>
      </c>
      <c r="D198" s="168" t="s">
        <v>239</v>
      </c>
      <c r="E198" s="168"/>
      <c r="F198" s="168"/>
      <c r="G198" s="145" t="s">
        <v>169</v>
      </c>
      <c r="H198" s="146" t="s">
        <v>170</v>
      </c>
      <c r="I198" s="145" t="s">
        <v>59</v>
      </c>
      <c r="J198" s="145" t="s">
        <v>185</v>
      </c>
      <c r="K198" s="147" t="s">
        <v>252</v>
      </c>
      <c r="L198" s="145">
        <v>760</v>
      </c>
      <c r="M198" s="145">
        <v>760</v>
      </c>
      <c r="N198" s="148">
        <f>L198-M198</f>
        <v>0</v>
      </c>
      <c r="O198" s="145">
        <v>15</v>
      </c>
      <c r="P198" s="145"/>
      <c r="Q198" s="149">
        <f>(0)/12</f>
        <v>0</v>
      </c>
      <c r="R198" s="150" t="str">
        <f t="shared" si="284"/>
        <v>Subscribed</v>
      </c>
      <c r="S198" s="145" t="s">
        <v>123</v>
      </c>
      <c r="T198" s="146">
        <v>150</v>
      </c>
      <c r="U198" s="327">
        <f t="shared" si="314"/>
        <v>115.69733630952381</v>
      </c>
      <c r="V198" s="232">
        <f>T198-U198</f>
        <v>34.302663690476194</v>
      </c>
      <c r="W198" s="146"/>
      <c r="X198" s="146">
        <f>IF(V198&lt;=0,0,(IF(R198="Rated",(V198+W198)*#REF!,(V198+W198))))</f>
        <v>34.302663690476194</v>
      </c>
      <c r="Y198" s="146">
        <f>IF(R198="Rated",T198*#REF!,T198)</f>
        <v>150</v>
      </c>
      <c r="Z198" s="231">
        <f t="shared" si="313"/>
        <v>115.69733630952381</v>
      </c>
      <c r="AA198" s="146">
        <f>IF((V198*-1)&gt;0, (V198*-1), 0)</f>
        <v>0</v>
      </c>
      <c r="AB198" s="152">
        <f t="shared" ref="AB198:AB205" si="315">0/12</f>
        <v>0</v>
      </c>
      <c r="AC198" s="153" t="str">
        <f t="shared" si="286"/>
        <v>Metered</v>
      </c>
      <c r="AD198" s="146"/>
      <c r="AE198" s="146" t="s">
        <v>171</v>
      </c>
      <c r="AF198" s="154">
        <v>0</v>
      </c>
      <c r="AG198" s="146">
        <v>77748.61</v>
      </c>
      <c r="AH198" s="155"/>
      <c r="AI198" s="156"/>
      <c r="AJ198" s="146"/>
      <c r="AK198" s="146"/>
      <c r="AL198" s="146">
        <f>AJ198-AK198</f>
        <v>0</v>
      </c>
      <c r="AM198" s="146"/>
      <c r="AN198" s="146"/>
      <c r="AO198" s="149">
        <f t="shared" ref="AO198:AO205" si="316">(0)/12</f>
        <v>0</v>
      </c>
      <c r="AP198" s="157">
        <f>Q198*O198</f>
        <v>0</v>
      </c>
      <c r="AQ198" s="157">
        <f>AB198*AA198</f>
        <v>0</v>
      </c>
      <c r="AR198" s="158">
        <f>AG198*AF198*AD198</f>
        <v>0</v>
      </c>
      <c r="AS198" s="157">
        <f>AO198*AM198</f>
        <v>0</v>
      </c>
      <c r="AT198" s="159">
        <f t="shared" ref="AT198:AT205" si="317">0/12</f>
        <v>0</v>
      </c>
      <c r="AU198" s="160">
        <f>SUBTOTAL(9,AP198:AT198)</f>
        <v>0</v>
      </c>
      <c r="AV198" s="160"/>
      <c r="AW198" s="161"/>
      <c r="AX198" s="162"/>
      <c r="AY198" s="163"/>
      <c r="AZ198" s="162"/>
      <c r="BA198" s="164"/>
      <c r="BB198" s="5"/>
      <c r="BC198" s="165">
        <f>IF(I198="Rack",AU198/L198,0)+IF(I198="U Space",AU198*40/L198,0)+IF(I198="Space",AU198*30/L198,0)</f>
        <v>0</v>
      </c>
      <c r="BD198" s="165">
        <f>+AU198/Y198</f>
        <v>0</v>
      </c>
      <c r="BE198" s="165" t="e">
        <f t="shared" ref="BE198:BF203" si="318">+($AP198+$AQ198+$AR198-BL198)/$Y198</f>
        <v>#REF!</v>
      </c>
      <c r="BF198" s="165" t="e">
        <f t="shared" si="318"/>
        <v>#REF!</v>
      </c>
      <c r="BG198" s="165" t="e">
        <f>+($AP198+$AQ198+IF(H198="Bundled",0,Y198*0.85*AD198*AF198*30.5*24)-BN198)/$Y198</f>
        <v>#REF!</v>
      </c>
      <c r="BH198" s="165"/>
      <c r="BI198" s="166">
        <f>+AP198+AQ198+AR198</f>
        <v>0</v>
      </c>
      <c r="BJ198" s="166">
        <f>+BI198-BK198</f>
        <v>0</v>
      </c>
      <c r="BK198" s="166">
        <f>IF(H198="Bundled",MIN(Y198*#REF!*(1+#REF!),BI198),AR198)</f>
        <v>0</v>
      </c>
      <c r="BL198" s="167" t="e">
        <f>IF($AG198&gt;0,$AG198*#REF!*#REF!*(1+#REF!*(20/#REF!)/732),#REF!*Z198)</f>
        <v>#REF!</v>
      </c>
      <c r="BM198" s="167" t="e">
        <f>IF($AG198&gt;0,$AG198*#REF!*#REF!*(1+#REF!*(20/#REF!)/732),+#REF!*(Z198+X198))</f>
        <v>#REF!</v>
      </c>
      <c r="BN198" s="167" t="e">
        <f>IF(H198="Bundled",#REF!*Y198,#REF!*Y198*0.85)</f>
        <v>#REF!</v>
      </c>
      <c r="BO198" s="167" t="e">
        <f>+BE198*Y198</f>
        <v>#REF!</v>
      </c>
      <c r="BP198" s="167" t="e">
        <f>+#REF!*Y198</f>
        <v>#REF!</v>
      </c>
      <c r="BQ198" s="167" t="e">
        <f>+BJ198-BP198</f>
        <v>#REF!</v>
      </c>
      <c r="BR198" s="167" t="e">
        <f>+BK198-BL198</f>
        <v>#REF!</v>
      </c>
      <c r="BS198" s="167" t="e">
        <f>+BQ198+BR198</f>
        <v>#REF!</v>
      </c>
      <c r="BT198" s="167">
        <f t="shared" si="305"/>
        <v>150</v>
      </c>
      <c r="BU198" s="167" t="e">
        <f>+BE198</f>
        <v>#REF!</v>
      </c>
      <c r="BV198" s="167" t="e">
        <f>IF(H198="Bundled",BN198-BL198,AR198-BL198)</f>
        <v>#REF!</v>
      </c>
      <c r="BW198" s="167" t="e">
        <f>IF(H198="Bundled",+(BG198-#REF!)*Y198,(AP198+AQ198)-Y198*#REF!)</f>
        <v>#REF!</v>
      </c>
      <c r="BX198" s="167" t="e">
        <f>+BV198+BW198</f>
        <v>#REF!</v>
      </c>
      <c r="BY198" s="167" t="e">
        <f t="shared" ref="BY198:CA203" si="319">+BV198/$BT198</f>
        <v>#REF!</v>
      </c>
      <c r="BZ198" s="167" t="e">
        <f t="shared" si="319"/>
        <v>#REF!</v>
      </c>
      <c r="CA198" s="167" t="e">
        <f t="shared" si="319"/>
        <v>#REF!</v>
      </c>
    </row>
    <row r="199" spans="1:79" s="16" customFormat="1" ht="26.1">
      <c r="A199" s="238" t="s">
        <v>49</v>
      </c>
      <c r="B199" s="487" t="s">
        <v>524</v>
      </c>
      <c r="C199" s="168" t="s">
        <v>347</v>
      </c>
      <c r="D199" s="168" t="s">
        <v>235</v>
      </c>
      <c r="E199" s="168"/>
      <c r="F199" s="168"/>
      <c r="G199" s="145" t="s">
        <v>169</v>
      </c>
      <c r="H199" s="146" t="s">
        <v>170</v>
      </c>
      <c r="I199" s="145" t="s">
        <v>132</v>
      </c>
      <c r="J199" s="145" t="s">
        <v>133</v>
      </c>
      <c r="K199" s="147" t="s">
        <v>339</v>
      </c>
      <c r="L199" s="145">
        <v>6</v>
      </c>
      <c r="M199" s="145">
        <v>6</v>
      </c>
      <c r="N199" s="148">
        <v>0</v>
      </c>
      <c r="O199" s="145">
        <v>6</v>
      </c>
      <c r="P199" s="145"/>
      <c r="Q199" s="149"/>
      <c r="R199" s="150" t="str">
        <f t="shared" si="284"/>
        <v>Subscribed</v>
      </c>
      <c r="S199" s="145" t="s">
        <v>123</v>
      </c>
      <c r="T199" s="146">
        <v>30</v>
      </c>
      <c r="U199" s="327">
        <f t="shared" si="314"/>
        <v>18.553125000000001</v>
      </c>
      <c r="V199" s="232"/>
      <c r="W199" s="146"/>
      <c r="X199" s="146"/>
      <c r="Y199" s="146">
        <f>IF(R199="Rated",T199*#REF!,T199)</f>
        <v>30</v>
      </c>
      <c r="Z199" s="231">
        <f t="shared" si="313"/>
        <v>18.553125000000001</v>
      </c>
      <c r="AA199" s="146"/>
      <c r="AB199" s="152"/>
      <c r="AC199" s="153" t="str">
        <f t="shared" si="286"/>
        <v>Metered</v>
      </c>
      <c r="AD199" s="146"/>
      <c r="AE199" s="146"/>
      <c r="AF199" s="154"/>
      <c r="AG199" s="146">
        <v>12467.7</v>
      </c>
      <c r="AH199" s="155"/>
      <c r="AI199" s="156"/>
      <c r="AJ199" s="146"/>
      <c r="AK199" s="146"/>
      <c r="AL199" s="146"/>
      <c r="AM199" s="146"/>
      <c r="AN199" s="146"/>
      <c r="AO199" s="149"/>
      <c r="AP199" s="157"/>
      <c r="AQ199" s="157"/>
      <c r="AR199" s="158"/>
      <c r="AS199" s="157"/>
      <c r="AT199" s="159"/>
      <c r="AU199" s="160"/>
      <c r="AV199" s="160"/>
      <c r="AW199" s="161"/>
      <c r="AX199" s="162"/>
      <c r="AY199" s="163"/>
      <c r="AZ199" s="162"/>
      <c r="BA199" s="164"/>
      <c r="BB199" s="5"/>
      <c r="BC199" s="165"/>
      <c r="BD199" s="165"/>
      <c r="BE199" s="165"/>
      <c r="BF199" s="165"/>
      <c r="BG199" s="165"/>
      <c r="BH199" s="165"/>
      <c r="BI199" s="166"/>
      <c r="BJ199" s="166"/>
      <c r="BK199" s="166"/>
      <c r="BL199" s="167" t="e">
        <f>IF($AG199&gt;0,$AG199*#REF!*#REF!*(1+#REF!*(20/#REF!)/732),#REF!*Z199)</f>
        <v>#REF!</v>
      </c>
      <c r="BM199" s="167"/>
      <c r="BN199" s="167" t="e">
        <f>IF(H199="Bundled",#REF!*Y199,#REF!*Y199*0.85)</f>
        <v>#REF!</v>
      </c>
      <c r="BO199" s="167"/>
      <c r="BP199" s="167"/>
      <c r="BQ199" s="167"/>
      <c r="BR199" s="167"/>
      <c r="BS199" s="167"/>
      <c r="BT199" s="167">
        <f t="shared" si="305"/>
        <v>30</v>
      </c>
      <c r="BU199" s="167"/>
      <c r="BV199" s="167"/>
      <c r="BW199" s="167"/>
      <c r="BX199" s="167"/>
      <c r="BY199" s="167"/>
      <c r="BZ199" s="167"/>
      <c r="CA199" s="167"/>
    </row>
    <row r="200" spans="1:79" s="16" customFormat="1">
      <c r="A200" s="142" t="s">
        <v>49</v>
      </c>
      <c r="B200" s="168" t="s">
        <v>525</v>
      </c>
      <c r="C200" s="168" t="s">
        <v>526</v>
      </c>
      <c r="D200" s="168" t="s">
        <v>235</v>
      </c>
      <c r="E200" s="168"/>
      <c r="F200" s="168"/>
      <c r="G200" s="145" t="s">
        <v>169</v>
      </c>
      <c r="H200" s="146" t="s">
        <v>170</v>
      </c>
      <c r="I200" s="145" t="s">
        <v>132</v>
      </c>
      <c r="J200" s="145" t="s">
        <v>133</v>
      </c>
      <c r="K200" s="147" t="str">
        <f>IF(I200="Rack","No of Racks",(IF(I200="Space","Sq Ft","U Space")))</f>
        <v>No of Racks</v>
      </c>
      <c r="L200" s="145">
        <v>1</v>
      </c>
      <c r="M200" s="145">
        <v>1</v>
      </c>
      <c r="N200" s="148">
        <v>0</v>
      </c>
      <c r="O200" s="145">
        <v>1</v>
      </c>
      <c r="P200" s="145"/>
      <c r="Q200" s="149">
        <f>(0)/12</f>
        <v>0</v>
      </c>
      <c r="R200" s="150" t="str">
        <f t="shared" si="284"/>
        <v>Subscribed</v>
      </c>
      <c r="S200" s="145" t="s">
        <v>123</v>
      </c>
      <c r="T200" s="146">
        <v>3</v>
      </c>
      <c r="U200" s="327">
        <f t="shared" si="314"/>
        <v>0.99241071428571426</v>
      </c>
      <c r="V200" s="232">
        <f>T200-U200</f>
        <v>2.0075892857142859</v>
      </c>
      <c r="W200" s="146"/>
      <c r="X200" s="146">
        <f>IF(V200&lt;=0,0,(IF(R200="Rated",(V200+W200)*#REF!,(V200+W200))))</f>
        <v>2.0075892857142859</v>
      </c>
      <c r="Y200" s="146">
        <f>IF(R200="Rated",T200*#REF!,T200)</f>
        <v>3</v>
      </c>
      <c r="Z200" s="231">
        <f t="shared" si="313"/>
        <v>0.99241071428571426</v>
      </c>
      <c r="AA200" s="146">
        <f>IF((V200*-1)&gt;0, (V200*-1), 0)</f>
        <v>0</v>
      </c>
      <c r="AB200" s="152">
        <f t="shared" si="315"/>
        <v>0</v>
      </c>
      <c r="AC200" s="153" t="str">
        <f t="shared" si="286"/>
        <v>Metered</v>
      </c>
      <c r="AD200" s="146"/>
      <c r="AE200" s="146" t="s">
        <v>171</v>
      </c>
      <c r="AF200" s="154">
        <v>0</v>
      </c>
      <c r="AG200" s="146">
        <v>666.9</v>
      </c>
      <c r="AH200" s="155"/>
      <c r="AI200" s="156"/>
      <c r="AJ200" s="146"/>
      <c r="AK200" s="146"/>
      <c r="AL200" s="146">
        <f>AJ200-AK200</f>
        <v>0</v>
      </c>
      <c r="AM200" s="146"/>
      <c r="AN200" s="146"/>
      <c r="AO200" s="149">
        <f t="shared" si="316"/>
        <v>0</v>
      </c>
      <c r="AP200" s="157">
        <f>Q200*O200</f>
        <v>0</v>
      </c>
      <c r="AQ200" s="157">
        <f>AB200*AA200</f>
        <v>0</v>
      </c>
      <c r="AR200" s="158">
        <f>AG200*AF200*AD200</f>
        <v>0</v>
      </c>
      <c r="AS200" s="157">
        <f>AO200*AM200</f>
        <v>0</v>
      </c>
      <c r="AT200" s="159">
        <f t="shared" si="317"/>
        <v>0</v>
      </c>
      <c r="AU200" s="160">
        <f>SUBTOTAL(9,AP200:AT200)</f>
        <v>0</v>
      </c>
      <c r="AV200" s="160"/>
      <c r="AW200" s="161"/>
      <c r="AX200" s="162"/>
      <c r="AY200" s="163"/>
      <c r="AZ200" s="162"/>
      <c r="BA200" s="164"/>
      <c r="BB200" s="5"/>
      <c r="BC200" s="165">
        <f>IF(I200="Rack",AU200/L200,0)+IF(I200="U Space",AU200*40/L200,0)+IF(I200="Space",AU200*30/L200,0)</f>
        <v>0</v>
      </c>
      <c r="BD200" s="165">
        <f>+AU200/Y200</f>
        <v>0</v>
      </c>
      <c r="BE200" s="165" t="e">
        <f t="shared" si="318"/>
        <v>#REF!</v>
      </c>
      <c r="BF200" s="165" t="e">
        <f t="shared" si="318"/>
        <v>#REF!</v>
      </c>
      <c r="BG200" s="165" t="e">
        <f>+($AP200+$AQ200+IF(H200="Bundled",0,Y200*0.85*AD200*AF200*30.5*24)-BN200)/$Y200</f>
        <v>#REF!</v>
      </c>
      <c r="BH200" s="165"/>
      <c r="BI200" s="166">
        <f>+AP200+AQ200+AR200</f>
        <v>0</v>
      </c>
      <c r="BJ200" s="166">
        <f>+BI200-BK200</f>
        <v>0</v>
      </c>
      <c r="BK200" s="166">
        <f>IF(H200="Bundled",MIN(Y200*#REF!*(1+#REF!),BI200),AR200)</f>
        <v>0</v>
      </c>
      <c r="BL200" s="167" t="e">
        <f>IF($AG200&gt;0,$AG200*#REF!*#REF!*(1+#REF!*(20/#REF!)/732),#REF!*Z200)</f>
        <v>#REF!</v>
      </c>
      <c r="BM200" s="167" t="e">
        <f>IF($AG200&gt;0,$AG200*#REF!*#REF!*(1+#REF!*(20/#REF!)/732),+#REF!*(Z200+X200))</f>
        <v>#REF!</v>
      </c>
      <c r="BN200" s="167" t="e">
        <f>IF(H200="Bundled",#REF!*Y200,#REF!*Y200*0.85)</f>
        <v>#REF!</v>
      </c>
      <c r="BO200" s="167" t="e">
        <f>+BE200*Y200</f>
        <v>#REF!</v>
      </c>
      <c r="BP200" s="167" t="e">
        <f>+#REF!*Y200</f>
        <v>#REF!</v>
      </c>
      <c r="BQ200" s="167" t="e">
        <f>+BJ200-BP200</f>
        <v>#REF!</v>
      </c>
      <c r="BR200" s="167" t="e">
        <f>+BK200-BL200</f>
        <v>#REF!</v>
      </c>
      <c r="BS200" s="167" t="e">
        <f>+BQ200+BR200</f>
        <v>#REF!</v>
      </c>
      <c r="BT200" s="167">
        <f t="shared" si="305"/>
        <v>3</v>
      </c>
      <c r="BU200" s="167" t="e">
        <f>+BE200</f>
        <v>#REF!</v>
      </c>
      <c r="BV200" s="167" t="e">
        <f>IF(H200="Bundled",BN200-BL200,AR200-BL200)</f>
        <v>#REF!</v>
      </c>
      <c r="BW200" s="167" t="e">
        <f>IF(H200="Bundled",+(BG200-#REF!)*Y200,(AP200+AQ200)-Y200*#REF!)</f>
        <v>#REF!</v>
      </c>
      <c r="BX200" s="167" t="e">
        <f>+BV200+BW200</f>
        <v>#REF!</v>
      </c>
      <c r="BY200" s="167" t="e">
        <f t="shared" si="319"/>
        <v>#REF!</v>
      </c>
      <c r="BZ200" s="167" t="e">
        <f t="shared" si="319"/>
        <v>#REF!</v>
      </c>
      <c r="CA200" s="167" t="e">
        <f t="shared" si="319"/>
        <v>#REF!</v>
      </c>
    </row>
    <row r="201" spans="1:79" s="16" customFormat="1">
      <c r="A201" s="142" t="s">
        <v>49</v>
      </c>
      <c r="B201" s="168" t="s">
        <v>527</v>
      </c>
      <c r="C201" s="168" t="s">
        <v>528</v>
      </c>
      <c r="D201" s="168" t="s">
        <v>239</v>
      </c>
      <c r="E201" s="168"/>
      <c r="F201" s="168"/>
      <c r="G201" s="145" t="s">
        <v>130</v>
      </c>
      <c r="H201" s="146" t="s">
        <v>131</v>
      </c>
      <c r="I201" s="145" t="s">
        <v>132</v>
      </c>
      <c r="J201" s="145" t="s">
        <v>133</v>
      </c>
      <c r="K201" s="147" t="str">
        <f>IF(I201="Rack","No of Racks",(IF(I201="Space","Sq Ft","U Space")))</f>
        <v>No of Racks</v>
      </c>
      <c r="L201" s="145">
        <v>3</v>
      </c>
      <c r="M201" s="145">
        <v>3</v>
      </c>
      <c r="N201" s="148">
        <f>L201-M201</f>
        <v>0</v>
      </c>
      <c r="O201" s="145">
        <v>3</v>
      </c>
      <c r="P201" s="145"/>
      <c r="Q201" s="149">
        <f>(0)/12</f>
        <v>0</v>
      </c>
      <c r="R201" s="150" t="str">
        <f t="shared" si="284"/>
        <v>Rated</v>
      </c>
      <c r="S201" s="145" t="s">
        <v>134</v>
      </c>
      <c r="T201" s="146">
        <v>24</v>
      </c>
      <c r="U201" s="151">
        <v>23.84</v>
      </c>
      <c r="V201" s="232">
        <f>T201-U201</f>
        <v>0.16000000000000014</v>
      </c>
      <c r="W201" s="146"/>
      <c r="X201" s="146" t="e">
        <f>IF(V201&lt;=0,0,(IF(R201="Rated",(V201+W201)*#REF!,(V201+W201))))</f>
        <v>#REF!</v>
      </c>
      <c r="Y201" s="146" t="e">
        <f>IF(R201="Rated",T201*#REF!,T201)</f>
        <v>#REF!</v>
      </c>
      <c r="Z201" s="231">
        <f t="shared" si="313"/>
        <v>8.5666666666666664</v>
      </c>
      <c r="AA201" s="146">
        <f>IF((V201*-1)&gt;0, (V201*-1), 0)</f>
        <v>0</v>
      </c>
      <c r="AB201" s="152">
        <f t="shared" si="315"/>
        <v>0</v>
      </c>
      <c r="AC201" s="153" t="str">
        <f t="shared" si="286"/>
        <v>Bundled</v>
      </c>
      <c r="AD201" s="146"/>
      <c r="AE201" s="146" t="s">
        <v>171</v>
      </c>
      <c r="AF201" s="154">
        <v>0</v>
      </c>
      <c r="AG201" s="146">
        <v>5756.8</v>
      </c>
      <c r="AH201" s="155"/>
      <c r="AI201" s="156"/>
      <c r="AJ201" s="146"/>
      <c r="AK201" s="146"/>
      <c r="AL201" s="146">
        <f>AJ201-AK201</f>
        <v>0</v>
      </c>
      <c r="AM201" s="146"/>
      <c r="AN201" s="146"/>
      <c r="AO201" s="149">
        <f t="shared" si="316"/>
        <v>0</v>
      </c>
      <c r="AP201" s="157">
        <f>Q201*O201</f>
        <v>0</v>
      </c>
      <c r="AQ201" s="157">
        <f>AB201*AA201</f>
        <v>0</v>
      </c>
      <c r="AR201" s="158">
        <f>AG201*AF201*AD201</f>
        <v>0</v>
      </c>
      <c r="AS201" s="157">
        <f>AO201*AM201</f>
        <v>0</v>
      </c>
      <c r="AT201" s="159">
        <f t="shared" si="317"/>
        <v>0</v>
      </c>
      <c r="AU201" s="160">
        <f>SUBTOTAL(9,AP201:AT201)</f>
        <v>0</v>
      </c>
      <c r="AV201" s="160"/>
      <c r="AW201" s="161"/>
      <c r="AX201" s="162"/>
      <c r="AY201" s="163"/>
      <c r="AZ201" s="162"/>
      <c r="BA201" s="164"/>
      <c r="BB201" s="5"/>
      <c r="BC201" s="165">
        <f>IF(I201="Rack",AU201/L201,0)+IF(I201="U Space",AU201*40/L201,0)+IF(I201="Space",AU201*30/L201,0)</f>
        <v>0</v>
      </c>
      <c r="BD201" s="165" t="e">
        <f>+AU201/Y201</f>
        <v>#REF!</v>
      </c>
      <c r="BE201" s="165" t="e">
        <f t="shared" si="318"/>
        <v>#REF!</v>
      </c>
      <c r="BF201" s="165" t="e">
        <f t="shared" si="318"/>
        <v>#REF!</v>
      </c>
      <c r="BG201" s="165" t="e">
        <f>+($AP201+$AQ201+IF(H201="Bundled",0,Y201*0.85*AD201*AF201*30.5*24)-BN201)/$Y201</f>
        <v>#REF!</v>
      </c>
      <c r="BH201" s="165"/>
      <c r="BI201" s="166">
        <f>+AP201+AQ201+AR201</f>
        <v>0</v>
      </c>
      <c r="BJ201" s="166" t="e">
        <f>+BI201-BK201</f>
        <v>#REF!</v>
      </c>
      <c r="BK201" s="166" t="e">
        <f>IF(H201="Bundled",MIN(Y201*#REF!*(1+#REF!),BI201),AR201)</f>
        <v>#REF!</v>
      </c>
      <c r="BL201" s="167" t="e">
        <f>IF($AG201&gt;0,$AG201*#REF!*#REF!*(1+#REF!*(20/#REF!)/732),#REF!*Z201)</f>
        <v>#REF!</v>
      </c>
      <c r="BM201" s="167" t="e">
        <f>IF($AG201&gt;0,$AG201*#REF!*#REF!*(1+#REF!*(20/#REF!)/732),+#REF!*(Z201+X201))</f>
        <v>#REF!</v>
      </c>
      <c r="BN201" s="167" t="e">
        <f>IF(H201="Bundled",#REF!*Y201,#REF!*Y201*0.85)</f>
        <v>#REF!</v>
      </c>
      <c r="BO201" s="167" t="e">
        <f>+BE201*Y201</f>
        <v>#REF!</v>
      </c>
      <c r="BP201" s="167" t="e">
        <f>+#REF!*Y201</f>
        <v>#REF!</v>
      </c>
      <c r="BQ201" s="167" t="e">
        <f>+BJ201-BP201</f>
        <v>#REF!</v>
      </c>
      <c r="BR201" s="167" t="e">
        <f>+BK201-BL201</f>
        <v>#REF!</v>
      </c>
      <c r="BS201" s="167" t="e">
        <f>+BQ201+BR201</f>
        <v>#REF!</v>
      </c>
      <c r="BT201" s="167" t="e">
        <f t="shared" si="305"/>
        <v>#REF!</v>
      </c>
      <c r="BU201" s="167" t="e">
        <f>+BE201</f>
        <v>#REF!</v>
      </c>
      <c r="BV201" s="167" t="e">
        <f>IF(H201="Bundled",BN201-BL201,AR201-BL201)</f>
        <v>#REF!</v>
      </c>
      <c r="BW201" s="167" t="e">
        <f>IF(H201="Bundled",+(BG201-#REF!)*Y201,(AP201+AQ201)-Y201*#REF!)</f>
        <v>#REF!</v>
      </c>
      <c r="BX201" s="167" t="e">
        <f>+BV201+BW201</f>
        <v>#REF!</v>
      </c>
      <c r="BY201" s="167" t="e">
        <f t="shared" si="319"/>
        <v>#REF!</v>
      </c>
      <c r="BZ201" s="167" t="e">
        <f t="shared" si="319"/>
        <v>#REF!</v>
      </c>
      <c r="CA201" s="167" t="e">
        <f t="shared" si="319"/>
        <v>#REF!</v>
      </c>
    </row>
    <row r="202" spans="1:79" s="16" customFormat="1">
      <c r="A202" s="142" t="s">
        <v>49</v>
      </c>
      <c r="B202" s="485" t="s">
        <v>529</v>
      </c>
      <c r="C202" s="168" t="s">
        <v>530</v>
      </c>
      <c r="D202" s="168" t="s">
        <v>239</v>
      </c>
      <c r="E202" s="168"/>
      <c r="F202" s="168"/>
      <c r="G202" s="145" t="s">
        <v>130</v>
      </c>
      <c r="H202" s="146" t="s">
        <v>131</v>
      </c>
      <c r="I202" s="145" t="s">
        <v>132</v>
      </c>
      <c r="J202" s="145" t="s">
        <v>133</v>
      </c>
      <c r="K202" s="147" t="str">
        <f>IF(I202="Rack","No of Racks",(IF(I202="Space","Sq Ft","U Space")))</f>
        <v>No of Racks</v>
      </c>
      <c r="L202" s="145">
        <v>1</v>
      </c>
      <c r="M202" s="145">
        <v>0</v>
      </c>
      <c r="N202" s="148">
        <v>0</v>
      </c>
      <c r="O202" s="145">
        <v>1</v>
      </c>
      <c r="P202" s="145"/>
      <c r="Q202" s="149">
        <f>(0)/12</f>
        <v>0</v>
      </c>
      <c r="R202" s="150" t="str">
        <f t="shared" si="284"/>
        <v>Rated</v>
      </c>
      <c r="S202" s="145" t="s">
        <v>134</v>
      </c>
      <c r="T202" s="146">
        <v>9</v>
      </c>
      <c r="U202" s="151">
        <v>7.06</v>
      </c>
      <c r="V202" s="232">
        <f>T202-U202</f>
        <v>1.9400000000000004</v>
      </c>
      <c r="W202" s="146"/>
      <c r="X202" s="146" t="e">
        <f>IF(V202&lt;=0,0,(IF(R202="Rated",(V202+W202)*#REF!,(V202+W202))))</f>
        <v>#REF!</v>
      </c>
      <c r="Y202" s="146" t="e">
        <f>IF(R202="Rated",T202*#REF!,T202)</f>
        <v>#REF!</v>
      </c>
      <c r="Z202" s="231">
        <f t="shared" si="313"/>
        <v>2.9494047619047623</v>
      </c>
      <c r="AA202" s="146">
        <f>IF((V202*-1)&gt;0, (V202*-1), 0)</f>
        <v>0</v>
      </c>
      <c r="AB202" s="152">
        <f t="shared" si="315"/>
        <v>0</v>
      </c>
      <c r="AC202" s="153" t="str">
        <f t="shared" si="286"/>
        <v>Bundled</v>
      </c>
      <c r="AD202" s="146"/>
      <c r="AE202" s="146" t="s">
        <v>171</v>
      </c>
      <c r="AF202" s="154">
        <v>0</v>
      </c>
      <c r="AG202" s="146">
        <v>1982</v>
      </c>
      <c r="AH202" s="155"/>
      <c r="AI202" s="156"/>
      <c r="AJ202" s="146"/>
      <c r="AK202" s="146"/>
      <c r="AL202" s="146">
        <f>AJ202-AK202</f>
        <v>0</v>
      </c>
      <c r="AM202" s="146"/>
      <c r="AN202" s="146"/>
      <c r="AO202" s="149">
        <f t="shared" si="316"/>
        <v>0</v>
      </c>
      <c r="AP202" s="157">
        <f>Q202*O202</f>
        <v>0</v>
      </c>
      <c r="AQ202" s="157">
        <f>AB202*AA202</f>
        <v>0</v>
      </c>
      <c r="AR202" s="158">
        <f>AG202*AF202*AD202</f>
        <v>0</v>
      </c>
      <c r="AS202" s="157">
        <f>AO202*AM202</f>
        <v>0</v>
      </c>
      <c r="AT202" s="159">
        <f t="shared" si="317"/>
        <v>0</v>
      </c>
      <c r="AU202" s="160">
        <f>SUBTOTAL(9,AP202:AT202)</f>
        <v>0</v>
      </c>
      <c r="AV202" s="160"/>
      <c r="AW202" s="161"/>
      <c r="AX202" s="162"/>
      <c r="AY202" s="163"/>
      <c r="AZ202" s="162"/>
      <c r="BA202" s="164"/>
      <c r="BB202" s="5"/>
      <c r="BC202" s="165">
        <f>IF(I202="Rack",AU202/L202,0)+IF(I202="U Space",AU202*40/L202,0)+IF(I202="Space",AU202*30/L202,0)</f>
        <v>0</v>
      </c>
      <c r="BD202" s="165" t="e">
        <f>+AU202/Y202</f>
        <v>#REF!</v>
      </c>
      <c r="BE202" s="165" t="e">
        <f t="shared" si="318"/>
        <v>#REF!</v>
      </c>
      <c r="BF202" s="165" t="e">
        <f t="shared" si="318"/>
        <v>#REF!</v>
      </c>
      <c r="BG202" s="165" t="e">
        <f>+($AP202+$AQ202+IF(H202="Bundled",0,Y202*0.85*AD202*AF202*30.5*24)-BN202)/$Y202</f>
        <v>#REF!</v>
      </c>
      <c r="BH202" s="165"/>
      <c r="BI202" s="166">
        <f>+AP202+AQ202+AR202</f>
        <v>0</v>
      </c>
      <c r="BJ202" s="166" t="e">
        <f>+BI202-BK202</f>
        <v>#REF!</v>
      </c>
      <c r="BK202" s="166" t="e">
        <f>IF(H202="Bundled",MIN(Y202*#REF!*(1+#REF!),BI202),AR202)</f>
        <v>#REF!</v>
      </c>
      <c r="BL202" s="167" t="e">
        <f>IF($AG202&gt;0,$AG202*#REF!*#REF!*(1+#REF!*(20/#REF!)/732),#REF!*Z202)</f>
        <v>#REF!</v>
      </c>
      <c r="BM202" s="167" t="e">
        <f>IF($AG202&gt;0,$AG202*#REF!*#REF!*(1+#REF!*(20/#REF!)/732),+#REF!*(Z202+X202))</f>
        <v>#REF!</v>
      </c>
      <c r="BN202" s="167" t="e">
        <f>IF(H202="Bundled",#REF!*Y202,#REF!*Y202*0.85)</f>
        <v>#REF!</v>
      </c>
      <c r="BO202" s="167" t="e">
        <f>+BE202*Y202</f>
        <v>#REF!</v>
      </c>
      <c r="BP202" s="167" t="e">
        <f>+#REF!*Y202</f>
        <v>#REF!</v>
      </c>
      <c r="BQ202" s="167" t="e">
        <f>+BJ202-BP202</f>
        <v>#REF!</v>
      </c>
      <c r="BR202" s="167" t="e">
        <f>+BK202-BL202</f>
        <v>#REF!</v>
      </c>
      <c r="BS202" s="167" t="e">
        <f>+BQ202+BR202</f>
        <v>#REF!</v>
      </c>
      <c r="BT202" s="167" t="e">
        <f t="shared" si="305"/>
        <v>#REF!</v>
      </c>
      <c r="BU202" s="167" t="e">
        <f>+BE202</f>
        <v>#REF!</v>
      </c>
      <c r="BV202" s="167" t="e">
        <f>IF(H202="Bundled",BN202-BL202,AR202-BL202)</f>
        <v>#REF!</v>
      </c>
      <c r="BW202" s="167" t="e">
        <f>IF(H202="Bundled",+(BG202-#REF!)*Y202,(AP202+AQ202)-Y202*#REF!)</f>
        <v>#REF!</v>
      </c>
      <c r="BX202" s="167" t="e">
        <f>+BV202+BW202</f>
        <v>#REF!</v>
      </c>
      <c r="BY202" s="167" t="e">
        <f t="shared" si="319"/>
        <v>#REF!</v>
      </c>
      <c r="BZ202" s="167" t="e">
        <f t="shared" si="319"/>
        <v>#REF!</v>
      </c>
      <c r="CA202" s="167" t="e">
        <f t="shared" si="319"/>
        <v>#REF!</v>
      </c>
    </row>
    <row r="203" spans="1:79" s="16" customFormat="1">
      <c r="A203" s="142" t="s">
        <v>49</v>
      </c>
      <c r="B203" s="168" t="s">
        <v>531</v>
      </c>
      <c r="C203" s="168" t="s">
        <v>245</v>
      </c>
      <c r="D203" s="168" t="s">
        <v>235</v>
      </c>
      <c r="E203" s="168"/>
      <c r="F203" s="168"/>
      <c r="G203" s="145" t="s">
        <v>169</v>
      </c>
      <c r="H203" s="146" t="s">
        <v>170</v>
      </c>
      <c r="I203" s="145" t="s">
        <v>132</v>
      </c>
      <c r="J203" s="145" t="s">
        <v>133</v>
      </c>
      <c r="K203" s="147" t="str">
        <f>IF(I203="Rack","No of Racks",(IF(I203="Space","Sq Ft","U Space")))</f>
        <v>No of Racks</v>
      </c>
      <c r="L203" s="145">
        <v>1</v>
      </c>
      <c r="M203" s="145">
        <v>1</v>
      </c>
      <c r="N203" s="148">
        <v>0</v>
      </c>
      <c r="O203" s="145">
        <v>1</v>
      </c>
      <c r="P203" s="145"/>
      <c r="Q203" s="149">
        <f>(0)/12</f>
        <v>0</v>
      </c>
      <c r="R203" s="150" t="str">
        <f t="shared" si="284"/>
        <v>Subscribed</v>
      </c>
      <c r="S203" s="145" t="s">
        <v>123</v>
      </c>
      <c r="T203" s="146">
        <v>2.5</v>
      </c>
      <c r="U203" s="327">
        <f t="shared" si="314"/>
        <v>6.7913690476190487</v>
      </c>
      <c r="V203" s="232">
        <f>T203-U203</f>
        <v>-4.2913690476190487</v>
      </c>
      <c r="W203" s="146"/>
      <c r="X203" s="146">
        <f>IF(V203&lt;=0,0,(IF(R203="Rated",(V203+W203)*#REF!,(V203+W203))))</f>
        <v>0</v>
      </c>
      <c r="Y203" s="146">
        <f>IF(R203="Rated",T203*#REF!,T203)</f>
        <v>2.5</v>
      </c>
      <c r="Z203" s="231">
        <f t="shared" si="313"/>
        <v>6.7913690476190487</v>
      </c>
      <c r="AA203" s="146">
        <f t="shared" ref="AA203" si="320">IF((V203*-1)&gt;0, (V203*-1), 0)</f>
        <v>4.2913690476190487</v>
      </c>
      <c r="AB203" s="152">
        <f t="shared" si="315"/>
        <v>0</v>
      </c>
      <c r="AC203" s="153" t="str">
        <f t="shared" si="286"/>
        <v>Metered</v>
      </c>
      <c r="AD203" s="146"/>
      <c r="AE203" s="146" t="s">
        <v>171</v>
      </c>
      <c r="AF203" s="154">
        <v>0</v>
      </c>
      <c r="AG203" s="146">
        <v>4563.8</v>
      </c>
      <c r="AH203" s="155"/>
      <c r="AI203" s="156"/>
      <c r="AJ203" s="146"/>
      <c r="AK203" s="146"/>
      <c r="AL203" s="146">
        <f>AJ203-AK203</f>
        <v>0</v>
      </c>
      <c r="AM203" s="146"/>
      <c r="AN203" s="146"/>
      <c r="AO203" s="149">
        <f t="shared" si="316"/>
        <v>0</v>
      </c>
      <c r="AP203" s="157">
        <f>Q203*O203</f>
        <v>0</v>
      </c>
      <c r="AQ203" s="157">
        <f>AB203*AA203</f>
        <v>0</v>
      </c>
      <c r="AR203" s="158">
        <f>AG203*AF203*AD203</f>
        <v>0</v>
      </c>
      <c r="AS203" s="157">
        <f>AO203*AM203</f>
        <v>0</v>
      </c>
      <c r="AT203" s="159">
        <f t="shared" si="317"/>
        <v>0</v>
      </c>
      <c r="AU203" s="160">
        <f>SUBTOTAL(9,AP203:AT203)</f>
        <v>0</v>
      </c>
      <c r="AV203" s="160"/>
      <c r="AW203" s="161"/>
      <c r="AX203" s="162"/>
      <c r="AY203" s="163"/>
      <c r="AZ203" s="162"/>
      <c r="BA203" s="164"/>
      <c r="BB203" s="5"/>
      <c r="BC203" s="165">
        <f>IF(I203="Rack",AU203/L203,0)+IF(I203="U Space",AU203*40/L203,0)+IF(I203="Space",AU203*30/L203,0)</f>
        <v>0</v>
      </c>
      <c r="BD203" s="165">
        <f>+AU203/Y203</f>
        <v>0</v>
      </c>
      <c r="BE203" s="165" t="e">
        <f t="shared" si="318"/>
        <v>#REF!</v>
      </c>
      <c r="BF203" s="165" t="e">
        <f t="shared" si="318"/>
        <v>#REF!</v>
      </c>
      <c r="BG203" s="165" t="e">
        <f>+($AP203+$AQ203+IF(H203="Bundled",0,Y203*0.85*AD203*AF203*30.5*24)-BN203)/$Y203</f>
        <v>#REF!</v>
      </c>
      <c r="BH203" s="165"/>
      <c r="BI203" s="166">
        <f>+AP203+AQ203+AR203</f>
        <v>0</v>
      </c>
      <c r="BJ203" s="166">
        <f>+BI203-BK203</f>
        <v>0</v>
      </c>
      <c r="BK203" s="166">
        <f>IF(H203="Bundled",MIN(Y203*#REF!*(1+#REF!),BI203),AR203)</f>
        <v>0</v>
      </c>
      <c r="BL203" s="167" t="e">
        <f>IF($AG203&gt;0,$AG203*#REF!*#REF!*(1+#REF!*(20/#REF!)/732),#REF!*Z203)</f>
        <v>#REF!</v>
      </c>
      <c r="BM203" s="167" t="e">
        <f>IF($AG203&gt;0,$AG203*#REF!*#REF!*(1+#REF!*(20/#REF!)/732),+#REF!*(Z203+X203))</f>
        <v>#REF!</v>
      </c>
      <c r="BN203" s="167" t="e">
        <f>IF(H203="Bundled",#REF!*Y203,#REF!*Y203*0.85)</f>
        <v>#REF!</v>
      </c>
      <c r="BO203" s="167" t="e">
        <f>+BE203*Y203</f>
        <v>#REF!</v>
      </c>
      <c r="BP203" s="167" t="e">
        <f>+#REF!*Y203</f>
        <v>#REF!</v>
      </c>
      <c r="BQ203" s="167" t="e">
        <f>+BJ203-BP203</f>
        <v>#REF!</v>
      </c>
      <c r="BR203" s="167" t="e">
        <f>+BK203-BL203</f>
        <v>#REF!</v>
      </c>
      <c r="BS203" s="167" t="e">
        <f>+BQ203+BR203</f>
        <v>#REF!</v>
      </c>
      <c r="BT203" s="167">
        <f t="shared" si="305"/>
        <v>2.5</v>
      </c>
      <c r="BU203" s="167" t="e">
        <f>+BE203</f>
        <v>#REF!</v>
      </c>
      <c r="BV203" s="167" t="e">
        <f>IF(H203="Bundled",BN203-BL203,AR203-BL203)</f>
        <v>#REF!</v>
      </c>
      <c r="BW203" s="167" t="e">
        <f>IF(H203="Bundled",+(BG203-#REF!)*Y203,(AP203+AQ203)-Y203*#REF!)</f>
        <v>#REF!</v>
      </c>
      <c r="BX203" s="167" t="e">
        <f>+BV203+BW203</f>
        <v>#REF!</v>
      </c>
      <c r="BY203" s="167" t="e">
        <f t="shared" si="319"/>
        <v>#REF!</v>
      </c>
      <c r="BZ203" s="167" t="e">
        <f t="shared" si="319"/>
        <v>#REF!</v>
      </c>
      <c r="CA203" s="167" t="e">
        <f t="shared" si="319"/>
        <v>#REF!</v>
      </c>
    </row>
    <row r="204" spans="1:79" s="16" customFormat="1">
      <c r="A204" s="142" t="s">
        <v>49</v>
      </c>
      <c r="B204" s="168" t="s">
        <v>532</v>
      </c>
      <c r="C204" s="168" t="s">
        <v>533</v>
      </c>
      <c r="D204" s="168" t="s">
        <v>239</v>
      </c>
      <c r="E204" s="168"/>
      <c r="F204" s="168"/>
      <c r="G204" s="145" t="s">
        <v>130</v>
      </c>
      <c r="H204" s="146" t="s">
        <v>131</v>
      </c>
      <c r="I204" s="145" t="s">
        <v>132</v>
      </c>
      <c r="J204" s="145" t="s">
        <v>133</v>
      </c>
      <c r="K204" s="147" t="str">
        <f t="shared" ref="K204:K225" si="321">IF(I204="Rack","No of Racks",(IF(I204="Space","Sq Ft","U Space")))</f>
        <v>No of Racks</v>
      </c>
      <c r="L204" s="145">
        <v>1</v>
      </c>
      <c r="M204" s="145">
        <v>1</v>
      </c>
      <c r="N204" s="148">
        <v>0</v>
      </c>
      <c r="O204" s="145">
        <v>1</v>
      </c>
      <c r="P204" s="145"/>
      <c r="Q204" s="149">
        <f>(545999)/12</f>
        <v>45499.916666666664</v>
      </c>
      <c r="R204" s="150" t="str">
        <f t="shared" ref="R204:R225" si="322">G204</f>
        <v>Rated</v>
      </c>
      <c r="S204" s="145" t="s">
        <v>134</v>
      </c>
      <c r="T204" s="146">
        <v>3.5</v>
      </c>
      <c r="U204" s="151">
        <v>1.1499999999999999</v>
      </c>
      <c r="V204" s="232">
        <f t="shared" ref="V204:V205" si="323">T204-U204</f>
        <v>2.35</v>
      </c>
      <c r="W204" s="146"/>
      <c r="X204" s="146" t="e">
        <f>IF(V204&lt;=0,0,(IF(R204="Rated",(V204+W204)*#REF!,(V204+W204))))</f>
        <v>#REF!</v>
      </c>
      <c r="Y204" s="146" t="e">
        <f>IF(R204="Rated",T204*#REF!,T204)</f>
        <v>#REF!</v>
      </c>
      <c r="Z204" s="231">
        <f t="shared" si="313"/>
        <v>0.29732142857142857</v>
      </c>
      <c r="AA204" s="146">
        <f t="shared" ref="AA204:AA205" si="324">IF((V204*-1)&gt;0, (V204*-1), 0)</f>
        <v>0</v>
      </c>
      <c r="AB204" s="152">
        <f t="shared" si="315"/>
        <v>0</v>
      </c>
      <c r="AC204" s="153" t="str">
        <f t="shared" ref="AC204:AC225" si="325">H204</f>
        <v>Bundled</v>
      </c>
      <c r="AD204" s="146"/>
      <c r="AE204" s="146" t="s">
        <v>171</v>
      </c>
      <c r="AF204" s="154">
        <v>0</v>
      </c>
      <c r="AG204" s="146">
        <v>199.8</v>
      </c>
      <c r="AH204" s="155"/>
      <c r="AI204" s="156"/>
      <c r="AJ204" s="146"/>
      <c r="AK204" s="146"/>
      <c r="AL204" s="146">
        <f t="shared" ref="AL204:AL205" si="326">AJ204-AK204</f>
        <v>0</v>
      </c>
      <c r="AM204" s="146"/>
      <c r="AN204" s="146"/>
      <c r="AO204" s="149">
        <f t="shared" si="316"/>
        <v>0</v>
      </c>
      <c r="AP204" s="157">
        <f t="shared" ref="AP204:AP205" si="327">Q204*O204</f>
        <v>45499.916666666664</v>
      </c>
      <c r="AQ204" s="157">
        <f t="shared" ref="AQ204:AQ205" si="328">AB204*AA204</f>
        <v>0</v>
      </c>
      <c r="AR204" s="158">
        <f t="shared" ref="AR204:AR205" si="329">AG204*AF204*AD204</f>
        <v>0</v>
      </c>
      <c r="AS204" s="157">
        <f t="shared" ref="AS204:AS205" si="330">AO204*AM204</f>
        <v>0</v>
      </c>
      <c r="AT204" s="159">
        <f t="shared" si="317"/>
        <v>0</v>
      </c>
      <c r="AU204" s="160">
        <f t="shared" ref="AU204:AU205" si="331">SUBTOTAL(9,AP204:AT204)</f>
        <v>45499.916666666664</v>
      </c>
      <c r="AV204" s="160"/>
      <c r="AW204" s="161"/>
      <c r="AX204" s="162"/>
      <c r="AY204" s="163"/>
      <c r="AZ204" s="162"/>
      <c r="BA204" s="164"/>
      <c r="BB204" s="5"/>
      <c r="BC204" s="165">
        <f t="shared" ref="BC204:BC205" si="332">IF(I204="Rack",AU204/L204,0)+IF(I204="U Space",AU204*40/L204,0)+IF(I204="Space",AU204*30/L204,0)</f>
        <v>45499.916666666664</v>
      </c>
      <c r="BD204" s="165" t="e">
        <f t="shared" ref="BD204:BD205" si="333">+AU204/Y204</f>
        <v>#REF!</v>
      </c>
      <c r="BE204" s="165" t="e">
        <f t="shared" ref="BE204:BE205" si="334">+($AP204+$AQ204+$AR204-BL204)/$Y204</f>
        <v>#REF!</v>
      </c>
      <c r="BF204" s="165" t="e">
        <f t="shared" ref="BF204:BF205" si="335">+($AP204+$AQ204+$AR204-BM204)/$Y204</f>
        <v>#REF!</v>
      </c>
      <c r="BG204" s="165" t="e">
        <f t="shared" ref="BG204:BG205" si="336">+($AP204+$AQ204+IF(H204="Bundled",0,Y204*0.85*AD204*AF204*30.5*24)-BN204)/$Y204</f>
        <v>#REF!</v>
      </c>
      <c r="BH204" s="165"/>
      <c r="BI204" s="166">
        <f t="shared" ref="BI204:BI205" si="337">+AP204+AQ204+AR204</f>
        <v>45499.916666666664</v>
      </c>
      <c r="BJ204" s="166" t="e">
        <f t="shared" ref="BJ204:BJ205" si="338">+BI204-BK204</f>
        <v>#REF!</v>
      </c>
      <c r="BK204" s="166" t="e">
        <f>IF(H204="Bundled",MIN(Y204*#REF!*(1+#REF!),BI204),AR204)</f>
        <v>#REF!</v>
      </c>
      <c r="BL204" s="167" t="e">
        <f>IF($AG204&gt;0,$AG204*#REF!*#REF!*(1+#REF!*(20/#REF!)/732),#REF!*Z204)</f>
        <v>#REF!</v>
      </c>
      <c r="BM204" s="167" t="e">
        <f>IF($AG204&gt;0,$AG204*#REF!*#REF!*(1+#REF!*(20/#REF!)/732),+#REF!*(Z204+X204))</f>
        <v>#REF!</v>
      </c>
      <c r="BN204" s="167" t="e">
        <f>IF(H204="Bundled",#REF!*Y204,#REF!*Y204*0.85)</f>
        <v>#REF!</v>
      </c>
      <c r="BO204" s="167" t="e">
        <f t="shared" ref="BO204:BO205" si="339">+BE204*Y204</f>
        <v>#REF!</v>
      </c>
      <c r="BP204" s="167" t="e">
        <f>+#REF!*Y204</f>
        <v>#REF!</v>
      </c>
      <c r="BQ204" s="167" t="e">
        <f t="shared" ref="BQ204:BQ205" si="340">+BJ204-BP204</f>
        <v>#REF!</v>
      </c>
      <c r="BR204" s="167" t="e">
        <f t="shared" ref="BR204:BR205" si="341">+BK204-BL204</f>
        <v>#REF!</v>
      </c>
      <c r="BS204" s="167" t="e">
        <f t="shared" ref="BS204:BS205" si="342">+BQ204+BR204</f>
        <v>#REF!</v>
      </c>
      <c r="BT204" s="167" t="e">
        <f t="shared" ref="BT204:BT205" si="343">+Y204</f>
        <v>#REF!</v>
      </c>
      <c r="BU204" s="167" t="e">
        <f t="shared" ref="BU204:BU205" si="344">+BE204</f>
        <v>#REF!</v>
      </c>
      <c r="BV204" s="167" t="e">
        <f t="shared" ref="BV204:BV205" si="345">IF(H204="Bundled",BN204-BL204,AR204-BL204)</f>
        <v>#REF!</v>
      </c>
      <c r="BW204" s="167" t="e">
        <f>IF(H204="Bundled",+(BG204-#REF!)*Y204,(AP204+AQ204)-Y204*#REF!)</f>
        <v>#REF!</v>
      </c>
      <c r="BX204" s="167" t="e">
        <f t="shared" ref="BX204:BX205" si="346">+BV204+BW204</f>
        <v>#REF!</v>
      </c>
      <c r="BY204" s="167" t="e">
        <f t="shared" ref="BY204:BY205" si="347">+BV204/$BT204</f>
        <v>#REF!</v>
      </c>
      <c r="BZ204" s="167" t="e">
        <f t="shared" ref="BZ204:BZ205" si="348">+BW204/$BT204</f>
        <v>#REF!</v>
      </c>
      <c r="CA204" s="167" t="e">
        <f t="shared" ref="CA204:CA205" si="349">+BX204/$BT204</f>
        <v>#REF!</v>
      </c>
    </row>
    <row r="205" spans="1:79" s="16" customFormat="1">
      <c r="A205" s="202" t="s">
        <v>49</v>
      </c>
      <c r="B205" s="203" t="s">
        <v>534</v>
      </c>
      <c r="C205" s="203" t="s">
        <v>535</v>
      </c>
      <c r="D205" s="168" t="s">
        <v>235</v>
      </c>
      <c r="E205" s="203"/>
      <c r="F205" s="203"/>
      <c r="G205" s="204" t="s">
        <v>169</v>
      </c>
      <c r="H205" s="205" t="s">
        <v>170</v>
      </c>
      <c r="I205" s="204" t="s">
        <v>132</v>
      </c>
      <c r="J205" s="204" t="s">
        <v>133</v>
      </c>
      <c r="K205" s="206" t="str">
        <f t="shared" si="321"/>
        <v>No of Racks</v>
      </c>
      <c r="L205" s="204">
        <v>1</v>
      </c>
      <c r="M205" s="204">
        <v>1</v>
      </c>
      <c r="N205" s="207">
        <f t="shared" ref="N205:N225" si="350">L205-M205</f>
        <v>0</v>
      </c>
      <c r="O205" s="204">
        <v>1</v>
      </c>
      <c r="P205" s="204"/>
      <c r="Q205" s="208">
        <f>(0)/12</f>
        <v>0</v>
      </c>
      <c r="R205" s="209" t="str">
        <f t="shared" si="322"/>
        <v>Subscribed</v>
      </c>
      <c r="S205" s="204" t="s">
        <v>123</v>
      </c>
      <c r="T205" s="205">
        <v>3</v>
      </c>
      <c r="U205" s="348">
        <f t="shared" ref="U205" si="351">Z205</f>
        <v>2.0736607142857144</v>
      </c>
      <c r="V205" s="212">
        <f t="shared" si="323"/>
        <v>0.92633928571428559</v>
      </c>
      <c r="W205" s="205"/>
      <c r="X205" s="146">
        <f>IF(V205&lt;=0,0,(IF(R205="Rated",(V205+W205)*#REF!,(V205+W205))))</f>
        <v>0.92633928571428559</v>
      </c>
      <c r="Y205" s="205">
        <f>IF(R205="Rated",T205*#REF!,T205)</f>
        <v>3</v>
      </c>
      <c r="Z205" s="231">
        <f t="shared" si="313"/>
        <v>2.0736607142857144</v>
      </c>
      <c r="AA205" s="205">
        <f t="shared" si="324"/>
        <v>0</v>
      </c>
      <c r="AB205" s="213">
        <f t="shared" si="315"/>
        <v>0</v>
      </c>
      <c r="AC205" s="214" t="str">
        <f t="shared" si="325"/>
        <v>Metered</v>
      </c>
      <c r="AD205" s="205"/>
      <c r="AE205" s="205" t="s">
        <v>171</v>
      </c>
      <c r="AF205" s="215">
        <v>0</v>
      </c>
      <c r="AG205" s="205">
        <v>1393.5</v>
      </c>
      <c r="AH205" s="216"/>
      <c r="AI205" s="217"/>
      <c r="AJ205" s="205"/>
      <c r="AK205" s="205"/>
      <c r="AL205" s="205">
        <f t="shared" si="326"/>
        <v>0</v>
      </c>
      <c r="AM205" s="205"/>
      <c r="AN205" s="205"/>
      <c r="AO205" s="208">
        <f t="shared" si="316"/>
        <v>0</v>
      </c>
      <c r="AP205" s="218">
        <f t="shared" si="327"/>
        <v>0</v>
      </c>
      <c r="AQ205" s="218">
        <f t="shared" si="328"/>
        <v>0</v>
      </c>
      <c r="AR205" s="219">
        <f t="shared" si="329"/>
        <v>0</v>
      </c>
      <c r="AS205" s="218">
        <f t="shared" si="330"/>
        <v>0</v>
      </c>
      <c r="AT205" s="220">
        <f t="shared" si="317"/>
        <v>0</v>
      </c>
      <c r="AU205" s="221">
        <f t="shared" si="331"/>
        <v>0</v>
      </c>
      <c r="AV205" s="221"/>
      <c r="AW205" s="326"/>
      <c r="AX205" s="333"/>
      <c r="AY205" s="334"/>
      <c r="AZ205" s="333"/>
      <c r="BA205" s="335"/>
      <c r="BB205" s="5"/>
      <c r="BC205" s="226">
        <f t="shared" si="332"/>
        <v>0</v>
      </c>
      <c r="BD205" s="226">
        <f t="shared" si="333"/>
        <v>0</v>
      </c>
      <c r="BE205" s="226" t="e">
        <f t="shared" si="334"/>
        <v>#REF!</v>
      </c>
      <c r="BF205" s="226" t="e">
        <f t="shared" si="335"/>
        <v>#REF!</v>
      </c>
      <c r="BG205" s="226" t="e">
        <f t="shared" si="336"/>
        <v>#REF!</v>
      </c>
      <c r="BH205" s="226"/>
      <c r="BI205" s="227">
        <f t="shared" si="337"/>
        <v>0</v>
      </c>
      <c r="BJ205" s="227">
        <f t="shared" si="338"/>
        <v>0</v>
      </c>
      <c r="BK205" s="227">
        <f>IF(H205="Bundled",MIN(Y205*#REF!*(1+#REF!),BI205),AR205)</f>
        <v>0</v>
      </c>
      <c r="BL205" s="228" t="e">
        <f>IF($AG205&gt;0,$AG205*#REF!*#REF!*(1+#REF!*(20/#REF!)/732),#REF!*Z205)</f>
        <v>#REF!</v>
      </c>
      <c r="BM205" s="228" t="e">
        <f>IF($AG205&gt;0,$AG205*#REF!*#REF!*(1+#REF!*(20/#REF!)/732),+#REF!*(Z205+X205))</f>
        <v>#REF!</v>
      </c>
      <c r="BN205" s="228" t="e">
        <f>IF(H205="Bundled",#REF!*Y205,#REF!*Y205*0.85)</f>
        <v>#REF!</v>
      </c>
      <c r="BO205" s="228" t="e">
        <f t="shared" si="339"/>
        <v>#REF!</v>
      </c>
      <c r="BP205" s="228" t="e">
        <f>+#REF!*Y205</f>
        <v>#REF!</v>
      </c>
      <c r="BQ205" s="228" t="e">
        <f t="shared" si="340"/>
        <v>#REF!</v>
      </c>
      <c r="BR205" s="228" t="e">
        <f t="shared" si="341"/>
        <v>#REF!</v>
      </c>
      <c r="BS205" s="228" t="e">
        <f t="shared" si="342"/>
        <v>#REF!</v>
      </c>
      <c r="BT205" s="228">
        <f t="shared" si="343"/>
        <v>3</v>
      </c>
      <c r="BU205" s="228" t="e">
        <f t="shared" si="344"/>
        <v>#REF!</v>
      </c>
      <c r="BV205" s="228" t="e">
        <f t="shared" si="345"/>
        <v>#REF!</v>
      </c>
      <c r="BW205" s="228" t="e">
        <f>IF(H205="Bundled",+(BG205-#REF!)*Y205,(AP205+AQ205)-Y205*#REF!)</f>
        <v>#REF!</v>
      </c>
      <c r="BX205" s="228" t="e">
        <f t="shared" si="346"/>
        <v>#REF!</v>
      </c>
      <c r="BY205" s="228" t="e">
        <f t="shared" si="347"/>
        <v>#REF!</v>
      </c>
      <c r="BZ205" s="228" t="e">
        <f t="shared" si="348"/>
        <v>#REF!</v>
      </c>
      <c r="CA205" s="228" t="e">
        <f t="shared" si="349"/>
        <v>#REF!</v>
      </c>
    </row>
    <row r="206" spans="1:79" s="16" customFormat="1">
      <c r="A206" s="238" t="s">
        <v>49</v>
      </c>
      <c r="B206" s="488" t="s">
        <v>536</v>
      </c>
      <c r="C206" s="203" t="s">
        <v>537</v>
      </c>
      <c r="D206" s="485" t="s">
        <v>235</v>
      </c>
      <c r="E206" s="485"/>
      <c r="F206" s="485"/>
      <c r="G206" s="145" t="s">
        <v>130</v>
      </c>
      <c r="H206" s="146" t="s">
        <v>131</v>
      </c>
      <c r="I206" s="145" t="s">
        <v>144</v>
      </c>
      <c r="J206" s="145" t="s">
        <v>133</v>
      </c>
      <c r="K206" s="147" t="str">
        <f>IF(I206="Rack","No of Racks",(IF(I206="Space","Sq Ft","U Space")))</f>
        <v>U Space</v>
      </c>
      <c r="L206" s="145">
        <v>12</v>
      </c>
      <c r="M206" s="200">
        <v>12</v>
      </c>
      <c r="N206" s="323">
        <v>0</v>
      </c>
      <c r="O206" s="200">
        <v>12</v>
      </c>
      <c r="P206" s="200"/>
      <c r="Q206" s="324"/>
      <c r="R206" s="150" t="s">
        <v>130</v>
      </c>
      <c r="S206" s="145" t="s">
        <v>134</v>
      </c>
      <c r="T206" s="146">
        <v>1</v>
      </c>
      <c r="U206" s="348">
        <v>0.31</v>
      </c>
      <c r="V206" s="232">
        <f>T206-U206</f>
        <v>0.69</v>
      </c>
      <c r="W206" s="146"/>
      <c r="X206" s="146" t="e">
        <f>IF(V206&lt;=0,0,(IF(R206="Rated",(V206+W206)*'Noida-01'!#REF!,(V206+W206))))</f>
        <v>#REF!</v>
      </c>
      <c r="Y206" s="146" t="e">
        <f>IF(R206="Rated",T206*'Noida-01'!#REF!,T206)</f>
        <v>#REF!</v>
      </c>
      <c r="Z206" s="365">
        <f>AG206/28/24</f>
        <v>0</v>
      </c>
      <c r="AA206" s="146">
        <f>IF((V206*-1)&gt;0, (V206*-1), 0)</f>
        <v>0</v>
      </c>
      <c r="AB206" s="152">
        <f>0/12</f>
        <v>0</v>
      </c>
      <c r="AC206" s="153"/>
      <c r="AD206" s="146"/>
      <c r="AE206" s="146" t="s">
        <v>171</v>
      </c>
      <c r="AF206" s="154">
        <v>0</v>
      </c>
      <c r="AG206" s="351"/>
      <c r="AH206" s="155"/>
      <c r="AI206" s="156"/>
      <c r="AJ206" s="146"/>
      <c r="AK206" s="146"/>
      <c r="AL206" s="146"/>
      <c r="AM206" s="146"/>
      <c r="AN206" s="146"/>
      <c r="AO206" s="149"/>
      <c r="AP206" s="157"/>
      <c r="AQ206" s="157"/>
      <c r="AR206" s="158"/>
      <c r="AS206" s="157"/>
      <c r="AT206" s="159"/>
      <c r="AU206" s="160"/>
      <c r="AV206" s="160"/>
      <c r="AW206" s="161"/>
      <c r="AX206" s="162"/>
      <c r="AY206" s="163"/>
      <c r="AZ206" s="162"/>
      <c r="BA206" s="229"/>
      <c r="BB206" s="229"/>
      <c r="BC206" s="165"/>
      <c r="BD206" s="165"/>
      <c r="BE206" s="165"/>
      <c r="BF206" s="165"/>
      <c r="BG206" s="165"/>
      <c r="BH206" s="165"/>
      <c r="BI206" s="166"/>
      <c r="BJ206" s="166"/>
      <c r="BK206" s="166"/>
      <c r="BL206" s="167"/>
      <c r="BM206" s="167"/>
      <c r="BN206" s="167"/>
      <c r="BO206" s="167"/>
      <c r="BP206" s="167"/>
      <c r="BQ206" s="167"/>
      <c r="BR206" s="167"/>
      <c r="BS206" s="167"/>
      <c r="BT206" s="167"/>
      <c r="BU206" s="167"/>
      <c r="BV206" s="167"/>
      <c r="BW206" s="167"/>
      <c r="BX206" s="167"/>
      <c r="BY206" s="167"/>
      <c r="BZ206" s="167"/>
      <c r="CA206" s="167"/>
    </row>
    <row r="207" spans="1:79" s="16" customFormat="1">
      <c r="A207" s="238" t="s">
        <v>49</v>
      </c>
      <c r="B207" s="251"/>
      <c r="C207" s="203" t="s">
        <v>538</v>
      </c>
      <c r="D207" s="485" t="s">
        <v>235</v>
      </c>
      <c r="E207" s="485"/>
      <c r="F207" s="485"/>
      <c r="G207" s="145" t="s">
        <v>130</v>
      </c>
      <c r="H207" s="146" t="s">
        <v>131</v>
      </c>
      <c r="I207" s="145" t="s">
        <v>144</v>
      </c>
      <c r="J207" s="145" t="s">
        <v>133</v>
      </c>
      <c r="K207" s="147" t="str">
        <f>IF(I207="Rack","No of Racks",(IF(I207="Space","Sq Ft","U Space")))</f>
        <v>U Space</v>
      </c>
      <c r="L207" s="145">
        <v>10</v>
      </c>
      <c r="M207" s="200">
        <v>10</v>
      </c>
      <c r="N207" s="323">
        <v>0</v>
      </c>
      <c r="O207" s="200">
        <v>10</v>
      </c>
      <c r="P207" s="200"/>
      <c r="Q207" s="324"/>
      <c r="R207" s="150" t="s">
        <v>130</v>
      </c>
      <c r="S207" s="145" t="s">
        <v>134</v>
      </c>
      <c r="T207" s="146">
        <v>1.5</v>
      </c>
      <c r="U207" s="348">
        <v>1.1000000000000001</v>
      </c>
      <c r="V207" s="232">
        <f>T207-U207</f>
        <v>0.39999999999999991</v>
      </c>
      <c r="W207" s="146"/>
      <c r="X207" s="146" t="e">
        <f>IF(V207&lt;=0,0,(IF(R207="Rated",(V207+W207)*'Noida-01'!#REF!,(V207+W207))))</f>
        <v>#REF!</v>
      </c>
      <c r="Y207" s="146" t="e">
        <f>IF(R207="Rated",T207*'Noida-01'!#REF!,T207)</f>
        <v>#REF!</v>
      </c>
      <c r="Z207" s="252"/>
      <c r="AA207" s="146">
        <f>IF((V207*-1)&gt;0, (V207*-1), 0)</f>
        <v>0</v>
      </c>
      <c r="AB207" s="152">
        <f>0/12</f>
        <v>0</v>
      </c>
      <c r="AC207" s="153"/>
      <c r="AD207" s="146"/>
      <c r="AE207" s="146" t="s">
        <v>171</v>
      </c>
      <c r="AF207" s="154">
        <v>0</v>
      </c>
      <c r="AG207" s="351"/>
      <c r="AH207" s="155"/>
      <c r="AI207" s="156"/>
      <c r="AJ207" s="146"/>
      <c r="AK207" s="146"/>
      <c r="AL207" s="146"/>
      <c r="AM207" s="146"/>
      <c r="AN207" s="146"/>
      <c r="AO207" s="149"/>
      <c r="AP207" s="157"/>
      <c r="AQ207" s="157"/>
      <c r="AR207" s="158"/>
      <c r="AS207" s="157"/>
      <c r="AT207" s="159"/>
      <c r="AU207" s="160"/>
      <c r="AV207" s="160"/>
      <c r="AW207" s="161"/>
      <c r="AX207" s="162"/>
      <c r="AY207" s="163"/>
      <c r="AZ207" s="162"/>
      <c r="BA207" s="229"/>
      <c r="BB207" s="229"/>
      <c r="BC207" s="165"/>
      <c r="BD207" s="165"/>
      <c r="BE207" s="165"/>
      <c r="BF207" s="165"/>
      <c r="BG207" s="165"/>
      <c r="BH207" s="165"/>
      <c r="BI207" s="166"/>
      <c r="BJ207" s="166"/>
      <c r="BK207" s="166"/>
      <c r="BL207" s="167"/>
      <c r="BM207" s="167"/>
      <c r="BN207" s="167"/>
      <c r="BO207" s="167"/>
      <c r="BP207" s="167"/>
      <c r="BQ207" s="167"/>
      <c r="BR207" s="167"/>
      <c r="BS207" s="167"/>
      <c r="BT207" s="167"/>
      <c r="BU207" s="167"/>
      <c r="BV207" s="167"/>
      <c r="BW207" s="167"/>
      <c r="BX207" s="167"/>
      <c r="BY207" s="167"/>
      <c r="BZ207" s="167"/>
      <c r="CA207" s="167"/>
    </row>
    <row r="208" spans="1:79" s="16" customFormat="1">
      <c r="A208" s="238" t="s">
        <v>49</v>
      </c>
      <c r="B208" s="143" t="s">
        <v>539</v>
      </c>
      <c r="C208" s="343" t="s">
        <v>513</v>
      </c>
      <c r="D208" s="485" t="s">
        <v>239</v>
      </c>
      <c r="E208" s="485"/>
      <c r="F208" s="485"/>
      <c r="G208" s="145" t="s">
        <v>130</v>
      </c>
      <c r="H208" s="146" t="s">
        <v>131</v>
      </c>
      <c r="I208" s="145" t="s">
        <v>132</v>
      </c>
      <c r="J208" s="145" t="s">
        <v>133</v>
      </c>
      <c r="K208" s="147" t="str">
        <f>IF(I208="Rack","No of Racks",(IF(I208="Space","Sq Ft","U Space")))</f>
        <v>No of Racks</v>
      </c>
      <c r="L208" s="145">
        <v>1</v>
      </c>
      <c r="M208" s="200">
        <v>1</v>
      </c>
      <c r="N208" s="323">
        <v>0</v>
      </c>
      <c r="O208" s="200">
        <v>1</v>
      </c>
      <c r="P208" s="200"/>
      <c r="Q208" s="324"/>
      <c r="R208" s="150" t="s">
        <v>130</v>
      </c>
      <c r="S208" s="145" t="s">
        <v>134</v>
      </c>
      <c r="T208" s="146">
        <v>6</v>
      </c>
      <c r="U208" s="151">
        <v>11.36</v>
      </c>
      <c r="V208" s="232">
        <f>T208-U208</f>
        <v>-5.3599999999999994</v>
      </c>
      <c r="W208" s="146"/>
      <c r="X208" s="146">
        <f>IF(V208&lt;=0,0,(IF(R208="Rated",(V208+W208)*'Noida-01'!#REF!,(V208+W208))))</f>
        <v>0</v>
      </c>
      <c r="Y208" s="205" t="e">
        <f>IF(R208="Rated",T208*'Noida-01'!#REF!,T208)</f>
        <v>#REF!</v>
      </c>
      <c r="Z208" s="231">
        <f>AG208/28/24</f>
        <v>1.7473214285714287</v>
      </c>
      <c r="AA208" s="146">
        <f>IF((V208*-1)&gt;0, (V208*-1), 0)</f>
        <v>5.3599999999999994</v>
      </c>
      <c r="AB208" s="152"/>
      <c r="AC208" s="153"/>
      <c r="AD208" s="146"/>
      <c r="AE208" s="146"/>
      <c r="AF208" s="154"/>
      <c r="AG208" s="351">
        <v>1174.2</v>
      </c>
      <c r="AH208" s="155"/>
      <c r="AI208" s="156"/>
      <c r="AJ208" s="146"/>
      <c r="AK208" s="146"/>
      <c r="AL208" s="146"/>
      <c r="AM208" s="146"/>
      <c r="AN208" s="146"/>
      <c r="AO208" s="149"/>
      <c r="AP208" s="157"/>
      <c r="AQ208" s="157"/>
      <c r="AR208" s="158"/>
      <c r="AS208" s="157"/>
      <c r="AT208" s="159"/>
      <c r="AU208" s="160"/>
      <c r="AV208" s="160"/>
      <c r="AW208" s="161"/>
      <c r="AX208" s="162"/>
      <c r="AY208" s="163"/>
      <c r="AZ208" s="162"/>
      <c r="BA208" s="229"/>
      <c r="BB208" s="229"/>
      <c r="BC208" s="165"/>
      <c r="BD208" s="165"/>
      <c r="BE208" s="165"/>
      <c r="BF208" s="165"/>
      <c r="BG208" s="165"/>
      <c r="BH208" s="165"/>
      <c r="BI208" s="166"/>
      <c r="BJ208" s="166"/>
      <c r="BK208" s="166"/>
      <c r="BL208" s="167"/>
      <c r="BM208" s="167"/>
      <c r="BN208" s="167"/>
      <c r="BO208" s="167"/>
      <c r="BP208" s="167"/>
      <c r="BQ208" s="167"/>
      <c r="BR208" s="167"/>
      <c r="BS208" s="167"/>
      <c r="BT208" s="167"/>
      <c r="BU208" s="167"/>
      <c r="BV208" s="167"/>
      <c r="BW208" s="167"/>
      <c r="BX208" s="167"/>
      <c r="BY208" s="167"/>
      <c r="BZ208" s="167"/>
      <c r="CA208" s="167"/>
    </row>
    <row r="209" spans="1:80" s="16" customFormat="1">
      <c r="A209" s="238" t="s">
        <v>49</v>
      </c>
      <c r="B209" s="143" t="s">
        <v>540</v>
      </c>
      <c r="C209" s="16" t="s">
        <v>541</v>
      </c>
      <c r="D209" s="485" t="s">
        <v>239</v>
      </c>
      <c r="E209" s="485"/>
      <c r="F209" s="485"/>
      <c r="G209" s="145" t="s">
        <v>130</v>
      </c>
      <c r="H209" s="146" t="s">
        <v>131</v>
      </c>
      <c r="I209" s="145" t="s">
        <v>132</v>
      </c>
      <c r="J209" s="145"/>
      <c r="K209" s="147" t="str">
        <f>IF(I209="Rack","No of Racks",(IF(I209="Space","Sq Ft","U Space")))</f>
        <v>No of Racks</v>
      </c>
      <c r="L209" s="145">
        <v>1</v>
      </c>
      <c r="M209" s="200">
        <v>1</v>
      </c>
      <c r="N209" s="323">
        <v>0</v>
      </c>
      <c r="O209" s="200">
        <v>1</v>
      </c>
      <c r="P209" s="200"/>
      <c r="Q209" s="324"/>
      <c r="R209" s="150" t="s">
        <v>130</v>
      </c>
      <c r="S209" s="145" t="s">
        <v>134</v>
      </c>
      <c r="T209" s="146">
        <v>3.5</v>
      </c>
      <c r="U209" s="151">
        <v>5.09</v>
      </c>
      <c r="V209" s="232">
        <f>T209-U209</f>
        <v>-1.5899999999999999</v>
      </c>
      <c r="W209" s="146"/>
      <c r="X209" s="146"/>
      <c r="Y209" s="205"/>
      <c r="Z209" s="231">
        <v>1.68</v>
      </c>
      <c r="AA209" s="146">
        <f>IF((V209*-1)&gt;0, (V209*-1), 0)</f>
        <v>1.5899999999999999</v>
      </c>
      <c r="AB209" s="152"/>
      <c r="AC209" s="153"/>
      <c r="AD209" s="146"/>
      <c r="AE209" s="146"/>
      <c r="AF209" s="154"/>
      <c r="AG209" s="351">
        <v>410.7</v>
      </c>
      <c r="AH209" s="155"/>
      <c r="AI209" s="156"/>
      <c r="AJ209" s="146"/>
      <c r="AK209" s="146"/>
      <c r="AL209" s="146"/>
      <c r="AM209" s="146"/>
      <c r="AN209" s="146"/>
      <c r="AO209" s="149"/>
      <c r="AP209" s="157"/>
      <c r="AQ209" s="157"/>
      <c r="AR209" s="158"/>
      <c r="AS209" s="157"/>
      <c r="AT209" s="159"/>
      <c r="AU209" s="160"/>
      <c r="AV209" s="160"/>
      <c r="AW209" s="161"/>
      <c r="AX209" s="162"/>
      <c r="AY209" s="163"/>
      <c r="AZ209" s="162"/>
      <c r="BA209" s="229"/>
      <c r="BB209" s="229"/>
      <c r="BC209" s="165"/>
      <c r="BD209" s="165"/>
      <c r="BE209" s="165"/>
      <c r="BF209" s="165"/>
      <c r="BG209" s="165"/>
      <c r="BH209" s="165"/>
      <c r="BI209" s="166"/>
      <c r="BJ209" s="166"/>
      <c r="BK209" s="166"/>
      <c r="BL209" s="167"/>
      <c r="BM209" s="167"/>
      <c r="BN209" s="167"/>
      <c r="BO209" s="167"/>
      <c r="BP209" s="167"/>
      <c r="BQ209" s="167"/>
      <c r="BR209" s="167"/>
      <c r="BS209" s="167"/>
      <c r="BT209" s="167"/>
      <c r="BU209" s="167"/>
      <c r="BV209" s="167"/>
      <c r="BW209" s="167"/>
      <c r="BX209" s="167"/>
      <c r="BY209" s="167"/>
      <c r="BZ209" s="167"/>
      <c r="CA209" s="167"/>
    </row>
    <row r="210" spans="1:80" s="16" customFormat="1" ht="39">
      <c r="A210" s="238" t="s">
        <v>49</v>
      </c>
      <c r="B210" s="168" t="s">
        <v>542</v>
      </c>
      <c r="C210" s="199" t="s">
        <v>543</v>
      </c>
      <c r="D210" s="144" t="s">
        <v>239</v>
      </c>
      <c r="E210" s="144"/>
      <c r="F210" s="144"/>
      <c r="G210" s="145" t="s">
        <v>130</v>
      </c>
      <c r="H210" s="146" t="s">
        <v>131</v>
      </c>
      <c r="I210" s="145" t="s">
        <v>132</v>
      </c>
      <c r="J210" s="145" t="s">
        <v>133</v>
      </c>
      <c r="K210" s="147" t="str">
        <f t="shared" si="321"/>
        <v>No of Racks</v>
      </c>
      <c r="L210" s="145">
        <v>1</v>
      </c>
      <c r="M210" s="145">
        <v>1</v>
      </c>
      <c r="N210" s="148">
        <f t="shared" si="350"/>
        <v>0</v>
      </c>
      <c r="O210" s="145">
        <v>1</v>
      </c>
      <c r="P210" s="145"/>
      <c r="Q210" s="149">
        <f>(878000)/12</f>
        <v>73166.666666666672</v>
      </c>
      <c r="R210" s="150" t="str">
        <f t="shared" si="322"/>
        <v>Rated</v>
      </c>
      <c r="S210" s="145" t="s">
        <v>134</v>
      </c>
      <c r="T210" s="146">
        <v>9</v>
      </c>
      <c r="U210" s="151">
        <v>9.82</v>
      </c>
      <c r="V210" s="232">
        <f t="shared" ref="V210:V225" si="352">T210-U210</f>
        <v>-0.82000000000000028</v>
      </c>
      <c r="W210" s="146"/>
      <c r="X210" s="146">
        <f>IF(V210&lt;=0,0,(IF(R210="Rated",(V210+W210)*#REF!,(V210+W210))))</f>
        <v>0</v>
      </c>
      <c r="Y210" s="205" t="e">
        <f>IF(R210="Rated",T210*#REF!,T210)</f>
        <v>#REF!</v>
      </c>
      <c r="Z210" s="231">
        <f>AG210/28/24</f>
        <v>1.7748511904761906</v>
      </c>
      <c r="AA210" s="146">
        <f t="shared" ref="AA210:AA224" si="353">IF((V210*-1)&gt;0, (V210*-1), 0)</f>
        <v>0.82000000000000028</v>
      </c>
      <c r="AB210" s="152"/>
      <c r="AC210" s="153" t="str">
        <f t="shared" si="325"/>
        <v>Bundled</v>
      </c>
      <c r="AD210" s="146"/>
      <c r="AE210" s="146"/>
      <c r="AF210" s="154"/>
      <c r="AG210" s="146">
        <v>1192.7</v>
      </c>
      <c r="AH210" s="155"/>
      <c r="AI210" s="156"/>
      <c r="AJ210" s="146"/>
      <c r="AK210" s="146"/>
      <c r="AL210" s="146"/>
      <c r="AM210" s="146"/>
      <c r="AN210" s="146"/>
      <c r="AO210" s="149"/>
      <c r="AP210" s="157"/>
      <c r="AQ210" s="157"/>
      <c r="AR210" s="158"/>
      <c r="AS210" s="157"/>
      <c r="AT210" s="159"/>
      <c r="AU210" s="160"/>
      <c r="AV210" s="160"/>
      <c r="AW210" s="161"/>
      <c r="AX210" s="162"/>
      <c r="AY210" s="163"/>
      <c r="AZ210" s="162"/>
      <c r="BA210" s="229"/>
      <c r="BB210" s="229"/>
      <c r="BC210" s="165"/>
      <c r="BD210" s="165"/>
      <c r="BE210" s="165"/>
      <c r="BF210" s="165"/>
      <c r="BG210" s="165"/>
      <c r="BH210" s="165"/>
      <c r="BI210" s="166"/>
      <c r="BJ210" s="166"/>
      <c r="BK210" s="166"/>
      <c r="BL210" s="167"/>
      <c r="BM210" s="167"/>
      <c r="BN210" s="167"/>
      <c r="BO210" s="167"/>
      <c r="BP210" s="167"/>
      <c r="BQ210" s="167"/>
      <c r="BR210" s="167"/>
      <c r="BS210" s="167"/>
      <c r="BT210" s="167"/>
      <c r="BU210" s="167"/>
      <c r="BV210" s="167"/>
      <c r="BW210" s="167"/>
      <c r="BX210" s="167"/>
      <c r="BY210" s="167"/>
      <c r="BZ210" s="167"/>
      <c r="CA210" s="167"/>
    </row>
    <row r="211" spans="1:80" s="16" customFormat="1">
      <c r="A211" s="238" t="s">
        <v>49</v>
      </c>
      <c r="B211" s="168" t="s">
        <v>544</v>
      </c>
      <c r="C211" s="199" t="s">
        <v>321</v>
      </c>
      <c r="D211" s="144" t="s">
        <v>235</v>
      </c>
      <c r="E211" s="144"/>
      <c r="F211" s="144"/>
      <c r="G211" s="145" t="s">
        <v>169</v>
      </c>
      <c r="H211" s="146" t="s">
        <v>170</v>
      </c>
      <c r="I211" s="145" t="s">
        <v>132</v>
      </c>
      <c r="J211" s="145" t="s">
        <v>133</v>
      </c>
      <c r="K211" s="147" t="str">
        <f t="shared" si="321"/>
        <v>No of Racks</v>
      </c>
      <c r="L211" s="145">
        <v>1</v>
      </c>
      <c r="M211" s="145">
        <v>1</v>
      </c>
      <c r="N211" s="148">
        <f t="shared" si="350"/>
        <v>0</v>
      </c>
      <c r="O211" s="145">
        <v>1</v>
      </c>
      <c r="P211" s="145"/>
      <c r="Q211" s="149">
        <f>(878000)/12</f>
        <v>73166.666666666672</v>
      </c>
      <c r="R211" s="150" t="str">
        <f t="shared" si="322"/>
        <v>Subscribed</v>
      </c>
      <c r="S211" s="145" t="s">
        <v>123</v>
      </c>
      <c r="T211" s="146">
        <v>3</v>
      </c>
      <c r="U211" s="327">
        <f t="shared" ref="U211:U220" si="354">Z211</f>
        <v>5.6090773809523817</v>
      </c>
      <c r="V211" s="232">
        <f t="shared" si="352"/>
        <v>-2.6090773809523817</v>
      </c>
      <c r="W211" s="146"/>
      <c r="X211" s="146">
        <f>IF(V211&lt;=0,0,(IF(R211="Rated",(V211+W211)*#REF!,(V211+W211))))</f>
        <v>0</v>
      </c>
      <c r="Y211" s="205">
        <f>IF(R211="Rated",T211*#REF!,T211)</f>
        <v>3</v>
      </c>
      <c r="Z211" s="231">
        <f>AG211/28/24</f>
        <v>5.6090773809523817</v>
      </c>
      <c r="AA211" s="146">
        <f t="shared" si="353"/>
        <v>2.6090773809523817</v>
      </c>
      <c r="AB211" s="152"/>
      <c r="AC211" s="153" t="str">
        <f t="shared" si="325"/>
        <v>Metered</v>
      </c>
      <c r="AD211" s="146"/>
      <c r="AE211" s="146"/>
      <c r="AF211" s="154"/>
      <c r="AG211" s="146">
        <v>3769.3</v>
      </c>
      <c r="AH211" s="155"/>
      <c r="AI211" s="156"/>
      <c r="AJ211" s="146"/>
      <c r="AK211" s="146"/>
      <c r="AL211" s="146"/>
      <c r="AM211" s="146"/>
      <c r="AN211" s="146"/>
      <c r="AO211" s="149"/>
      <c r="AP211" s="157"/>
      <c r="AQ211" s="157"/>
      <c r="AR211" s="158"/>
      <c r="AS211" s="157"/>
      <c r="AT211" s="159"/>
      <c r="AU211" s="160"/>
      <c r="AV211" s="160"/>
      <c r="AW211" s="161"/>
      <c r="AX211" s="162"/>
      <c r="AY211" s="163"/>
      <c r="AZ211" s="162"/>
      <c r="BA211" s="229"/>
      <c r="BB211" s="229"/>
      <c r="BC211" s="165"/>
      <c r="BD211" s="165"/>
      <c r="BE211" s="165"/>
      <c r="BF211" s="165"/>
      <c r="BG211" s="165"/>
      <c r="BH211" s="165"/>
      <c r="BI211" s="166"/>
      <c r="BJ211" s="166"/>
      <c r="BK211" s="166"/>
      <c r="BL211" s="167"/>
      <c r="BM211" s="167"/>
      <c r="BN211" s="167"/>
      <c r="BO211" s="167"/>
      <c r="BP211" s="167"/>
      <c r="BQ211" s="167"/>
      <c r="BR211" s="167"/>
      <c r="BS211" s="167"/>
      <c r="BT211" s="167"/>
      <c r="BU211" s="167"/>
      <c r="BV211" s="167"/>
      <c r="BW211" s="167"/>
      <c r="BX211" s="167"/>
      <c r="BY211" s="167"/>
      <c r="BZ211" s="167"/>
      <c r="CA211" s="167"/>
    </row>
    <row r="212" spans="1:80" s="16" customFormat="1">
      <c r="A212" s="238" t="s">
        <v>49</v>
      </c>
      <c r="B212" s="168" t="s">
        <v>545</v>
      </c>
      <c r="C212" s="329" t="s">
        <v>546</v>
      </c>
      <c r="D212" s="489" t="s">
        <v>235</v>
      </c>
      <c r="E212" s="489"/>
      <c r="F212" s="489"/>
      <c r="G212" s="145" t="s">
        <v>169</v>
      </c>
      <c r="H212" s="146" t="s">
        <v>170</v>
      </c>
      <c r="I212" s="145" t="s">
        <v>132</v>
      </c>
      <c r="J212" s="145" t="s">
        <v>133</v>
      </c>
      <c r="K212" s="147" t="str">
        <f t="shared" ref="K212" si="355">IF(I212="Rack","No of Racks",(IF(I212="Space","Sq Ft","U Space")))</f>
        <v>No of Racks</v>
      </c>
      <c r="L212" s="145">
        <v>1</v>
      </c>
      <c r="M212" s="145">
        <v>1</v>
      </c>
      <c r="N212" s="148">
        <f t="shared" ref="N212" si="356">L212-M212</f>
        <v>0</v>
      </c>
      <c r="O212" s="145">
        <v>1</v>
      </c>
      <c r="P212" s="145"/>
      <c r="Q212" s="149"/>
      <c r="R212" s="150" t="str">
        <f t="shared" ref="R212" si="357">G212</f>
        <v>Subscribed</v>
      </c>
      <c r="S212" s="145" t="s">
        <v>123</v>
      </c>
      <c r="T212" s="146">
        <v>3</v>
      </c>
      <c r="U212" s="327">
        <f t="shared" ref="U212:U217" si="358">Z212</f>
        <v>1.8790178571428573</v>
      </c>
      <c r="V212" s="232">
        <f t="shared" ref="V212" si="359">T212-U212</f>
        <v>1.1209821428571427</v>
      </c>
      <c r="W212" s="146"/>
      <c r="X212" s="146">
        <f>IF(V212&lt;=0,0,(IF(R212="Rated",(V212+W212)*#REF!,(V212+W212))))</f>
        <v>1.1209821428571427</v>
      </c>
      <c r="Y212" s="205">
        <f>IF(R212="Rated",T212*#REF!,T212)</f>
        <v>3</v>
      </c>
      <c r="Z212" s="231">
        <f t="shared" ref="Z212:Z225" si="360">AG212/28/24</f>
        <v>1.8790178571428573</v>
      </c>
      <c r="AA212" s="146">
        <f t="shared" ref="AA212" si="361">IF((V212*-1)&gt;0, (V212*-1), 0)</f>
        <v>0</v>
      </c>
      <c r="AB212" s="152"/>
      <c r="AC212" s="153" t="str">
        <f t="shared" ref="AC212" si="362">H212</f>
        <v>Metered</v>
      </c>
      <c r="AD212" s="146"/>
      <c r="AE212" s="146"/>
      <c r="AF212" s="154"/>
      <c r="AG212" s="146">
        <v>1262.7</v>
      </c>
      <c r="AH212" s="155"/>
      <c r="AI212" s="156"/>
      <c r="AJ212" s="146"/>
      <c r="AK212" s="146"/>
      <c r="AL212" s="146"/>
      <c r="AM212" s="146"/>
      <c r="AN212" s="146"/>
      <c r="AO212" s="149"/>
      <c r="AP212" s="157"/>
      <c r="AQ212" s="157"/>
      <c r="AR212" s="158"/>
      <c r="AS212" s="157"/>
      <c r="AT212" s="159"/>
      <c r="AU212" s="160"/>
      <c r="AV212" s="160"/>
      <c r="AW212" s="161"/>
      <c r="AX212" s="162"/>
      <c r="AY212" s="163"/>
      <c r="AZ212" s="162"/>
      <c r="BA212" s="229"/>
      <c r="BB212" s="229"/>
      <c r="BC212" s="165"/>
      <c r="BD212" s="165"/>
      <c r="BE212" s="165"/>
      <c r="BF212" s="165"/>
      <c r="BG212" s="165"/>
      <c r="BH212" s="165"/>
      <c r="BI212" s="166"/>
      <c r="BJ212" s="166"/>
      <c r="BK212" s="166"/>
      <c r="BL212" s="167"/>
      <c r="BM212" s="167"/>
      <c r="BN212" s="167"/>
      <c r="BO212" s="167"/>
      <c r="BP212" s="167"/>
      <c r="BQ212" s="167"/>
      <c r="BR212" s="167"/>
      <c r="BS212" s="167"/>
      <c r="BT212" s="167"/>
      <c r="BU212" s="167"/>
      <c r="BV212" s="167"/>
      <c r="BW212" s="167"/>
      <c r="BX212" s="167"/>
      <c r="BY212" s="167"/>
      <c r="BZ212" s="167"/>
      <c r="CA212" s="167"/>
    </row>
    <row r="213" spans="1:80" s="16" customFormat="1">
      <c r="A213" s="238" t="s">
        <v>49</v>
      </c>
      <c r="B213" s="168" t="s">
        <v>547</v>
      </c>
      <c r="C213" s="329" t="s">
        <v>548</v>
      </c>
      <c r="D213" s="489" t="s">
        <v>235</v>
      </c>
      <c r="E213" s="489"/>
      <c r="F213" s="489"/>
      <c r="G213" s="145" t="s">
        <v>169</v>
      </c>
      <c r="H213" s="146" t="s">
        <v>170</v>
      </c>
      <c r="I213" s="145" t="s">
        <v>132</v>
      </c>
      <c r="J213" s="145" t="s">
        <v>133</v>
      </c>
      <c r="K213" s="147" t="str">
        <f t="shared" ref="K213:K216" si="363">IF(I213="Rack","No of Racks",(IF(I213="Space","Sq Ft","U Space")))</f>
        <v>No of Racks</v>
      </c>
      <c r="L213" s="145">
        <v>1</v>
      </c>
      <c r="M213" s="145">
        <v>1</v>
      </c>
      <c r="N213" s="148">
        <f t="shared" ref="N213:N216" si="364">L213-M213</f>
        <v>0</v>
      </c>
      <c r="O213" s="145">
        <v>1</v>
      </c>
      <c r="P213" s="145"/>
      <c r="Q213" s="149"/>
      <c r="R213" s="150" t="str">
        <f t="shared" ref="R213:R216" si="365">G213</f>
        <v>Subscribed</v>
      </c>
      <c r="S213" s="145" t="s">
        <v>123</v>
      </c>
      <c r="T213" s="146">
        <v>3</v>
      </c>
      <c r="U213" s="327">
        <f t="shared" si="358"/>
        <v>3.1339285714285712</v>
      </c>
      <c r="V213" s="232">
        <f t="shared" ref="V213:V216" si="366">T213-U213</f>
        <v>-0.13392857142857117</v>
      </c>
      <c r="W213" s="146"/>
      <c r="X213" s="146">
        <f>IF(V213&lt;=0,0,(IF(R213="Rated",(V213+W213)*#REF!,(V213+W213))))</f>
        <v>0</v>
      </c>
      <c r="Y213" s="205">
        <f>IF(R213="Rated",T213*#REF!,T213)</f>
        <v>3</v>
      </c>
      <c r="Z213" s="231">
        <f t="shared" si="360"/>
        <v>3.1339285714285712</v>
      </c>
      <c r="AA213" s="146">
        <f t="shared" ref="AA213:AA214" si="367">IF((V213*-1)&gt;0, (V213*-1), 0)</f>
        <v>0.13392857142857117</v>
      </c>
      <c r="AB213" s="152"/>
      <c r="AC213" s="153" t="str">
        <f t="shared" ref="AC213:AC216" si="368">H213</f>
        <v>Metered</v>
      </c>
      <c r="AD213" s="146"/>
      <c r="AE213" s="146"/>
      <c r="AF213" s="154"/>
      <c r="AG213" s="146">
        <v>2106</v>
      </c>
      <c r="AH213" s="155"/>
      <c r="AI213" s="156"/>
      <c r="AJ213" s="146"/>
      <c r="AK213" s="146"/>
      <c r="AL213" s="146"/>
      <c r="AM213" s="146"/>
      <c r="AN213" s="146"/>
      <c r="AO213" s="149"/>
      <c r="AP213" s="157"/>
      <c r="AQ213" s="157"/>
      <c r="AR213" s="158"/>
      <c r="AS213" s="157"/>
      <c r="AT213" s="159"/>
      <c r="AU213" s="160"/>
      <c r="AV213" s="160"/>
      <c r="AW213" s="161"/>
      <c r="AX213" s="162"/>
      <c r="AY213" s="163"/>
      <c r="AZ213" s="162"/>
      <c r="BA213" s="229"/>
      <c r="BB213" s="229"/>
      <c r="BC213" s="165"/>
      <c r="BD213" s="165"/>
      <c r="BE213" s="165"/>
      <c r="BF213" s="165"/>
      <c r="BG213" s="165"/>
      <c r="BH213" s="165"/>
      <c r="BI213" s="166"/>
      <c r="BJ213" s="166"/>
      <c r="BK213" s="166"/>
      <c r="BL213" s="167"/>
      <c r="BM213" s="167"/>
      <c r="BN213" s="167"/>
      <c r="BO213" s="167"/>
      <c r="BP213" s="167"/>
      <c r="BQ213" s="167"/>
      <c r="BR213" s="167"/>
      <c r="BS213" s="167"/>
      <c r="BT213" s="167"/>
      <c r="BU213" s="167"/>
      <c r="BV213" s="167"/>
      <c r="BW213" s="167"/>
      <c r="BX213" s="167"/>
      <c r="BY213" s="167"/>
      <c r="BZ213" s="167"/>
      <c r="CA213" s="167"/>
    </row>
    <row r="214" spans="1:80" s="16" customFormat="1">
      <c r="A214" s="238" t="s">
        <v>49</v>
      </c>
      <c r="B214" s="168" t="s">
        <v>549</v>
      </c>
      <c r="C214" s="329" t="s">
        <v>550</v>
      </c>
      <c r="D214" s="144" t="s">
        <v>235</v>
      </c>
      <c r="E214" s="144"/>
      <c r="F214" s="144"/>
      <c r="G214" s="145" t="s">
        <v>169</v>
      </c>
      <c r="H214" s="146" t="s">
        <v>170</v>
      </c>
      <c r="I214" s="145" t="s">
        <v>132</v>
      </c>
      <c r="J214" s="145" t="s">
        <v>133</v>
      </c>
      <c r="K214" s="147" t="str">
        <f t="shared" si="363"/>
        <v>No of Racks</v>
      </c>
      <c r="L214" s="145">
        <v>1</v>
      </c>
      <c r="M214" s="145">
        <v>1</v>
      </c>
      <c r="N214" s="148">
        <f t="shared" si="364"/>
        <v>0</v>
      </c>
      <c r="O214" s="145">
        <v>1</v>
      </c>
      <c r="P214" s="145"/>
      <c r="Q214" s="149"/>
      <c r="R214" s="150" t="str">
        <f t="shared" si="365"/>
        <v>Subscribed</v>
      </c>
      <c r="S214" s="145" t="s">
        <v>123</v>
      </c>
      <c r="T214" s="146">
        <v>8</v>
      </c>
      <c r="U214" s="327">
        <f t="shared" si="358"/>
        <v>4.0261904761904761</v>
      </c>
      <c r="V214" s="232">
        <f t="shared" si="366"/>
        <v>3.9738095238095239</v>
      </c>
      <c r="W214" s="146"/>
      <c r="X214" s="146">
        <f>IF(V214&lt;=0,0,(IF(R214="Rated",(V214+W214)*#REF!,(V214+W214))))</f>
        <v>3.9738095238095239</v>
      </c>
      <c r="Y214" s="205">
        <f>IF(R214="Rated",T214*#REF!,T214)</f>
        <v>8</v>
      </c>
      <c r="Z214" s="231">
        <f t="shared" si="360"/>
        <v>4.0261904761904761</v>
      </c>
      <c r="AA214" s="146">
        <f t="shared" si="367"/>
        <v>0</v>
      </c>
      <c r="AB214" s="152"/>
      <c r="AC214" s="153" t="str">
        <f t="shared" si="368"/>
        <v>Metered</v>
      </c>
      <c r="AD214" s="146"/>
      <c r="AE214" s="146"/>
      <c r="AF214" s="154"/>
      <c r="AG214" s="146">
        <v>2705.6</v>
      </c>
      <c r="AH214" s="155"/>
      <c r="AI214" s="156"/>
      <c r="AJ214" s="146"/>
      <c r="AK214" s="146"/>
      <c r="AL214" s="146"/>
      <c r="AM214" s="146"/>
      <c r="AN214" s="146"/>
      <c r="AO214" s="149"/>
      <c r="AP214" s="157"/>
      <c r="AQ214" s="157"/>
      <c r="AR214" s="158"/>
      <c r="AS214" s="157"/>
      <c r="AT214" s="159"/>
      <c r="AU214" s="160"/>
      <c r="AV214" s="160"/>
      <c r="AW214" s="161"/>
      <c r="AX214" s="162"/>
      <c r="AY214" s="163"/>
      <c r="AZ214" s="162"/>
      <c r="BA214" s="229"/>
      <c r="BB214" s="229"/>
      <c r="BC214" s="165"/>
      <c r="BD214" s="165"/>
      <c r="BE214" s="165"/>
      <c r="BF214" s="165"/>
      <c r="BG214" s="165"/>
      <c r="BH214" s="165"/>
      <c r="BI214" s="166"/>
      <c r="BJ214" s="166"/>
      <c r="BK214" s="166"/>
      <c r="BL214" s="167"/>
      <c r="BM214" s="167"/>
      <c r="BN214" s="167"/>
      <c r="BO214" s="167"/>
      <c r="BP214" s="167"/>
      <c r="BQ214" s="167"/>
      <c r="BR214" s="167"/>
      <c r="BS214" s="167"/>
      <c r="BT214" s="167"/>
      <c r="BU214" s="167"/>
      <c r="BV214" s="167"/>
      <c r="BW214" s="167"/>
      <c r="BX214" s="167"/>
      <c r="BY214" s="167"/>
      <c r="BZ214" s="167"/>
      <c r="CA214" s="167"/>
    </row>
    <row r="215" spans="1:80" s="16" customFormat="1">
      <c r="A215" s="238" t="s">
        <v>49</v>
      </c>
      <c r="B215" s="168" t="s">
        <v>551</v>
      </c>
      <c r="C215" s="329" t="s">
        <v>550</v>
      </c>
      <c r="D215" s="144" t="s">
        <v>235</v>
      </c>
      <c r="E215" s="144"/>
      <c r="F215" s="144"/>
      <c r="G215" s="145" t="s">
        <v>169</v>
      </c>
      <c r="H215" s="146" t="s">
        <v>170</v>
      </c>
      <c r="I215" s="145" t="s">
        <v>132</v>
      </c>
      <c r="J215" s="145" t="s">
        <v>133</v>
      </c>
      <c r="K215" s="147" t="str">
        <f t="shared" ref="K215" si="369">IF(I215="Rack","No of Racks",(IF(I215="Space","Sq Ft","U Space")))</f>
        <v>No of Racks</v>
      </c>
      <c r="L215" s="145">
        <v>1</v>
      </c>
      <c r="M215" s="145">
        <v>1</v>
      </c>
      <c r="N215" s="148">
        <f t="shared" ref="N215" si="370">L215-M215</f>
        <v>0</v>
      </c>
      <c r="O215" s="145">
        <v>1</v>
      </c>
      <c r="P215" s="145"/>
      <c r="Q215" s="149"/>
      <c r="R215" s="150" t="str">
        <f t="shared" ref="R215" si="371">G215</f>
        <v>Subscribed</v>
      </c>
      <c r="S215" s="145" t="s">
        <v>123</v>
      </c>
      <c r="T215" s="146">
        <v>4</v>
      </c>
      <c r="U215" s="327">
        <f t="shared" si="358"/>
        <v>0</v>
      </c>
      <c r="V215" s="232">
        <f t="shared" ref="V215" si="372">T215-U215</f>
        <v>4</v>
      </c>
      <c r="W215" s="146"/>
      <c r="X215" s="146">
        <f>IF(V215&lt;=0,0,(IF(R215="Rated",(V215+W215)*#REF!,(V215+W215))))</f>
        <v>4</v>
      </c>
      <c r="Y215" s="205">
        <f>IF(R215="Rated",T215*#REF!,T215)</f>
        <v>4</v>
      </c>
      <c r="Z215" s="231">
        <f t="shared" si="360"/>
        <v>0</v>
      </c>
      <c r="AA215" s="146">
        <f t="shared" ref="AA215" si="373">IF((V215*-1)&gt;0, (V215*-1), 0)</f>
        <v>0</v>
      </c>
      <c r="AB215" s="152"/>
      <c r="AC215" s="153" t="str">
        <f t="shared" ref="AC215" si="374">H215</f>
        <v>Metered</v>
      </c>
      <c r="AD215" s="146"/>
      <c r="AE215" s="146"/>
      <c r="AF215" s="154"/>
      <c r="AG215" s="146">
        <v>0</v>
      </c>
      <c r="AH215" s="155"/>
      <c r="AI215" s="156"/>
      <c r="AJ215" s="146"/>
      <c r="AK215" s="146"/>
      <c r="AL215" s="146"/>
      <c r="AM215" s="146"/>
      <c r="AN215" s="146"/>
      <c r="AO215" s="149"/>
      <c r="AP215" s="157"/>
      <c r="AQ215" s="157"/>
      <c r="AR215" s="158"/>
      <c r="AS215" s="157"/>
      <c r="AT215" s="159"/>
      <c r="AU215" s="160"/>
      <c r="AV215" s="160"/>
      <c r="AW215" s="161"/>
      <c r="AX215" s="162"/>
      <c r="AY215" s="163"/>
      <c r="AZ215" s="162"/>
      <c r="BA215" s="229"/>
      <c r="BB215" s="229"/>
      <c r="BC215" s="165"/>
      <c r="BD215" s="165"/>
      <c r="BE215" s="165"/>
      <c r="BF215" s="165"/>
      <c r="BG215" s="165"/>
      <c r="BH215" s="165"/>
      <c r="BI215" s="166"/>
      <c r="BJ215" s="166"/>
      <c r="BK215" s="166"/>
      <c r="BL215" s="167"/>
      <c r="BM215" s="167"/>
      <c r="BN215" s="167"/>
      <c r="BO215" s="167"/>
      <c r="BP215" s="167"/>
      <c r="BQ215" s="167"/>
      <c r="BR215" s="167"/>
      <c r="BS215" s="167"/>
      <c r="BT215" s="167"/>
      <c r="BU215" s="167"/>
      <c r="BV215" s="167"/>
      <c r="BW215" s="167"/>
      <c r="BX215" s="167"/>
      <c r="BY215" s="167"/>
      <c r="BZ215" s="167"/>
      <c r="CA215" s="167"/>
    </row>
    <row r="216" spans="1:80" s="16" customFormat="1">
      <c r="A216" s="238" t="s">
        <v>49</v>
      </c>
      <c r="B216" s="168" t="s">
        <v>552</v>
      </c>
      <c r="C216" s="329" t="s">
        <v>159</v>
      </c>
      <c r="D216" s="144" t="s">
        <v>235</v>
      </c>
      <c r="E216" s="144"/>
      <c r="F216" s="144"/>
      <c r="G216" s="145" t="s">
        <v>169</v>
      </c>
      <c r="H216" s="146" t="s">
        <v>170</v>
      </c>
      <c r="I216" s="145" t="s">
        <v>132</v>
      </c>
      <c r="J216" s="145" t="s">
        <v>133</v>
      </c>
      <c r="K216" s="147" t="str">
        <f t="shared" si="363"/>
        <v>No of Racks</v>
      </c>
      <c r="L216" s="145">
        <v>1</v>
      </c>
      <c r="M216" s="145">
        <v>1</v>
      </c>
      <c r="N216" s="148">
        <f t="shared" si="364"/>
        <v>0</v>
      </c>
      <c r="O216" s="145">
        <v>1</v>
      </c>
      <c r="P216" s="145"/>
      <c r="Q216" s="149"/>
      <c r="R216" s="150" t="str">
        <f t="shared" si="365"/>
        <v>Subscribed</v>
      </c>
      <c r="S216" s="145" t="s">
        <v>123</v>
      </c>
      <c r="T216" s="146">
        <v>2.5</v>
      </c>
      <c r="U216" s="327">
        <f t="shared" si="358"/>
        <v>0.90327380952380942</v>
      </c>
      <c r="V216" s="232">
        <f t="shared" si="366"/>
        <v>1.5967261904761907</v>
      </c>
      <c r="W216" s="146"/>
      <c r="X216" s="146">
        <f>IF(V216&lt;=0,0,(IF(R216="Rated",(V216+W216)*#REF!,(V216+W216))))</f>
        <v>1.5967261904761907</v>
      </c>
      <c r="Y216" s="205">
        <f>IF(R216="Rated",T216*#REF!,T216)</f>
        <v>2.5</v>
      </c>
      <c r="Z216" s="231">
        <f t="shared" si="360"/>
        <v>0.90327380952380942</v>
      </c>
      <c r="AA216" s="146"/>
      <c r="AB216" s="152"/>
      <c r="AC216" s="153" t="str">
        <f t="shared" si="368"/>
        <v>Metered</v>
      </c>
      <c r="AD216" s="146"/>
      <c r="AE216" s="146"/>
      <c r="AF216" s="154"/>
      <c r="AG216" s="146">
        <v>607</v>
      </c>
      <c r="AH216" s="155"/>
      <c r="AI216" s="156"/>
      <c r="AJ216" s="146"/>
      <c r="AK216" s="146"/>
      <c r="AL216" s="146"/>
      <c r="AM216" s="146"/>
      <c r="AN216" s="146"/>
      <c r="AO216" s="149"/>
      <c r="AP216" s="157"/>
      <c r="AQ216" s="157"/>
      <c r="AR216" s="158"/>
      <c r="AS216" s="157"/>
      <c r="AT216" s="159"/>
      <c r="AU216" s="160"/>
      <c r="AV216" s="160"/>
      <c r="AW216" s="161"/>
      <c r="AX216" s="162"/>
      <c r="AY216" s="163"/>
      <c r="AZ216" s="162"/>
      <c r="BA216" s="229"/>
      <c r="BB216" s="229"/>
      <c r="BC216" s="165"/>
      <c r="BD216" s="165"/>
      <c r="BE216" s="165"/>
      <c r="BF216" s="165"/>
      <c r="BG216" s="165"/>
      <c r="BH216" s="165"/>
      <c r="BI216" s="166"/>
      <c r="BJ216" s="166"/>
      <c r="BK216" s="166"/>
      <c r="BL216" s="167"/>
      <c r="BM216" s="167"/>
      <c r="BN216" s="167"/>
      <c r="BO216" s="167"/>
      <c r="BP216" s="167"/>
      <c r="BQ216" s="167"/>
      <c r="BR216" s="167"/>
      <c r="BS216" s="167"/>
      <c r="BT216" s="167"/>
      <c r="BU216" s="167"/>
      <c r="BV216" s="167"/>
      <c r="BW216" s="167"/>
      <c r="BX216" s="167"/>
      <c r="BY216" s="167"/>
      <c r="BZ216" s="167"/>
      <c r="CA216" s="167"/>
    </row>
    <row r="217" spans="1:80" s="16" customFormat="1">
      <c r="A217" s="238" t="s">
        <v>49</v>
      </c>
      <c r="B217" s="168" t="s">
        <v>553</v>
      </c>
      <c r="C217" s="329" t="s">
        <v>554</v>
      </c>
      <c r="D217" s="144" t="s">
        <v>235</v>
      </c>
      <c r="E217" s="144"/>
      <c r="F217" s="144"/>
      <c r="G217" s="145" t="s">
        <v>169</v>
      </c>
      <c r="H217" s="146" t="s">
        <v>131</v>
      </c>
      <c r="I217" s="145" t="s">
        <v>132</v>
      </c>
      <c r="J217" s="145" t="s">
        <v>133</v>
      </c>
      <c r="K217" s="147" t="str">
        <f t="shared" ref="K217:K219" si="375">IF(I217="Rack","No of Racks",(IF(I217="Space","Sq Ft","U Space")))</f>
        <v>No of Racks</v>
      </c>
      <c r="L217" s="145">
        <v>1</v>
      </c>
      <c r="M217" s="145">
        <v>1</v>
      </c>
      <c r="N217" s="148">
        <f t="shared" ref="N217:N219" si="376">L217-M217</f>
        <v>0</v>
      </c>
      <c r="O217" s="145">
        <v>1</v>
      </c>
      <c r="P217" s="145"/>
      <c r="Q217" s="149"/>
      <c r="R217" s="150" t="str">
        <f t="shared" ref="R217:R219" si="377">G217</f>
        <v>Subscribed</v>
      </c>
      <c r="S217" s="145" t="s">
        <v>134</v>
      </c>
      <c r="T217" s="146">
        <v>3</v>
      </c>
      <c r="U217" s="327">
        <f t="shared" si="358"/>
        <v>1.2290178571428572</v>
      </c>
      <c r="V217" s="232">
        <f t="shared" ref="V217" si="378">T217-U217</f>
        <v>1.7709821428571428</v>
      </c>
      <c r="W217" s="146"/>
      <c r="X217" s="146">
        <f>IF(V217&lt;=0,0,(IF(R217="Rated",(V217+W217)*#REF!,(V217+W217))))</f>
        <v>1.7709821428571428</v>
      </c>
      <c r="Y217" s="205">
        <f>IF(R217="Rated",T217*#REF!,T217)</f>
        <v>3</v>
      </c>
      <c r="Z217" s="231">
        <f t="shared" si="360"/>
        <v>1.2290178571428572</v>
      </c>
      <c r="AA217" s="146">
        <f t="shared" ref="AA217" si="379">IF((V217*-1)&gt;0, (V217*-1), 0)</f>
        <v>0</v>
      </c>
      <c r="AB217" s="152"/>
      <c r="AC217" s="153" t="str">
        <f t="shared" ref="AC217:AC219" si="380">H217</f>
        <v>Bundled</v>
      </c>
      <c r="AD217" s="146"/>
      <c r="AE217" s="146"/>
      <c r="AF217" s="154"/>
      <c r="AG217" s="146">
        <v>825.9</v>
      </c>
      <c r="AH217" s="155"/>
      <c r="AI217" s="156"/>
      <c r="AJ217" s="146"/>
      <c r="AK217" s="146"/>
      <c r="AL217" s="146"/>
      <c r="AM217" s="146"/>
      <c r="AN217" s="146"/>
      <c r="AO217" s="149"/>
      <c r="AP217" s="157"/>
      <c r="AQ217" s="157"/>
      <c r="AR217" s="158"/>
      <c r="AS217" s="157"/>
      <c r="AT217" s="159"/>
      <c r="AU217" s="160"/>
      <c r="AV217" s="160"/>
      <c r="AW217" s="161"/>
      <c r="AX217" s="162"/>
      <c r="AY217" s="163"/>
      <c r="AZ217" s="162"/>
      <c r="BA217" s="229"/>
      <c r="BB217" s="229"/>
      <c r="BC217" s="165"/>
      <c r="BD217" s="165"/>
      <c r="BE217" s="165"/>
      <c r="BF217" s="165"/>
      <c r="BG217" s="165"/>
      <c r="BH217" s="165"/>
      <c r="BI217" s="166"/>
      <c r="BJ217" s="166"/>
      <c r="BK217" s="166"/>
      <c r="BL217" s="167"/>
      <c r="BM217" s="167"/>
      <c r="BN217" s="167"/>
      <c r="BO217" s="167"/>
      <c r="BP217" s="167"/>
      <c r="BQ217" s="167"/>
      <c r="BR217" s="167"/>
      <c r="BS217" s="167"/>
      <c r="BT217" s="167"/>
      <c r="BU217" s="167"/>
      <c r="BV217" s="167"/>
      <c r="BW217" s="167"/>
      <c r="BX217" s="167"/>
      <c r="BY217" s="167"/>
      <c r="BZ217" s="167"/>
      <c r="CA217" s="167"/>
    </row>
    <row r="218" spans="1:80" s="16" customFormat="1">
      <c r="A218" s="238" t="s">
        <v>49</v>
      </c>
      <c r="B218" s="168" t="s">
        <v>555</v>
      </c>
      <c r="C218" s="329" t="s">
        <v>556</v>
      </c>
      <c r="D218" s="144" t="s">
        <v>235</v>
      </c>
      <c r="E218" s="144"/>
      <c r="F218" s="144"/>
      <c r="G218" s="145" t="s">
        <v>130</v>
      </c>
      <c r="H218" s="146" t="s">
        <v>131</v>
      </c>
      <c r="I218" s="145" t="s">
        <v>132</v>
      </c>
      <c r="J218" s="145" t="s">
        <v>133</v>
      </c>
      <c r="K218" s="147" t="str">
        <f t="shared" si="375"/>
        <v>No of Racks</v>
      </c>
      <c r="L218" s="145">
        <v>2</v>
      </c>
      <c r="M218" s="145">
        <v>2</v>
      </c>
      <c r="N218" s="148">
        <f t="shared" si="376"/>
        <v>0</v>
      </c>
      <c r="O218" s="145">
        <v>2</v>
      </c>
      <c r="P218" s="145"/>
      <c r="Q218" s="149"/>
      <c r="R218" s="150" t="str">
        <f t="shared" si="377"/>
        <v>Rated</v>
      </c>
      <c r="S218" s="145" t="s">
        <v>134</v>
      </c>
      <c r="T218" s="146">
        <v>6</v>
      </c>
      <c r="U218" s="151">
        <v>7.75</v>
      </c>
      <c r="V218" s="232">
        <f t="shared" ref="V218" si="381">T218-U218</f>
        <v>-1.75</v>
      </c>
      <c r="W218" s="146"/>
      <c r="X218" s="146">
        <f>IF(V218&lt;=0,0,(IF(R218="Rated",(V218+W218)*#REF!,(V218+W218))))</f>
        <v>0</v>
      </c>
      <c r="Y218" s="205" t="e">
        <f>IF(R218="Rated",T218*#REF!,T218)</f>
        <v>#REF!</v>
      </c>
      <c r="Z218" s="231">
        <f t="shared" si="360"/>
        <v>1.45625</v>
      </c>
      <c r="AA218" s="146"/>
      <c r="AB218" s="152"/>
      <c r="AC218" s="153" t="str">
        <f t="shared" si="380"/>
        <v>Bundled</v>
      </c>
      <c r="AD218" s="146"/>
      <c r="AE218" s="146"/>
      <c r="AF218" s="154"/>
      <c r="AG218" s="146">
        <v>978.6</v>
      </c>
      <c r="AH218" s="155"/>
      <c r="AI218" s="156"/>
      <c r="AJ218" s="146"/>
      <c r="AK218" s="146"/>
      <c r="AL218" s="146"/>
      <c r="AM218" s="146"/>
      <c r="AN218" s="146"/>
      <c r="AO218" s="149"/>
      <c r="AP218" s="157"/>
      <c r="AQ218" s="157"/>
      <c r="AR218" s="158"/>
      <c r="AS218" s="157"/>
      <c r="AT218" s="159"/>
      <c r="AU218" s="160"/>
      <c r="AV218" s="160"/>
      <c r="AW218" s="161"/>
      <c r="AX218" s="162"/>
      <c r="AY218" s="163"/>
      <c r="AZ218" s="162"/>
      <c r="BA218" s="229"/>
      <c r="BB218" s="229"/>
      <c r="BC218" s="165"/>
      <c r="BD218" s="165"/>
      <c r="BE218" s="165"/>
      <c r="BF218" s="165"/>
      <c r="BG218" s="165"/>
      <c r="BH218" s="165"/>
      <c r="BI218" s="166"/>
      <c r="BJ218" s="166"/>
      <c r="BK218" s="166"/>
      <c r="BL218" s="167"/>
      <c r="BM218" s="167"/>
      <c r="BN218" s="167"/>
      <c r="BO218" s="167"/>
      <c r="BP218" s="167"/>
      <c r="BQ218" s="167"/>
      <c r="BR218" s="167"/>
      <c r="BS218" s="167"/>
      <c r="BT218" s="167"/>
      <c r="BU218" s="167"/>
      <c r="BV218" s="167"/>
      <c r="BW218" s="167"/>
      <c r="BX218" s="167"/>
      <c r="BY218" s="167"/>
      <c r="BZ218" s="167"/>
      <c r="CA218" s="167"/>
    </row>
    <row r="219" spans="1:80" s="16" customFormat="1">
      <c r="A219" s="238" t="s">
        <v>49</v>
      </c>
      <c r="B219" s="168" t="s">
        <v>557</v>
      </c>
      <c r="C219" s="329" t="s">
        <v>558</v>
      </c>
      <c r="D219" s="144" t="s">
        <v>235</v>
      </c>
      <c r="E219" s="144"/>
      <c r="F219" s="144"/>
      <c r="G219" s="145" t="s">
        <v>130</v>
      </c>
      <c r="H219" s="146" t="s">
        <v>131</v>
      </c>
      <c r="I219" s="145" t="s">
        <v>132</v>
      </c>
      <c r="J219" s="145" t="s">
        <v>133</v>
      </c>
      <c r="K219" s="147" t="str">
        <f t="shared" si="375"/>
        <v>No of Racks</v>
      </c>
      <c r="L219" s="145">
        <v>2</v>
      </c>
      <c r="M219" s="145">
        <v>2</v>
      </c>
      <c r="N219" s="148">
        <f t="shared" si="376"/>
        <v>0</v>
      </c>
      <c r="O219" s="145">
        <v>2</v>
      </c>
      <c r="P219" s="145"/>
      <c r="Q219" s="149"/>
      <c r="R219" s="150" t="str">
        <f t="shared" si="377"/>
        <v>Rated</v>
      </c>
      <c r="S219" s="145" t="s">
        <v>134</v>
      </c>
      <c r="T219" s="146">
        <v>6</v>
      </c>
      <c r="U219" s="151">
        <v>7.11</v>
      </c>
      <c r="V219" s="232">
        <f t="shared" ref="V219" si="382">T219-U219</f>
        <v>-1.1100000000000003</v>
      </c>
      <c r="W219" s="146"/>
      <c r="X219" s="146">
        <f>IF(V219&lt;=0,0,(IF(R219="Rated",(V219+W219)*#REF!,(V219+W219))))</f>
        <v>0</v>
      </c>
      <c r="Y219" s="205" t="e">
        <f>IF(R219="Rated",T219*#REF!,T219)</f>
        <v>#REF!</v>
      </c>
      <c r="Z219" s="231">
        <f t="shared" si="360"/>
        <v>1.2508928571428573</v>
      </c>
      <c r="AA219" s="146"/>
      <c r="AB219" s="152"/>
      <c r="AC219" s="153" t="str">
        <f t="shared" si="380"/>
        <v>Bundled</v>
      </c>
      <c r="AD219" s="146"/>
      <c r="AE219" s="146"/>
      <c r="AF219" s="154"/>
      <c r="AG219" s="146">
        <v>840.6</v>
      </c>
      <c r="AH219" s="155"/>
      <c r="AI219" s="156"/>
      <c r="AJ219" s="146"/>
      <c r="AK219" s="146"/>
      <c r="AL219" s="146"/>
      <c r="AM219" s="146"/>
      <c r="AN219" s="146"/>
      <c r="AO219" s="149"/>
      <c r="AP219" s="157"/>
      <c r="AQ219" s="157"/>
      <c r="AR219" s="158"/>
      <c r="AS219" s="157"/>
      <c r="AT219" s="159"/>
      <c r="AU219" s="160"/>
      <c r="AV219" s="160"/>
      <c r="AW219" s="161"/>
      <c r="AX219" s="162"/>
      <c r="AY219" s="163"/>
      <c r="AZ219" s="162"/>
      <c r="BA219" s="229"/>
      <c r="BB219" s="229"/>
      <c r="BC219" s="165"/>
      <c r="BD219" s="165"/>
      <c r="BE219" s="165"/>
      <c r="BF219" s="165"/>
      <c r="BG219" s="165"/>
      <c r="BH219" s="165"/>
      <c r="BI219" s="166"/>
      <c r="BJ219" s="166"/>
      <c r="BK219" s="166"/>
      <c r="BL219" s="167"/>
      <c r="BM219" s="167"/>
      <c r="BN219" s="167"/>
      <c r="BO219" s="167"/>
      <c r="BP219" s="167"/>
      <c r="BQ219" s="167"/>
      <c r="BR219" s="167"/>
      <c r="BS219" s="167"/>
      <c r="BT219" s="167"/>
      <c r="BU219" s="167"/>
      <c r="BV219" s="167"/>
      <c r="BW219" s="167"/>
      <c r="BX219" s="167"/>
      <c r="BY219" s="167"/>
      <c r="BZ219" s="167"/>
      <c r="CA219" s="167"/>
    </row>
    <row r="220" spans="1:80" s="16" customFormat="1" ht="26.1">
      <c r="A220" s="238" t="s">
        <v>49</v>
      </c>
      <c r="B220" s="168" t="s">
        <v>559</v>
      </c>
      <c r="C220" s="199" t="s">
        <v>517</v>
      </c>
      <c r="D220" s="144" t="s">
        <v>235</v>
      </c>
      <c r="E220" s="144"/>
      <c r="F220" s="144"/>
      <c r="G220" s="145" t="s">
        <v>169</v>
      </c>
      <c r="H220" s="146" t="s">
        <v>170</v>
      </c>
      <c r="I220" s="145" t="s">
        <v>132</v>
      </c>
      <c r="J220" s="145" t="s">
        <v>133</v>
      </c>
      <c r="K220" s="147" t="str">
        <f t="shared" si="321"/>
        <v>No of Racks</v>
      </c>
      <c r="L220" s="145">
        <v>1</v>
      </c>
      <c r="M220" s="145">
        <v>1</v>
      </c>
      <c r="N220" s="148">
        <f t="shared" si="350"/>
        <v>0</v>
      </c>
      <c r="O220" s="145">
        <v>1</v>
      </c>
      <c r="P220" s="145"/>
      <c r="Q220" s="149">
        <f>(878000)/12</f>
        <v>73166.666666666672</v>
      </c>
      <c r="R220" s="150" t="str">
        <f t="shared" si="322"/>
        <v>Subscribed</v>
      </c>
      <c r="S220" s="145" t="s">
        <v>123</v>
      </c>
      <c r="T220" s="146">
        <v>3</v>
      </c>
      <c r="U220" s="327">
        <f t="shared" si="354"/>
        <v>1.1755952380952381</v>
      </c>
      <c r="V220" s="232">
        <f t="shared" si="352"/>
        <v>1.8244047619047619</v>
      </c>
      <c r="W220" s="146"/>
      <c r="X220" s="146">
        <f>IF(V220&lt;=0,0,(IF(R220="Rated",(V220+W220)*#REF!,(V220+W220))))</f>
        <v>1.8244047619047619</v>
      </c>
      <c r="Y220" s="205">
        <f>IF(R220="Rated",T220*#REF!,T220)</f>
        <v>3</v>
      </c>
      <c r="Z220" s="231">
        <f t="shared" si="360"/>
        <v>1.1755952380952381</v>
      </c>
      <c r="AA220" s="146">
        <f t="shared" si="353"/>
        <v>0</v>
      </c>
      <c r="AB220" s="152"/>
      <c r="AC220" s="153" t="str">
        <f t="shared" si="325"/>
        <v>Metered</v>
      </c>
      <c r="AD220" s="146"/>
      <c r="AE220" s="146"/>
      <c r="AF220" s="154"/>
      <c r="AG220" s="146">
        <v>790</v>
      </c>
      <c r="AH220" s="155"/>
      <c r="AI220" s="156"/>
      <c r="AJ220" s="146"/>
      <c r="AK220" s="146"/>
      <c r="AL220" s="146"/>
      <c r="AM220" s="146"/>
      <c r="AN220" s="146"/>
      <c r="AO220" s="149"/>
      <c r="AP220" s="157"/>
      <c r="AQ220" s="157"/>
      <c r="AR220" s="158"/>
      <c r="AS220" s="157"/>
      <c r="AT220" s="159"/>
      <c r="AU220" s="160"/>
      <c r="AV220" s="160"/>
      <c r="AW220" s="161"/>
      <c r="AX220" s="162"/>
      <c r="AY220" s="163"/>
      <c r="AZ220" s="162"/>
      <c r="BA220" s="229"/>
      <c r="BB220" s="229"/>
      <c r="BC220" s="165"/>
      <c r="BD220" s="165"/>
      <c r="BE220" s="165"/>
      <c r="BF220" s="165"/>
      <c r="BG220" s="165"/>
      <c r="BH220" s="165"/>
      <c r="BI220" s="166"/>
      <c r="BJ220" s="166"/>
      <c r="BK220" s="166"/>
      <c r="BL220" s="167"/>
      <c r="BM220" s="167"/>
      <c r="BN220" s="167"/>
      <c r="BO220" s="167"/>
      <c r="BP220" s="167"/>
      <c r="BQ220" s="167"/>
      <c r="BR220" s="167"/>
      <c r="BS220" s="167"/>
      <c r="BT220" s="167"/>
      <c r="BU220" s="167"/>
      <c r="BV220" s="167"/>
      <c r="BW220" s="167"/>
      <c r="BX220" s="167"/>
      <c r="BY220" s="167"/>
      <c r="BZ220" s="167"/>
      <c r="CA220" s="167"/>
    </row>
    <row r="221" spans="1:80" s="16" customFormat="1">
      <c r="A221" s="238" t="s">
        <v>49</v>
      </c>
      <c r="B221" s="168" t="s">
        <v>560</v>
      </c>
      <c r="C221" s="199" t="s">
        <v>561</v>
      </c>
      <c r="D221" s="144" t="s">
        <v>235</v>
      </c>
      <c r="E221" s="144"/>
      <c r="F221" s="144"/>
      <c r="G221" s="145" t="s">
        <v>169</v>
      </c>
      <c r="H221" s="146" t="s">
        <v>170</v>
      </c>
      <c r="I221" s="145" t="s">
        <v>132</v>
      </c>
      <c r="J221" s="145" t="s">
        <v>133</v>
      </c>
      <c r="K221" s="147" t="str">
        <f t="shared" ref="K221" si="383">IF(I221="Rack","No of Racks",(IF(I221="Space","Sq Ft","U Space")))</f>
        <v>No of Racks</v>
      </c>
      <c r="L221" s="145">
        <v>1</v>
      </c>
      <c r="M221" s="145">
        <v>1</v>
      </c>
      <c r="N221" s="148">
        <f t="shared" ref="N221" si="384">L221-M221</f>
        <v>0</v>
      </c>
      <c r="O221" s="145">
        <v>1</v>
      </c>
      <c r="P221" s="145"/>
      <c r="Q221" s="149">
        <f>(878000)/12</f>
        <v>73166.666666666672</v>
      </c>
      <c r="R221" s="150" t="str">
        <f t="shared" ref="R221" si="385">G221</f>
        <v>Subscribed</v>
      </c>
      <c r="S221" s="145" t="s">
        <v>123</v>
      </c>
      <c r="T221" s="146">
        <v>3</v>
      </c>
      <c r="U221" s="327">
        <f>Z221</f>
        <v>5.6625000000000005</v>
      </c>
      <c r="V221" s="232">
        <f t="shared" ref="V221" si="386">T221-U221</f>
        <v>-2.6625000000000005</v>
      </c>
      <c r="W221" s="146"/>
      <c r="X221" s="146">
        <f>IF(V221&lt;=0,0,(IF(R221="Rated",(V221+W221)*#REF!,(V221+W221))))</f>
        <v>0</v>
      </c>
      <c r="Y221" s="205">
        <f>IF(R221="Rated",T221*#REF!,T221)</f>
        <v>3</v>
      </c>
      <c r="Z221" s="231">
        <f t="shared" si="360"/>
        <v>5.6625000000000005</v>
      </c>
      <c r="AA221" s="146">
        <f t="shared" ref="AA221" si="387">IF((V221*-1)&gt;0, (V221*-1), 0)</f>
        <v>2.6625000000000005</v>
      </c>
      <c r="AB221" s="152"/>
      <c r="AC221" s="153" t="str">
        <f t="shared" ref="AC221" si="388">H221</f>
        <v>Metered</v>
      </c>
      <c r="AD221" s="146"/>
      <c r="AE221" s="146"/>
      <c r="AF221" s="154"/>
      <c r="AG221" s="146">
        <v>3805.2</v>
      </c>
      <c r="AH221" s="155"/>
      <c r="AI221" s="156"/>
      <c r="AJ221" s="146"/>
      <c r="AK221" s="146"/>
      <c r="AL221" s="146"/>
      <c r="AM221" s="146"/>
      <c r="AN221" s="146"/>
      <c r="AO221" s="149"/>
      <c r="AP221" s="157"/>
      <c r="AQ221" s="157"/>
      <c r="AR221" s="158"/>
      <c r="AS221" s="157"/>
      <c r="AT221" s="159"/>
      <c r="AU221" s="160"/>
      <c r="AV221" s="160"/>
      <c r="AW221" s="161"/>
      <c r="AX221" s="162"/>
      <c r="AY221" s="163"/>
      <c r="AZ221" s="162"/>
      <c r="BA221" s="229"/>
      <c r="BB221" s="229"/>
      <c r="BC221" s="165"/>
      <c r="BD221" s="165"/>
      <c r="BE221" s="165"/>
      <c r="BF221" s="165"/>
      <c r="BG221" s="165"/>
      <c r="BH221" s="165"/>
      <c r="BI221" s="166"/>
      <c r="BJ221" s="166"/>
      <c r="BK221" s="166"/>
      <c r="BL221" s="167"/>
      <c r="BM221" s="167"/>
      <c r="BN221" s="167"/>
      <c r="BO221" s="167"/>
      <c r="BP221" s="167"/>
      <c r="BQ221" s="167"/>
      <c r="BR221" s="167"/>
      <c r="BS221" s="167"/>
      <c r="BT221" s="167"/>
      <c r="BU221" s="167"/>
      <c r="BV221" s="167"/>
      <c r="BW221" s="167"/>
      <c r="BX221" s="167"/>
      <c r="BY221" s="167"/>
      <c r="BZ221" s="167"/>
      <c r="CA221" s="167"/>
    </row>
    <row r="222" spans="1:80" s="16" customFormat="1">
      <c r="A222" s="238" t="s">
        <v>49</v>
      </c>
      <c r="B222" s="168" t="s">
        <v>562</v>
      </c>
      <c r="C222" s="199" t="s">
        <v>563</v>
      </c>
      <c r="D222" s="144" t="s">
        <v>235</v>
      </c>
      <c r="E222" s="144"/>
      <c r="F222" s="144"/>
      <c r="G222" s="145" t="s">
        <v>130</v>
      </c>
      <c r="H222" s="146" t="s">
        <v>131</v>
      </c>
      <c r="I222" s="145" t="s">
        <v>132</v>
      </c>
      <c r="J222" s="145" t="s">
        <v>133</v>
      </c>
      <c r="K222" s="147" t="str">
        <f t="shared" ref="K222" si="389">IF(I222="Rack","No of Racks",(IF(I222="Space","Sq Ft","U Space")))</f>
        <v>No of Racks</v>
      </c>
      <c r="L222" s="145">
        <v>1</v>
      </c>
      <c r="M222" s="145">
        <v>1</v>
      </c>
      <c r="N222" s="148">
        <f t="shared" ref="N222" si="390">L222-M222</f>
        <v>0</v>
      </c>
      <c r="O222" s="145">
        <v>0</v>
      </c>
      <c r="P222" s="145"/>
      <c r="Q222" s="149"/>
      <c r="R222" s="150" t="str">
        <f t="shared" ref="R222" si="391">G222</f>
        <v>Rated</v>
      </c>
      <c r="S222" s="145" t="s">
        <v>134</v>
      </c>
      <c r="T222" s="146">
        <v>6</v>
      </c>
      <c r="U222" s="151">
        <v>2.52</v>
      </c>
      <c r="V222" s="232">
        <f t="shared" ref="V222" si="392">T222-U222</f>
        <v>3.48</v>
      </c>
      <c r="W222" s="146"/>
      <c r="X222" s="146" t="e">
        <f>IF(V222&lt;=0,0,(IF(R222="Rated",(V222+W222)*#REF!,(V222+W222))))</f>
        <v>#REF!</v>
      </c>
      <c r="Y222" s="205" t="e">
        <f>IF(R222="Rated",T222*#REF!,T222)</f>
        <v>#REF!</v>
      </c>
      <c r="Z222" s="231">
        <f t="shared" si="360"/>
        <v>0.3880952380952381</v>
      </c>
      <c r="AA222" s="146">
        <f t="shared" ref="AA222" si="393">IF((V222*-1)&gt;0, (V222*-1), 0)</f>
        <v>0</v>
      </c>
      <c r="AB222" s="152"/>
      <c r="AC222" s="153" t="str">
        <f t="shared" ref="AC222" si="394">H222</f>
        <v>Bundled</v>
      </c>
      <c r="AD222" s="146"/>
      <c r="AE222" s="146"/>
      <c r="AF222" s="154"/>
      <c r="AG222" s="146">
        <v>260.8</v>
      </c>
      <c r="AH222" s="155"/>
      <c r="AI222" s="156"/>
      <c r="AJ222" s="146"/>
      <c r="AK222" s="146"/>
      <c r="AL222" s="146"/>
      <c r="AM222" s="146"/>
      <c r="AN222" s="146"/>
      <c r="AO222" s="149"/>
      <c r="AP222" s="157"/>
      <c r="AQ222" s="157"/>
      <c r="AR222" s="158"/>
      <c r="AS222" s="157"/>
      <c r="AT222" s="159"/>
      <c r="AU222" s="160"/>
      <c r="AV222" s="160"/>
      <c r="AW222" s="161"/>
      <c r="AX222" s="162"/>
      <c r="AY222" s="163"/>
      <c r="AZ222" s="162"/>
      <c r="BA222" s="229"/>
      <c r="BB222" s="229"/>
      <c r="BC222" s="165"/>
      <c r="BD222" s="165"/>
      <c r="BE222" s="165"/>
      <c r="BF222" s="165"/>
      <c r="BG222" s="165"/>
      <c r="BH222" s="165"/>
      <c r="BI222" s="166"/>
      <c r="BJ222" s="166"/>
      <c r="BK222" s="166"/>
      <c r="BL222" s="167"/>
      <c r="BM222" s="167"/>
      <c r="BN222" s="167"/>
      <c r="BO222" s="167"/>
      <c r="BP222" s="167"/>
      <c r="BQ222" s="167"/>
      <c r="BR222" s="167"/>
      <c r="BS222" s="167"/>
      <c r="BT222" s="167"/>
      <c r="BU222" s="167"/>
      <c r="BV222" s="167"/>
      <c r="BW222" s="167"/>
      <c r="BX222" s="167"/>
      <c r="BY222" s="167"/>
      <c r="BZ222" s="167"/>
      <c r="CA222" s="167"/>
    </row>
    <row r="223" spans="1:80" s="16" customFormat="1">
      <c r="A223" s="89" t="s">
        <v>49</v>
      </c>
      <c r="B223" s="172" t="s">
        <v>188</v>
      </c>
      <c r="C223" s="490" t="s">
        <v>526</v>
      </c>
      <c r="D223" s="90" t="s">
        <v>235</v>
      </c>
      <c r="E223" s="90"/>
      <c r="F223" s="90"/>
      <c r="G223" s="174" t="s">
        <v>169</v>
      </c>
      <c r="H223" s="91" t="s">
        <v>170</v>
      </c>
      <c r="I223" s="174" t="s">
        <v>132</v>
      </c>
      <c r="J223" s="174" t="s">
        <v>133</v>
      </c>
      <c r="K223" s="92" t="str">
        <f t="shared" si="321"/>
        <v>No of Racks</v>
      </c>
      <c r="L223" s="174">
        <v>1</v>
      </c>
      <c r="M223" s="174">
        <v>1</v>
      </c>
      <c r="N223" s="93">
        <f t="shared" si="350"/>
        <v>0</v>
      </c>
      <c r="O223" s="174">
        <v>1</v>
      </c>
      <c r="P223" s="174"/>
      <c r="Q223" s="94"/>
      <c r="R223" s="95" t="str">
        <f t="shared" si="322"/>
        <v>Subscribed</v>
      </c>
      <c r="S223" s="174" t="s">
        <v>123</v>
      </c>
      <c r="T223" s="91">
        <v>2.5</v>
      </c>
      <c r="U223" s="327">
        <f>Z223</f>
        <v>4.4247023809523816</v>
      </c>
      <c r="V223" s="232">
        <f t="shared" si="352"/>
        <v>-1.9247023809523816</v>
      </c>
      <c r="W223" s="91"/>
      <c r="X223" s="146">
        <f>IF(V223&lt;=0,0,(IF(R223="Rated",(V223+W223)*#REF!,(V223+W223))))</f>
        <v>0</v>
      </c>
      <c r="Y223" s="205">
        <f>IF(R223="Rated",T223*#REF!,T223)</f>
        <v>2.5</v>
      </c>
      <c r="Z223" s="231">
        <f t="shared" si="360"/>
        <v>4.4247023809523816</v>
      </c>
      <c r="AA223" s="146">
        <f t="shared" si="353"/>
        <v>1.9247023809523816</v>
      </c>
      <c r="AB223" s="96"/>
      <c r="AC223" s="97" t="str">
        <f t="shared" si="325"/>
        <v>Metered</v>
      </c>
      <c r="AD223" s="91"/>
      <c r="AE223" s="91"/>
      <c r="AF223" s="98"/>
      <c r="AG223" s="91">
        <v>2973.4</v>
      </c>
      <c r="AH223" s="99"/>
      <c r="AI223" s="100"/>
      <c r="AJ223" s="91"/>
      <c r="AK223" s="91"/>
      <c r="AL223" s="91"/>
      <c r="AM223" s="91"/>
      <c r="AN223" s="91"/>
      <c r="AO223" s="94"/>
      <c r="AP223" s="101"/>
      <c r="AQ223" s="101"/>
      <c r="AR223" s="102"/>
      <c r="AS223" s="101"/>
      <c r="AT223" s="103"/>
      <c r="AU223" s="104"/>
      <c r="AV223" s="104"/>
      <c r="AW223" s="105"/>
      <c r="AX223" s="106"/>
      <c r="AY223" s="107"/>
      <c r="AZ223" s="106"/>
      <c r="BA223" s="108"/>
      <c r="BB223" s="5"/>
      <c r="BC223" s="25"/>
      <c r="BD223" s="25"/>
      <c r="BE223" s="25"/>
      <c r="BF223" s="25"/>
      <c r="BG223" s="25"/>
      <c r="BH223" s="25"/>
      <c r="BI223" s="26"/>
      <c r="BJ223" s="26"/>
      <c r="BK223" s="26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</row>
    <row r="224" spans="1:80" s="16" customFormat="1">
      <c r="A224" s="313" t="s">
        <v>49</v>
      </c>
      <c r="B224" s="168" t="s">
        <v>564</v>
      </c>
      <c r="C224" s="490" t="s">
        <v>266</v>
      </c>
      <c r="D224" s="168" t="s">
        <v>235</v>
      </c>
      <c r="E224" s="168"/>
      <c r="F224" s="168"/>
      <c r="G224" s="145" t="s">
        <v>169</v>
      </c>
      <c r="H224" s="146" t="s">
        <v>170</v>
      </c>
      <c r="I224" s="145" t="s">
        <v>132</v>
      </c>
      <c r="J224" s="145" t="s">
        <v>133</v>
      </c>
      <c r="K224" s="147" t="str">
        <f t="shared" si="321"/>
        <v>No of Racks</v>
      </c>
      <c r="L224" s="145">
        <v>1</v>
      </c>
      <c r="M224" s="145">
        <v>1</v>
      </c>
      <c r="N224" s="148">
        <f t="shared" si="350"/>
        <v>0</v>
      </c>
      <c r="O224" s="145">
        <v>1</v>
      </c>
      <c r="P224" s="145"/>
      <c r="Q224" s="149"/>
      <c r="R224" s="150" t="str">
        <f t="shared" si="322"/>
        <v>Subscribed</v>
      </c>
      <c r="S224" s="145" t="s">
        <v>123</v>
      </c>
      <c r="T224" s="146">
        <v>3</v>
      </c>
      <c r="U224" s="327">
        <f>Z224</f>
        <v>5.4797619047619044</v>
      </c>
      <c r="V224" s="232">
        <f t="shared" si="352"/>
        <v>-2.4797619047619044</v>
      </c>
      <c r="W224" s="146"/>
      <c r="X224" s="146">
        <f>IF(V224&lt;=0,0,(IF(R224="Rated",(V224+W224)*#REF!,(V224+W224))))</f>
        <v>0</v>
      </c>
      <c r="Y224" s="146">
        <f>IF(R224="Rated",T224*#REF!,T224)</f>
        <v>3</v>
      </c>
      <c r="Z224" s="231">
        <f t="shared" si="360"/>
        <v>5.4797619047619044</v>
      </c>
      <c r="AA224" s="146">
        <f t="shared" si="353"/>
        <v>2.4797619047619044</v>
      </c>
      <c r="AB224" s="152"/>
      <c r="AC224" s="153" t="str">
        <f t="shared" si="325"/>
        <v>Metered</v>
      </c>
      <c r="AD224" s="146"/>
      <c r="AE224" s="146"/>
      <c r="AF224" s="338"/>
      <c r="AG224" s="146">
        <v>3682.4</v>
      </c>
      <c r="AH224" s="155"/>
      <c r="AI224" s="156" t="str">
        <f t="shared" ref="AI224" si="395">IF(AH224="No of Seats","No of Seats",(IF(AH224="Space","Sq Ft","")))</f>
        <v/>
      </c>
      <c r="AJ224" s="146"/>
      <c r="AK224" s="146"/>
      <c r="AL224" s="146">
        <f t="shared" ref="AL224" si="396">AJ224-AK224</f>
        <v>0</v>
      </c>
      <c r="AM224" s="146"/>
      <c r="AN224" s="146"/>
      <c r="AO224" s="149"/>
      <c r="AP224" s="157">
        <f t="shared" ref="AP224" si="397">Q224*O224</f>
        <v>0</v>
      </c>
      <c r="AQ224" s="157">
        <f t="shared" ref="AQ224" si="398">AB224*AA224</f>
        <v>0</v>
      </c>
      <c r="AR224" s="158">
        <f t="shared" ref="AR224" si="399">AG224*AF224*AD224</f>
        <v>0</v>
      </c>
      <c r="AS224" s="157">
        <f>AO224*AM224</f>
        <v>0</v>
      </c>
      <c r="AT224" s="159">
        <f>95051/12</f>
        <v>7920.916666666667</v>
      </c>
      <c r="AU224" s="160">
        <f t="shared" ref="AU224" si="400">SUBTOTAL(9,AP224:AT224)</f>
        <v>7920.916666666667</v>
      </c>
      <c r="AV224" s="160"/>
      <c r="AW224" s="234" t="s">
        <v>164</v>
      </c>
      <c r="AX224" s="235"/>
      <c r="AY224" s="236"/>
      <c r="AZ224" s="235"/>
      <c r="BA224" s="337"/>
      <c r="BB224" s="5"/>
      <c r="BC224" s="165">
        <f t="shared" ref="BC224" si="401">IF(I224="Rack",AU224/L224,0)+IF(I224="U Space",AU224*40/L224,0)+IF(I224="Space",AU224*30/L224,0)</f>
        <v>7920.916666666667</v>
      </c>
      <c r="BD224" s="165">
        <f t="shared" ref="BD224" si="402">+AU224/Y224</f>
        <v>2640.3055555555557</v>
      </c>
      <c r="BE224" s="165" t="e">
        <f t="shared" ref="BE224" si="403">+($AP224+$AQ224+$AR224-BL224)/$Y224</f>
        <v>#REF!</v>
      </c>
      <c r="BF224" s="165" t="e">
        <f t="shared" ref="BF224" si="404">+($AP224+$AQ224+$AR224-BM224)/$Y224</f>
        <v>#REF!</v>
      </c>
      <c r="BG224" s="165" t="e">
        <f t="shared" ref="BG224" si="405">+($AP224+$AQ224+IF(H224="Bundled",0,Y224*0.85*AD224*AF224*30.5*24)-BN224)/$Y224</f>
        <v>#REF!</v>
      </c>
      <c r="BH224" s="165"/>
      <c r="BI224" s="166">
        <f t="shared" ref="BI224" si="406">+AP224+AQ224+AR224</f>
        <v>0</v>
      </c>
      <c r="BJ224" s="166">
        <f t="shared" ref="BJ224" si="407">+BI224-BK224</f>
        <v>0</v>
      </c>
      <c r="BK224" s="166">
        <f>IF(H224="Bundled",MIN(Y224*#REF!*(1+#REF!),BI224),AR224)</f>
        <v>0</v>
      </c>
      <c r="BL224" s="167" t="e">
        <f>IF($AG224&gt;0,$AG224*#REF!*#REF!*(1+#REF!*(20/#REF!)/732),#REF!*Z224)</f>
        <v>#REF!</v>
      </c>
      <c r="BM224" s="167" t="e">
        <f>IF($AG224&gt;0,$AG224*#REF!*#REF!*(1+#REF!*(20/#REF!)/732),+#REF!*(Z224+X224))</f>
        <v>#REF!</v>
      </c>
      <c r="BN224" s="167" t="e">
        <f>IF(H224="Bundled",#REF!*Y224,#REF!*Y224*0.85)</f>
        <v>#REF!</v>
      </c>
      <c r="BO224" s="167" t="e">
        <f t="shared" ref="BO224" si="408">+BE224*Y224</f>
        <v>#REF!</v>
      </c>
      <c r="BP224" s="167" t="e">
        <f>+#REF!*Y224</f>
        <v>#REF!</v>
      </c>
      <c r="BQ224" s="167" t="e">
        <f t="shared" ref="BQ224" si="409">+BJ224-BP224</f>
        <v>#REF!</v>
      </c>
      <c r="BR224" s="167" t="e">
        <f t="shared" ref="BR224" si="410">+BK224-BL224</f>
        <v>#REF!</v>
      </c>
      <c r="BS224" s="167" t="e">
        <f t="shared" ref="BS224" si="411">+BQ224+BR224</f>
        <v>#REF!</v>
      </c>
      <c r="BT224" s="167">
        <f t="shared" ref="BT224" si="412">+Y224</f>
        <v>3</v>
      </c>
      <c r="BU224" s="167" t="e">
        <f t="shared" ref="BU224" si="413">+BE224</f>
        <v>#REF!</v>
      </c>
      <c r="BV224" s="167" t="e">
        <f t="shared" ref="BV224" si="414">IF(H224="Bundled",BN224-BL224,AR224-BL224)</f>
        <v>#REF!</v>
      </c>
      <c r="BW224" s="167" t="e">
        <f>IF(H224="Bundled",+(BG224-#REF!)*Y224,(AP224+AQ224)-Y224*#REF!)</f>
        <v>#REF!</v>
      </c>
      <c r="BX224" s="167" t="e">
        <f t="shared" ref="BX224" si="415">+BV224+BW224</f>
        <v>#REF!</v>
      </c>
      <c r="BY224" s="167" t="e">
        <f t="shared" ref="BY224" si="416">+BV224/$BT224</f>
        <v>#REF!</v>
      </c>
      <c r="BZ224" s="167" t="e">
        <f t="shared" ref="BZ224" si="417">+BW224/$BT224</f>
        <v>#REF!</v>
      </c>
      <c r="CA224" s="167" t="e">
        <f t="shared" ref="CA224" si="418">+BX224/$BT224</f>
        <v>#REF!</v>
      </c>
      <c r="CB224" s="16" t="s">
        <v>267</v>
      </c>
    </row>
    <row r="225" spans="1:79" s="16" customFormat="1">
      <c r="A225" s="142" t="s">
        <v>49</v>
      </c>
      <c r="B225" s="373" t="s">
        <v>565</v>
      </c>
      <c r="C225" s="196" t="s">
        <v>86</v>
      </c>
      <c r="D225" s="196" t="s">
        <v>235</v>
      </c>
      <c r="E225" s="196"/>
      <c r="F225" s="196"/>
      <c r="G225" s="145" t="s">
        <v>130</v>
      </c>
      <c r="H225" s="146" t="s">
        <v>131</v>
      </c>
      <c r="I225" s="145" t="s">
        <v>132</v>
      </c>
      <c r="J225" s="145" t="s">
        <v>133</v>
      </c>
      <c r="K225" s="147" t="str">
        <f t="shared" si="321"/>
        <v>No of Racks</v>
      </c>
      <c r="L225" s="145">
        <v>6</v>
      </c>
      <c r="M225" s="145">
        <v>6</v>
      </c>
      <c r="N225" s="148">
        <f t="shared" si="350"/>
        <v>0</v>
      </c>
      <c r="O225" s="145">
        <v>0</v>
      </c>
      <c r="P225" s="145"/>
      <c r="Q225" s="149">
        <f>(0)/12</f>
        <v>0</v>
      </c>
      <c r="R225" s="150" t="str">
        <f t="shared" si="322"/>
        <v>Rated</v>
      </c>
      <c r="S225" s="145" t="s">
        <v>134</v>
      </c>
      <c r="T225" s="146">
        <v>18</v>
      </c>
      <c r="U225" s="151">
        <v>0.44</v>
      </c>
      <c r="V225" s="232">
        <f t="shared" si="352"/>
        <v>17.559999999999999</v>
      </c>
      <c r="W225" s="146"/>
      <c r="X225" s="146" t="e">
        <f>IF(V225&lt;=0,0,(IF(R225="Rated",(V225+W225)*#REF!,(V225+W225))))</f>
        <v>#REF!</v>
      </c>
      <c r="Y225" s="146" t="e">
        <f>IF(R225="Rated",T225*#REF!,T225)</f>
        <v>#REF!</v>
      </c>
      <c r="Z225" s="231">
        <f t="shared" si="360"/>
        <v>0.13854166666666665</v>
      </c>
      <c r="AA225" s="146">
        <f>IF((V225*-1)&gt;0, (V225*-1), 0)</f>
        <v>0</v>
      </c>
      <c r="AB225" s="374"/>
      <c r="AC225" s="153" t="str">
        <f t="shared" si="325"/>
        <v>Bundled</v>
      </c>
      <c r="AD225" s="146"/>
      <c r="AE225" s="146"/>
      <c r="AF225" s="154"/>
      <c r="AG225" s="146">
        <v>93.1</v>
      </c>
      <c r="AH225" s="155"/>
      <c r="AI225" s="156"/>
      <c r="AJ225" s="146"/>
      <c r="AK225" s="146"/>
      <c r="AL225" s="146">
        <f>AJ225-AK225</f>
        <v>0</v>
      </c>
      <c r="AM225" s="146"/>
      <c r="AN225" s="146"/>
      <c r="AO225" s="149">
        <f>(0)/12</f>
        <v>0</v>
      </c>
      <c r="AP225" s="157">
        <f>Q225*O225</f>
        <v>0</v>
      </c>
      <c r="AQ225" s="157">
        <f>AB225*AA225</f>
        <v>0</v>
      </c>
      <c r="AR225" s="158">
        <f>AG225*AF225*AD225</f>
        <v>0</v>
      </c>
      <c r="AS225" s="157">
        <f>AO225*AM225</f>
        <v>0</v>
      </c>
      <c r="AT225" s="159">
        <f>0/12</f>
        <v>0</v>
      </c>
      <c r="AU225" s="160">
        <f>SUBTOTAL(9,AP225:AT225)</f>
        <v>0</v>
      </c>
      <c r="AV225" s="160"/>
      <c r="AW225" s="161" t="s">
        <v>319</v>
      </c>
      <c r="AX225" s="162"/>
      <c r="AY225" s="163"/>
      <c r="AZ225" s="162"/>
      <c r="BA225" s="164"/>
      <c r="BB225" s="5"/>
      <c r="BC225" s="165">
        <f>IF(I225="Rack",AU225/L225,0)+IF(I225="U Space",AU225*40/L225,0)+IF(I225="Space",AU225*30/L225,0)</f>
        <v>0</v>
      </c>
      <c r="BD225" s="165" t="e">
        <f>+AU225/Y225</f>
        <v>#REF!</v>
      </c>
      <c r="BE225" s="165" t="e">
        <f>+($AP225+$AQ225+$AR225-BL225)/$Y225</f>
        <v>#REF!</v>
      </c>
      <c r="BF225" s="165" t="e">
        <f>+($AP225+$AQ225+$AR225-BM225)/$Y225</f>
        <v>#REF!</v>
      </c>
      <c r="BG225" s="165" t="e">
        <f>+($AP225+$AQ225+IF(H225="Bundled",0,Y225*0.85*AD225*AF225*30.5*24)-BN225)/$Y225</f>
        <v>#REF!</v>
      </c>
      <c r="BH225" s="165"/>
      <c r="BI225" s="166">
        <f>+AP225+AQ225+AR225</f>
        <v>0</v>
      </c>
      <c r="BJ225" s="166" t="e">
        <f>+BI225-BK225</f>
        <v>#REF!</v>
      </c>
      <c r="BK225" s="166" t="e">
        <f>IF(H225="Bundled",MIN(Y225*#REF!*(1+#REF!),BI225),AR225)</f>
        <v>#REF!</v>
      </c>
      <c r="BL225" s="167" t="e">
        <f>IF($AG225&gt;0,$AG225*#REF!*#REF!*(1+#REF!*(20/#REF!)/732),#REF!*Z225)</f>
        <v>#REF!</v>
      </c>
      <c r="BM225" s="167" t="e">
        <f>IF($AG225&gt;0,$AG225*#REF!*#REF!*(1+#REF!*(20/#REF!)/732),+#REF!*(Z225+X225))</f>
        <v>#REF!</v>
      </c>
      <c r="BN225" s="167" t="e">
        <f>IF(H225="Bundled",#REF!*Y225,#REF!*Y225*0.85)</f>
        <v>#REF!</v>
      </c>
      <c r="BO225" s="167" t="e">
        <f>+BE225*Y225</f>
        <v>#REF!</v>
      </c>
      <c r="BP225" s="167" t="e">
        <f>+#REF!*Y225</f>
        <v>#REF!</v>
      </c>
      <c r="BQ225" s="167" t="e">
        <f>+BJ225-BP225</f>
        <v>#REF!</v>
      </c>
      <c r="BR225" s="167" t="e">
        <f>+BK225-BL225</f>
        <v>#REF!</v>
      </c>
      <c r="BS225" s="167" t="e">
        <f>+BQ225+BR225</f>
        <v>#REF!</v>
      </c>
      <c r="BT225" s="167" t="e">
        <f>+Y225</f>
        <v>#REF!</v>
      </c>
      <c r="BU225" s="167" t="e">
        <f>+BE225</f>
        <v>#REF!</v>
      </c>
      <c r="BV225" s="167" t="e">
        <f>IF(H225="Bundled",BN225-BL225,AR225-BL225)</f>
        <v>#REF!</v>
      </c>
      <c r="BW225" s="167" t="e">
        <f>IF(H225="Bundled",+(BG225-#REF!)*Y225,(AP225+AQ225)-Y225*#REF!)</f>
        <v>#REF!</v>
      </c>
      <c r="BX225" s="167" t="e">
        <f>+BV225+BW225</f>
        <v>#REF!</v>
      </c>
      <c r="BY225" s="167" t="e">
        <f t="shared" ref="BY225" si="419">+BV225/$BT225</f>
        <v>#REF!</v>
      </c>
      <c r="BZ225" s="167" t="e">
        <f t="shared" ref="BZ225" si="420">+BW225/$BT225</f>
        <v>#REF!</v>
      </c>
      <c r="CA225" s="167" t="e">
        <f t="shared" ref="CA225" si="421">+BX225/$BT225</f>
        <v>#REF!</v>
      </c>
    </row>
    <row r="226" spans="1:79" s="64" customFormat="1" ht="13.5" thickBot="1">
      <c r="A226" s="75"/>
      <c r="B226" s="76" t="s">
        <v>566</v>
      </c>
      <c r="C226" s="76"/>
      <c r="D226" s="76"/>
      <c r="E226" s="76"/>
      <c r="F226" s="76"/>
      <c r="G226" s="77"/>
      <c r="H226" s="77"/>
      <c r="I226" s="77"/>
      <c r="J226" s="77"/>
      <c r="K226" s="77"/>
      <c r="L226" s="76"/>
      <c r="M226" s="76"/>
      <c r="N226" s="78"/>
      <c r="O226" s="76"/>
      <c r="P226" s="76"/>
      <c r="Q226" s="76"/>
      <c r="R226" s="79"/>
      <c r="S226" s="76"/>
      <c r="T226" s="80">
        <f>SUM(T173:T225)</f>
        <v>1436.8</v>
      </c>
      <c r="U226" s="80">
        <f>SUM(U173:U225)</f>
        <v>689.98674107142858</v>
      </c>
      <c r="V226" s="81"/>
      <c r="W226" s="80"/>
      <c r="X226" s="80" t="e">
        <f>SUM(X173:X225)</f>
        <v>#REF!</v>
      </c>
      <c r="Y226" s="80" t="e">
        <f>SUM(Y173:Y225)</f>
        <v>#REF!</v>
      </c>
      <c r="Z226" s="80">
        <f>SUM(Z173:Z225)</f>
        <v>563.71504464285692</v>
      </c>
      <c r="AA226" s="80"/>
      <c r="AB226" s="80"/>
      <c r="AC226" s="82"/>
      <c r="AD226" s="80"/>
      <c r="AE226" s="80"/>
      <c r="AF226" s="80"/>
      <c r="AG226" s="80"/>
      <c r="AH226" s="83" t="s">
        <v>141</v>
      </c>
      <c r="AI226" s="84" t="str">
        <f>IF(AH226="No of Seats","No of Seats",(IF(AH226="Space","Sq Ft","")))</f>
        <v>No of Seats</v>
      </c>
      <c r="AJ226" s="80">
        <f>SUM(AJ173:AJ203)</f>
        <v>1</v>
      </c>
      <c r="AK226" s="80">
        <f>SUM(AK173:AK203)</f>
        <v>0</v>
      </c>
      <c r="AL226" s="80">
        <f>SUM(AL173:AL203)</f>
        <v>1</v>
      </c>
      <c r="AM226" s="80">
        <f>SUM(AM173:AM203)</f>
        <v>0</v>
      </c>
      <c r="AN226" s="80"/>
      <c r="AO226" s="80"/>
      <c r="AP226" s="85"/>
      <c r="AQ226" s="85"/>
      <c r="AR226" s="85"/>
      <c r="AS226" s="85"/>
      <c r="AT226" s="85"/>
      <c r="AU226" s="80" t="e">
        <f>SUM(AU173:AU203)</f>
        <v>#VALUE!</v>
      </c>
      <c r="AV226" s="77" t="s">
        <v>354</v>
      </c>
      <c r="AW226" s="86"/>
      <c r="AX226" s="86"/>
      <c r="AY226" s="87"/>
      <c r="AZ226" s="86"/>
      <c r="BA226" s="88"/>
      <c r="CA226" s="65"/>
    </row>
    <row r="227" spans="1:79" ht="13.5" thickBot="1"/>
    <row r="228" spans="1:79">
      <c r="H228" s="71" t="s">
        <v>132</v>
      </c>
      <c r="I228" s="72">
        <f>COUNTIF(I173:I226,"=Rack")</f>
        <v>35</v>
      </c>
      <c r="J228" s="72"/>
      <c r="K228" s="72" t="s">
        <v>355</v>
      </c>
      <c r="L228" s="73">
        <f>SUMIF(I173:I226,"Rack",L173:L226)</f>
        <v>65</v>
      </c>
    </row>
    <row r="229" spans="1:79">
      <c r="H229" s="409" t="s">
        <v>59</v>
      </c>
      <c r="I229" s="410">
        <f>COUNTIF(I173:I225,"=Space")</f>
        <v>6</v>
      </c>
      <c r="J229" s="410"/>
      <c r="K229" s="410" t="s">
        <v>356</v>
      </c>
      <c r="L229" s="411">
        <f>SUMIF(I173:I226,"Space",L173:L226)/21</f>
        <v>181.71428571428572</v>
      </c>
    </row>
    <row r="230" spans="1:79">
      <c r="H230" s="409" t="s">
        <v>144</v>
      </c>
      <c r="I230" s="410">
        <f>COUNTIF(I173:I226,"=U space")</f>
        <v>12</v>
      </c>
      <c r="J230" s="410"/>
      <c r="K230" s="410" t="s">
        <v>144</v>
      </c>
      <c r="L230" s="432">
        <v>5</v>
      </c>
    </row>
    <row r="231" spans="1:79" ht="13.5" thickBot="1">
      <c r="H231" s="414"/>
      <c r="I231" s="415"/>
      <c r="J231" s="415"/>
      <c r="K231" s="416" t="s">
        <v>52</v>
      </c>
      <c r="L231" s="417">
        <f>SUM(L228:L230)</f>
        <v>251.71428571428572</v>
      </c>
    </row>
    <row r="232" spans="1:79" ht="12.75"/>
    <row r="233" spans="1:79" ht="12.75"/>
  </sheetData>
  <mergeCells count="40">
    <mergeCell ref="Z187:Z188"/>
    <mergeCell ref="Z146:Z150"/>
    <mergeCell ref="B146:B150"/>
    <mergeCell ref="B143:B145"/>
    <mergeCell ref="Z143:Z145"/>
    <mergeCell ref="B181:B184"/>
    <mergeCell ref="Z181:Z184"/>
    <mergeCell ref="Z179:Z180"/>
    <mergeCell ref="B179:B180"/>
    <mergeCell ref="E168:E170"/>
    <mergeCell ref="B17:B20"/>
    <mergeCell ref="B28:B33"/>
    <mergeCell ref="B21:B27"/>
    <mergeCell ref="Z17:Z20"/>
    <mergeCell ref="Z107:Z112"/>
    <mergeCell ref="Z28:Z33"/>
    <mergeCell ref="Z21:Z27"/>
    <mergeCell ref="B34:B36"/>
    <mergeCell ref="Z34:Z36"/>
    <mergeCell ref="I87:I89"/>
    <mergeCell ref="L87:L89"/>
    <mergeCell ref="M87:M89"/>
    <mergeCell ref="B104:B106"/>
    <mergeCell ref="Z104:Z106"/>
    <mergeCell ref="B206:B207"/>
    <mergeCell ref="Z206:Z207"/>
    <mergeCell ref="AJ168:AJ170"/>
    <mergeCell ref="A43:A47"/>
    <mergeCell ref="Z43:Z47"/>
    <mergeCell ref="B113:B118"/>
    <mergeCell ref="Z113:Z118"/>
    <mergeCell ref="B107:B112"/>
    <mergeCell ref="Z87:Z89"/>
    <mergeCell ref="B80:B81"/>
    <mergeCell ref="B75:B76"/>
    <mergeCell ref="B43:B47"/>
    <mergeCell ref="A104:A106"/>
    <mergeCell ref="B141:B142"/>
    <mergeCell ref="Z141:Z142"/>
    <mergeCell ref="B187:B188"/>
  </mergeCells>
  <phoneticPr fontId="45" type="noConversion"/>
  <conditionalFormatting sqref="AB2:AB14 AB16:AB60 AB64:AB68 AB75:AB156 AB158:AB224">
    <cfRule type="cellIs" dxfId="25" priority="29" operator="lessThanOrEqual">
      <formula>0</formula>
    </cfRule>
    <cfRule type="cellIs" dxfId="24" priority="30" operator="lessThanOrEqual">
      <formula>0</formula>
    </cfRule>
  </conditionalFormatting>
  <conditionalFormatting sqref="BE2:BH14 BE16:BH60 BE64:BH223">
    <cfRule type="cellIs" dxfId="23" priority="1846" operator="greaterThan">
      <formula>#REF!</formula>
    </cfRule>
    <cfRule type="cellIs" dxfId="22" priority="1847" operator="between">
      <formula>#REF!</formula>
      <formula>#REF!</formula>
    </cfRule>
  </conditionalFormatting>
  <conditionalFormatting sqref="BE2:BH14 BE16:BH60 BE64:BH225">
    <cfRule type="cellIs" dxfId="21" priority="7" operator="between">
      <formula>#REF!</formula>
      <formula>#REF!</formula>
    </cfRule>
    <cfRule type="cellIs" dxfId="20" priority="8" operator="between">
      <formula>#REF!</formula>
      <formula>#REF!</formula>
    </cfRule>
  </conditionalFormatting>
  <conditionalFormatting sqref="BE64:BH225 BE2:BH14 BE16:BH60">
    <cfRule type="cellIs" dxfId="19" priority="6" operator="lessThan">
      <formula>#REF!</formula>
    </cfRule>
  </conditionalFormatting>
  <conditionalFormatting sqref="BE224:BH224">
    <cfRule type="cellIs" dxfId="18" priority="2" operator="greaterThan">
      <formula>#REF!</formula>
    </cfRule>
    <cfRule type="cellIs" dxfId="17" priority="3" operator="between">
      <formula>#REF!</formula>
      <formula>#REF!</formula>
    </cfRule>
  </conditionalFormatting>
  <conditionalFormatting sqref="BE225:BH225">
    <cfRule type="cellIs" dxfId="16" priority="9" operator="greaterThan">
      <formula>#REF!</formula>
    </cfRule>
    <cfRule type="cellIs" dxfId="15" priority="10" operator="between">
      <formula>#REF!</formula>
      <formula>#REF!</formula>
    </cfRule>
  </conditionalFormatting>
  <conditionalFormatting sqref="BY3:CA3">
    <cfRule type="colorScale" priority="13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8:CA19">
    <cfRule type="colorScale" priority="19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:CA2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3:CA24"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5:CA25"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6:CA27">
    <cfRule type="colorScale" priority="17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8:CA28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9:CA30"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1:CA32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3:CA33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4:CA36">
    <cfRule type="colorScale" priority="19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8:CA38">
    <cfRule type="colorScale" priority="1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39:CA39">
    <cfRule type="colorScale" priority="14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2:CA42">
    <cfRule type="colorScale" priority="20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3:CA47"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8:CA48"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49:CA50"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51:CA51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52:CA52 BY2:CA2 BY16:CA17 BY21:CA22 BY4:CA14">
    <cfRule type="colorScale" priority="16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68:CA68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75:CA75 BY37:CA37 BY77:CA77 BY53:CA60 BY64:CA67">
    <cfRule type="colorScale" priority="17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76:CA76"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78:CA78">
    <cfRule type="colorScale" priority="20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79:CA79">
    <cfRule type="colorScale" priority="14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0:CA80">
    <cfRule type="colorScale" priority="13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1:CA82"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3:CA83">
    <cfRule type="colorScale" priority="13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4:CA87 BY69:CA69 BY40:CA41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88:CA89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0:CA90"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1:CA92 BY94:CA94"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3:CA93"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5:CA95"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6:CA96"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7:CA97"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98:CA99"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00:CA100"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01:CA107">
    <cfRule type="colorScale" priority="18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08:CA108"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09:CA109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0:CA111">
    <cfRule type="colorScale" priority="21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2:CA112"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3:CA113"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4:CA117">
    <cfRule type="colorScale" priority="21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8:CA118"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19:CA119">
    <cfRule type="colorScale" priority="6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1:CA125">
    <cfRule type="colorScale" priority="22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6:CA126"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7:CA127"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28:CA130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1:CA131"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2:CA13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3:CA133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4:CA137"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39:CA139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0:CA140 BY138:CA138"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1:CA142"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3:CA143"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4:CA144"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5:CA145"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6:CA146">
    <cfRule type="colorScale" priority="22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7:CA147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8:CA148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49:CA149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0:CA150"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1:CA151"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2:CA152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3:CA153"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4:CA154"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5:CA155"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6:CA156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7:CA157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59:CA163">
    <cfRule type="colorScale" priority="19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64:CA164"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65:CA165"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68:CA168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69:CA169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0:CA170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3:CA173"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4:CA174"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5:CA176"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77:CA188">
    <cfRule type="colorScale" priority="19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89:CA195">
    <cfRule type="colorScale" priority="1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96:CA197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198:CA199">
    <cfRule type="colorScale" priority="18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0:CA200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1:CA201"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2:CA202"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3:CA203"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4:CA204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06:CA209">
    <cfRule type="colorScale" priority="20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10:CA210 BY205:CA205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11:CA213 BY220:CA223">
    <cfRule type="colorScale" priority="2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14:CA219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24:CA22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25:CA225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promptTitle="Rack, U Space, Cage" sqref="I168:I170 I163:I165 I75:I87 I90:I120 I173:I225 I2:I60 I64:I69 I125:I158" xr:uid="{00000000-0002-0000-0000-000000000000}">
      <formula1>"Space, Rack, U space"</formula1>
    </dataValidation>
    <dataValidation type="list" allowBlank="1" showInputMessage="1" showErrorMessage="1" sqref="AE168:AE170 AE173:AE225 AE16:AE60 AE2:AE14 AE64:AE69 AE75:AE165" xr:uid="{00000000-0002-0000-0000-000001000000}">
      <formula1>"Fixed, Variable"</formula1>
    </dataValidation>
    <dataValidation type="list" allowBlank="1" showInputMessage="1" showErrorMessage="1" promptTitle="Rack, U Space, Cage" sqref="J168:J170 J163:J165 J75:J120 J173:J225 J2:J60 J64:J69 J125:J158" xr:uid="{00000000-0002-0000-0000-000002000000}">
      <formula1>"Caged, Uncaged"</formula1>
    </dataValidation>
    <dataValidation type="list" allowBlank="1" showInputMessage="1" showErrorMessage="1" sqref="H168:H170 H163:H165 H75:H120 H173:H225 H2:H69 H125:H158" xr:uid="{00000000-0002-0000-0000-000003000000}">
      <formula1>"Bundled, Metered"</formula1>
    </dataValidation>
    <dataValidation type="list" allowBlank="1" showInputMessage="1" showErrorMessage="1" sqref="S168:S170 S173:S225 S16:S60 S2:S14 S64:S69 S75:S165" xr:uid="{00000000-0002-0000-0000-000004000000}">
      <formula1>"KW, KVA"</formula1>
    </dataValidation>
    <dataValidation type="list" allowBlank="1" showInputMessage="1" showErrorMessage="1" sqref="AV168:AV170 AV173:AV225 AV16:AV60 AV2:AV14 AV64:AV69 AV75:AV165" xr:uid="{00000000-0002-0000-0000-000005000000}">
      <formula1>"Qtrly Adv, Qtry Ars, Monthly Adv, Monthly Ars"</formula1>
    </dataValidation>
    <dataValidation type="list" allowBlank="1" showInputMessage="1" showErrorMessage="1" sqref="G168:G170 G173:G225 G2:G69 G75:G165" xr:uid="{00000000-0002-0000-0000-000006000000}">
      <formula1>"Rated, Subscribed"</formula1>
    </dataValidation>
    <dataValidation type="list" allowBlank="1" showInputMessage="1" showErrorMessage="1" sqref="AH168:AH171 AI156 AI51 AH173:AH177 AH179:AH226 AH16:AH60 AH2:AH14 AH64:AH73 AH75:AH166" xr:uid="{00000000-0002-0000-0000-000007000000}">
      <formula1>"No of Seats, Space"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F241D-9BD6-4C09-BD4B-43D4CCE18585}">
  <dimension ref="A1:BZ29"/>
  <sheetViews>
    <sheetView tabSelected="1" topLeftCell="B1" workbookViewId="0">
      <selection sqref="A1:XFD1"/>
    </sheetView>
  </sheetViews>
  <sheetFormatPr defaultColWidth="9" defaultRowHeight="12.95"/>
  <cols>
    <col min="1" max="1" width="9" style="5" hidden="1" customWidth="1"/>
    <col min="2" max="2" width="36.140625" style="5" customWidth="1"/>
    <col min="3" max="3" width="46.42578125" style="5" customWidth="1"/>
    <col min="4" max="5" width="16.42578125" style="5" customWidth="1"/>
    <col min="6" max="6" width="18.42578125" style="5" customWidth="1"/>
    <col min="7" max="7" width="19.42578125" style="5" customWidth="1"/>
    <col min="8" max="8" width="12" style="5" customWidth="1"/>
    <col min="9" max="9" width="13.140625" style="5" customWidth="1"/>
    <col min="10" max="10" width="12.5703125" style="5" customWidth="1"/>
    <col min="11" max="11" width="12" style="5" customWidth="1"/>
    <col min="12" max="12" width="7.5703125" style="5" customWidth="1"/>
    <col min="13" max="13" width="10.42578125" style="6" customWidth="1"/>
    <col min="14" max="16" width="17.140625" style="4" customWidth="1"/>
    <col min="17" max="17" width="12" style="4" customWidth="1"/>
    <col min="18" max="18" width="5.42578125" style="4" customWidth="1"/>
    <col min="19" max="19" width="10" style="17" customWidth="1"/>
    <col min="20" max="20" width="8.42578125" style="5" customWidth="1"/>
    <col min="21" max="21" width="13" style="6" customWidth="1"/>
    <col min="22" max="22" width="10" style="5" customWidth="1"/>
    <col min="23" max="23" width="10.5703125" style="5" customWidth="1"/>
    <col min="24" max="24" width="12.5703125" style="5" customWidth="1"/>
    <col min="25" max="25" width="8" style="5" customWidth="1"/>
    <col min="26" max="26" width="10.140625" style="5" customWidth="1"/>
    <col min="27" max="27" width="14" style="5" customWidth="1"/>
    <col min="28" max="28" width="14.5703125" style="5" bestFit="1" customWidth="1"/>
    <col min="29" max="29" width="10" style="5" customWidth="1"/>
    <col min="30" max="30" width="15.140625" style="5" customWidth="1"/>
    <col min="31" max="31" width="12" style="5" customWidth="1"/>
    <col min="32" max="33" width="11.5703125" style="10" customWidth="1"/>
    <col min="34" max="34" width="11" style="10" customWidth="1"/>
    <col min="35" max="35" width="12.42578125" style="5" customWidth="1"/>
    <col min="36" max="36" width="6.5703125" style="5" customWidth="1"/>
    <col min="37" max="37" width="12.140625" style="5" customWidth="1"/>
    <col min="38" max="38" width="6" style="5" customWidth="1"/>
    <col min="39" max="39" width="9.140625" style="5" customWidth="1"/>
    <col min="40" max="40" width="9" style="5"/>
    <col min="41" max="41" width="11" style="5" bestFit="1" customWidth="1"/>
    <col min="42" max="42" width="10" style="5" customWidth="1"/>
    <col min="43" max="43" width="11" style="5" bestFit="1" customWidth="1"/>
    <col min="44" max="44" width="9" style="5"/>
    <col min="45" max="45" width="10" style="5" customWidth="1"/>
    <col min="46" max="46" width="13.5703125" style="5" customWidth="1"/>
    <col min="47" max="47" width="10.140625" style="5" customWidth="1"/>
    <col min="48" max="48" width="21.5703125" style="8" customWidth="1"/>
    <col min="49" max="49" width="20" style="8" customWidth="1"/>
    <col min="50" max="50" width="8.42578125" style="8" customWidth="1"/>
    <col min="51" max="51" width="7.5703125" style="8" customWidth="1"/>
    <col min="52" max="52" width="34.5703125" style="5" customWidth="1"/>
    <col min="53" max="53" width="6.5703125" style="5" customWidth="1"/>
    <col min="54" max="54" width="10.42578125" style="5" customWidth="1"/>
    <col min="55" max="55" width="11" style="5" customWidth="1"/>
    <col min="56" max="59" width="9" style="5"/>
    <col min="60" max="60" width="11" style="5" customWidth="1"/>
    <col min="61" max="62" width="10" style="5" customWidth="1"/>
    <col min="63" max="73" width="9" style="5"/>
    <col min="74" max="74" width="10.85546875" style="5" bestFit="1" customWidth="1"/>
    <col min="75" max="16384" width="9" style="5"/>
  </cols>
  <sheetData>
    <row r="1" spans="1:78" ht="108">
      <c r="A1" s="61" t="s">
        <v>65</v>
      </c>
      <c r="B1" s="49" t="s">
        <v>66</v>
      </c>
      <c r="C1" s="49" t="s">
        <v>67</v>
      </c>
      <c r="D1" s="49" t="s">
        <v>230</v>
      </c>
      <c r="E1" s="50" t="s">
        <v>231</v>
      </c>
      <c r="F1" s="50" t="s">
        <v>68</v>
      </c>
      <c r="G1" s="50" t="s">
        <v>69</v>
      </c>
      <c r="H1" s="50" t="s">
        <v>70</v>
      </c>
      <c r="I1" s="50" t="s">
        <v>71</v>
      </c>
      <c r="J1" s="51" t="s">
        <v>72</v>
      </c>
      <c r="K1" s="50" t="s">
        <v>73</v>
      </c>
      <c r="L1" s="49" t="s">
        <v>74</v>
      </c>
      <c r="M1" s="52" t="s">
        <v>75</v>
      </c>
      <c r="N1" s="50" t="s">
        <v>76</v>
      </c>
      <c r="O1" s="50" t="s">
        <v>77</v>
      </c>
      <c r="P1" s="50" t="s">
        <v>78</v>
      </c>
      <c r="Q1" s="53" t="s">
        <v>79</v>
      </c>
      <c r="R1" s="51" t="s">
        <v>72</v>
      </c>
      <c r="S1" s="51" t="s">
        <v>80</v>
      </c>
      <c r="T1" s="51" t="s">
        <v>81</v>
      </c>
      <c r="U1" s="54" t="s">
        <v>82</v>
      </c>
      <c r="V1" s="50" t="s">
        <v>83</v>
      </c>
      <c r="W1" s="51" t="s">
        <v>84</v>
      </c>
      <c r="X1" s="63" t="s">
        <v>85</v>
      </c>
      <c r="Y1" s="55" t="s">
        <v>86</v>
      </c>
      <c r="Z1" s="51" t="s">
        <v>87</v>
      </c>
      <c r="AA1" s="51" t="s">
        <v>88</v>
      </c>
      <c r="AB1" s="51" t="s">
        <v>89</v>
      </c>
      <c r="AC1" s="56" t="s">
        <v>90</v>
      </c>
      <c r="AD1" s="57" t="s">
        <v>91</v>
      </c>
      <c r="AE1" s="57" t="s">
        <v>92</v>
      </c>
      <c r="AF1" s="58" t="s">
        <v>93</v>
      </c>
      <c r="AG1" s="58" t="s">
        <v>79</v>
      </c>
      <c r="AH1" s="58" t="s">
        <v>72</v>
      </c>
      <c r="AI1" s="50" t="s">
        <v>73</v>
      </c>
      <c r="AJ1" s="49" t="s">
        <v>74</v>
      </c>
      <c r="AK1" s="50" t="s">
        <v>94</v>
      </c>
      <c r="AL1" s="50" t="s">
        <v>76</v>
      </c>
      <c r="AM1" s="50" t="s">
        <v>83</v>
      </c>
      <c r="AN1" s="50" t="s">
        <v>95</v>
      </c>
      <c r="AO1" s="57" t="s">
        <v>96</v>
      </c>
      <c r="AP1" s="57" t="s">
        <v>97</v>
      </c>
      <c r="AQ1" s="57" t="s">
        <v>98</v>
      </c>
      <c r="AR1" s="57" t="s">
        <v>62</v>
      </c>
      <c r="AS1" s="57" t="s">
        <v>99</v>
      </c>
      <c r="AT1" s="57" t="s">
        <v>100</v>
      </c>
      <c r="AU1" s="57" t="s">
        <v>101</v>
      </c>
      <c r="AV1" s="59" t="s">
        <v>102</v>
      </c>
      <c r="AW1" s="59" t="s">
        <v>103</v>
      </c>
      <c r="AX1" s="59" t="s">
        <v>104</v>
      </c>
      <c r="AY1" s="59" t="s">
        <v>105</v>
      </c>
      <c r="AZ1" s="60" t="s">
        <v>106</v>
      </c>
      <c r="BB1" s="311" t="s">
        <v>107</v>
      </c>
      <c r="BC1" s="311" t="s">
        <v>108</v>
      </c>
      <c r="BD1" s="311" t="s">
        <v>109</v>
      </c>
      <c r="BE1" s="311" t="s">
        <v>110</v>
      </c>
      <c r="BF1" s="311" t="s">
        <v>111</v>
      </c>
      <c r="BG1" s="311"/>
      <c r="BH1" s="311" t="s">
        <v>112</v>
      </c>
      <c r="BI1" s="311" t="s">
        <v>113</v>
      </c>
      <c r="BJ1" s="311" t="s">
        <v>114</v>
      </c>
      <c r="BK1" s="311" t="s">
        <v>115</v>
      </c>
      <c r="BL1" s="311" t="s">
        <v>116</v>
      </c>
      <c r="BM1" s="311" t="s">
        <v>117</v>
      </c>
      <c r="BN1" s="311" t="s">
        <v>118</v>
      </c>
      <c r="BO1" s="311" t="s">
        <v>119</v>
      </c>
      <c r="BP1" s="311" t="s">
        <v>120</v>
      </c>
      <c r="BQ1" s="311" t="s">
        <v>121</v>
      </c>
      <c r="BR1" s="311" t="s">
        <v>122</v>
      </c>
      <c r="BS1" s="312" t="s">
        <v>123</v>
      </c>
      <c r="BT1" s="312"/>
      <c r="BU1" s="311" t="s">
        <v>121</v>
      </c>
      <c r="BV1" s="311" t="s">
        <v>120</v>
      </c>
      <c r="BW1" s="311" t="s">
        <v>124</v>
      </c>
      <c r="BX1" s="311" t="s">
        <v>125</v>
      </c>
      <c r="BY1" s="311" t="s">
        <v>126</v>
      </c>
      <c r="BZ1" s="311" t="s">
        <v>127</v>
      </c>
    </row>
    <row r="2" spans="1:78" ht="39">
      <c r="A2" s="313" t="s">
        <v>47</v>
      </c>
      <c r="B2" s="168" t="s">
        <v>567</v>
      </c>
      <c r="C2" s="230" t="s">
        <v>523</v>
      </c>
      <c r="D2" s="200" t="s">
        <v>239</v>
      </c>
      <c r="E2" s="200"/>
      <c r="F2" s="145" t="s">
        <v>169</v>
      </c>
      <c r="G2" s="146" t="s">
        <v>170</v>
      </c>
      <c r="H2" s="145" t="s">
        <v>59</v>
      </c>
      <c r="I2" s="145" t="s">
        <v>185</v>
      </c>
      <c r="J2" s="147" t="str">
        <f>IF(H2="Rack","No of Racks",(IF(H2="Space","Sq Ft","U Space")))</f>
        <v>Sq Ft</v>
      </c>
      <c r="K2" s="145">
        <v>560</v>
      </c>
      <c r="L2" s="145">
        <v>560</v>
      </c>
      <c r="M2" s="148">
        <v>0</v>
      </c>
      <c r="N2" s="145">
        <v>560</v>
      </c>
      <c r="O2" s="145"/>
      <c r="P2" s="141">
        <v>511700</v>
      </c>
      <c r="Q2" s="150" t="str">
        <f>F2</f>
        <v>Subscribed</v>
      </c>
      <c r="R2" s="145" t="s">
        <v>123</v>
      </c>
      <c r="S2" s="146">
        <v>216</v>
      </c>
      <c r="T2" s="231">
        <f>Y2</f>
        <v>88.336309523809518</v>
      </c>
      <c r="U2" s="232">
        <f>S2-T2</f>
        <v>127.66369047619048</v>
      </c>
      <c r="V2" s="146"/>
      <c r="W2" s="146">
        <f>IF(U2&lt;=0,0,(IF(Q2="Rated",(U2+V2)*#REF!,(U2+V2))))</f>
        <v>127.66369047619048</v>
      </c>
      <c r="X2" s="146">
        <f>IF(Q2="Rated",S2*#REF!,S2)</f>
        <v>216</v>
      </c>
      <c r="Y2" s="231">
        <f>AF2/28/24</f>
        <v>88.336309523809518</v>
      </c>
      <c r="Z2" s="146">
        <f>IF((U2*-1)&gt;0, (U2*-1), 0)</f>
        <v>0</v>
      </c>
      <c r="AA2" s="146"/>
      <c r="AB2" s="153" t="str">
        <f>G2</f>
        <v>Metered</v>
      </c>
      <c r="AC2" s="146"/>
      <c r="AD2" s="146"/>
      <c r="AE2" s="154"/>
      <c r="AF2" s="233">
        <v>59362</v>
      </c>
      <c r="AG2" s="155"/>
      <c r="AH2" s="156" t="str">
        <f>IF(AG2="No of Seats","No of Seats",(IF(AG2="Space","Sq Ft","")))</f>
        <v/>
      </c>
      <c r="AI2" s="146"/>
      <c r="AJ2" s="146"/>
      <c r="AK2" s="146"/>
      <c r="AL2" s="146"/>
      <c r="AM2" s="146"/>
      <c r="AN2" s="149"/>
      <c r="AO2" s="157"/>
      <c r="AP2" s="157"/>
      <c r="AQ2" s="158"/>
      <c r="AR2" s="157"/>
      <c r="AS2" s="159"/>
      <c r="AT2" s="160"/>
      <c r="AU2" s="160"/>
      <c r="AV2" s="234"/>
      <c r="AW2" s="235"/>
      <c r="AX2" s="236"/>
      <c r="AY2" s="235"/>
      <c r="AZ2" s="337"/>
      <c r="BB2" s="165"/>
      <c r="BC2" s="165"/>
      <c r="BD2" s="165"/>
      <c r="BE2" s="165"/>
      <c r="BF2" s="165"/>
      <c r="BG2" s="165"/>
      <c r="BH2" s="166"/>
      <c r="BI2" s="166"/>
      <c r="BJ2" s="166"/>
      <c r="BK2" s="167"/>
      <c r="BL2" s="167"/>
      <c r="BM2" s="167"/>
      <c r="BN2" s="167"/>
      <c r="BO2" s="167"/>
      <c r="BP2" s="167"/>
      <c r="BQ2" s="167"/>
      <c r="BR2" s="167"/>
      <c r="BS2" s="167"/>
      <c r="BT2" s="167"/>
      <c r="BU2" s="167"/>
      <c r="BV2" s="167"/>
      <c r="BW2" s="167"/>
      <c r="BX2" s="167"/>
      <c r="BY2" s="167"/>
      <c r="BZ2" s="167"/>
    </row>
    <row r="3" spans="1:78" s="16" customFormat="1" ht="26.1">
      <c r="A3" s="313" t="s">
        <v>47</v>
      </c>
      <c r="B3" s="168" t="s">
        <v>568</v>
      </c>
      <c r="C3" s="230" t="s">
        <v>569</v>
      </c>
      <c r="D3" s="144" t="s">
        <v>239</v>
      </c>
      <c r="E3" s="144"/>
      <c r="F3" s="145" t="s">
        <v>169</v>
      </c>
      <c r="G3" s="146" t="s">
        <v>170</v>
      </c>
      <c r="H3" s="145" t="s">
        <v>59</v>
      </c>
      <c r="I3" s="145" t="s">
        <v>185</v>
      </c>
      <c r="J3" s="147" t="str">
        <f>IF(H3="Rack","No of Racks",(IF(H3="Space","Sq Ft","U Space")))</f>
        <v>Sq Ft</v>
      </c>
      <c r="K3" s="145">
        <v>256</v>
      </c>
      <c r="L3" s="145">
        <v>256</v>
      </c>
      <c r="M3" s="148">
        <v>0</v>
      </c>
      <c r="N3" s="145">
        <v>256</v>
      </c>
      <c r="O3" s="145"/>
      <c r="P3" s="141">
        <v>767000</v>
      </c>
      <c r="Q3" s="150" t="str">
        <f>F3</f>
        <v>Subscribed</v>
      </c>
      <c r="R3" s="145" t="s">
        <v>123</v>
      </c>
      <c r="S3" s="146">
        <v>100</v>
      </c>
      <c r="T3" s="231">
        <f>Y3</f>
        <v>13.47172619047619</v>
      </c>
      <c r="U3" s="232">
        <f>S3-T3</f>
        <v>86.52827380952381</v>
      </c>
      <c r="V3" s="146"/>
      <c r="W3" s="146">
        <f>IF(U3&lt;=0,0,(IF(Q3="Rated",(U3+V3)*#REF!,(U3+V3))))</f>
        <v>86.52827380952381</v>
      </c>
      <c r="X3" s="146">
        <f>IF(Q3="Rated",S3*#REF!,S3)</f>
        <v>100</v>
      </c>
      <c r="Y3" s="231">
        <f>AF3/28/24</f>
        <v>13.47172619047619</v>
      </c>
      <c r="Z3" s="146">
        <f>IF((U3*-1)&gt;0, (U3*-1), 0)</f>
        <v>0</v>
      </c>
      <c r="AA3" s="146"/>
      <c r="AB3" s="153" t="str">
        <f>G3</f>
        <v>Metered</v>
      </c>
      <c r="AC3" s="145"/>
      <c r="AD3" s="146"/>
      <c r="AE3" s="154"/>
      <c r="AF3" s="233">
        <v>9053</v>
      </c>
      <c r="AG3" s="155"/>
      <c r="AH3" s="156" t="str">
        <f>IF(AG3="No of Seats","No of Seats",(IF(AG3="Space","Sq Ft","")))</f>
        <v/>
      </c>
      <c r="AI3" s="146"/>
      <c r="AJ3" s="146"/>
      <c r="AK3" s="146"/>
      <c r="AL3" s="145"/>
      <c r="AM3" s="145"/>
      <c r="AN3" s="149"/>
      <c r="AO3" s="157"/>
      <c r="AP3" s="157"/>
      <c r="AQ3" s="158"/>
      <c r="AR3" s="157"/>
      <c r="AS3" s="159"/>
      <c r="AT3" s="160"/>
      <c r="AU3" s="160"/>
      <c r="AV3" s="234"/>
      <c r="AW3" s="235"/>
      <c r="AX3" s="236"/>
      <c r="AY3" s="235"/>
      <c r="AZ3" s="337"/>
      <c r="BB3" s="165"/>
      <c r="BC3" s="165"/>
      <c r="BD3" s="165"/>
      <c r="BE3" s="165"/>
      <c r="BF3" s="165"/>
      <c r="BG3" s="165"/>
      <c r="BH3" s="166"/>
      <c r="BI3" s="166"/>
      <c r="BJ3" s="166"/>
      <c r="BK3" s="167"/>
      <c r="BL3" s="167"/>
      <c r="BM3" s="167"/>
      <c r="BN3" s="167"/>
      <c r="BO3" s="167"/>
      <c r="BP3" s="167"/>
      <c r="BQ3" s="167"/>
      <c r="BR3" s="167"/>
      <c r="BS3" s="167"/>
      <c r="BT3" s="167"/>
      <c r="BU3" s="167"/>
      <c r="BV3" s="167"/>
      <c r="BW3" s="167"/>
      <c r="BX3" s="167"/>
      <c r="BY3" s="167"/>
      <c r="BZ3" s="167"/>
    </row>
    <row r="4" spans="1:78" s="16" customFormat="1">
      <c r="A4" s="313"/>
      <c r="B4" s="168" t="s">
        <v>570</v>
      </c>
      <c r="C4" s="230" t="s">
        <v>389</v>
      </c>
      <c r="D4" s="144" t="s">
        <v>239</v>
      </c>
      <c r="E4" s="144"/>
      <c r="F4" s="145" t="s">
        <v>169</v>
      </c>
      <c r="G4" s="146" t="s">
        <v>170</v>
      </c>
      <c r="H4" s="145" t="s">
        <v>59</v>
      </c>
      <c r="I4" s="145" t="s">
        <v>185</v>
      </c>
      <c r="J4" s="147" t="str">
        <f>IF(H4="Rack","No of Racks",(IF(H4="Space","Sq Ft","U Space")))</f>
        <v>Sq Ft</v>
      </c>
      <c r="K4" s="145">
        <v>432</v>
      </c>
      <c r="L4" s="145">
        <v>288</v>
      </c>
      <c r="M4" s="148">
        <v>144</v>
      </c>
      <c r="N4" s="145">
        <v>288</v>
      </c>
      <c r="O4" s="145"/>
      <c r="P4" s="141"/>
      <c r="Q4" s="150" t="str">
        <f>F4</f>
        <v>Subscribed</v>
      </c>
      <c r="R4" s="145" t="s">
        <v>123</v>
      </c>
      <c r="S4" s="146">
        <v>72</v>
      </c>
      <c r="T4" s="231">
        <f>Y4</f>
        <v>0</v>
      </c>
      <c r="U4" s="232">
        <f>S4-T4</f>
        <v>72</v>
      </c>
      <c r="V4" s="146"/>
      <c r="W4" s="146">
        <f>IF(U4&lt;=0,0,(IF(Q4="Rated",(U4+V4)*#REF!,(U4+V4))))</f>
        <v>72</v>
      </c>
      <c r="X4" s="146">
        <f>IF(Q4="Rated",S4*#REF!,S4)</f>
        <v>72</v>
      </c>
      <c r="Y4" s="231">
        <f>AF4/28/24</f>
        <v>0</v>
      </c>
      <c r="Z4" s="146">
        <f>IF((U4*-1)&gt;0, (U4*-1), 0)</f>
        <v>0</v>
      </c>
      <c r="AA4" s="146"/>
      <c r="AB4" s="153" t="s">
        <v>170</v>
      </c>
      <c r="AC4" s="145"/>
      <c r="AD4" s="146"/>
      <c r="AE4" s="154"/>
      <c r="AF4" s="233">
        <v>0</v>
      </c>
      <c r="AG4" s="155"/>
      <c r="AH4" s="156"/>
      <c r="AI4" s="146"/>
      <c r="AJ4" s="146"/>
      <c r="AK4" s="146"/>
      <c r="AL4" s="145"/>
      <c r="AM4" s="145"/>
      <c r="AN4" s="149"/>
      <c r="AO4" s="157"/>
      <c r="AP4" s="157"/>
      <c r="AQ4" s="158"/>
      <c r="AR4" s="157"/>
      <c r="AS4" s="159"/>
      <c r="AT4" s="160"/>
      <c r="AU4" s="160"/>
      <c r="AV4" s="234"/>
      <c r="AW4" s="235"/>
      <c r="AX4" s="236"/>
      <c r="AY4" s="235"/>
      <c r="AZ4" s="337"/>
      <c r="BB4" s="165"/>
      <c r="BC4" s="165"/>
      <c r="BD4" s="165"/>
      <c r="BE4" s="165"/>
      <c r="BF4" s="165"/>
      <c r="BG4" s="165"/>
      <c r="BH4" s="166"/>
      <c r="BI4" s="166"/>
      <c r="BJ4" s="166"/>
      <c r="BK4" s="167"/>
      <c r="BL4" s="167"/>
      <c r="BM4" s="167"/>
      <c r="BN4" s="167"/>
      <c r="BO4" s="167"/>
      <c r="BP4" s="167"/>
      <c r="BQ4" s="167"/>
      <c r="BR4" s="167"/>
      <c r="BS4" s="167"/>
      <c r="BT4" s="167"/>
      <c r="BU4" s="167"/>
      <c r="BV4" s="167"/>
      <c r="BW4" s="167"/>
      <c r="BX4" s="167"/>
      <c r="BY4" s="167"/>
      <c r="BZ4" s="167"/>
    </row>
    <row r="5" spans="1:78" s="16" customFormat="1">
      <c r="A5" s="313" t="s">
        <v>47</v>
      </c>
      <c r="B5" s="168" t="s">
        <v>571</v>
      </c>
      <c r="C5" s="230" t="s">
        <v>389</v>
      </c>
      <c r="D5" s="144" t="s">
        <v>239</v>
      </c>
      <c r="E5" s="144"/>
      <c r="F5" s="145" t="s">
        <v>169</v>
      </c>
      <c r="G5" s="146" t="s">
        <v>170</v>
      </c>
      <c r="H5" s="145" t="s">
        <v>59</v>
      </c>
      <c r="I5" s="145" t="s">
        <v>185</v>
      </c>
      <c r="J5" s="147" t="str">
        <f>IF(H5="Rack","No of Racks",(IF(H5="Space","Sq Ft","U Space")))</f>
        <v>Sq Ft</v>
      </c>
      <c r="K5" s="145">
        <v>5612</v>
      </c>
      <c r="L5" s="145">
        <v>0</v>
      </c>
      <c r="M5" s="148">
        <f>K5-L5</f>
        <v>5612</v>
      </c>
      <c r="N5" s="145">
        <v>0</v>
      </c>
      <c r="O5" s="145"/>
      <c r="P5" s="141">
        <v>2769200</v>
      </c>
      <c r="Q5" s="150" t="str">
        <f>F5</f>
        <v>Subscribed</v>
      </c>
      <c r="R5" s="145" t="s">
        <v>123</v>
      </c>
      <c r="S5" s="146">
        <v>578</v>
      </c>
      <c r="T5" s="231">
        <f>Y5</f>
        <v>583.6603720238096</v>
      </c>
      <c r="U5" s="232">
        <f>S5-T5</f>
        <v>-5.6603720238096003</v>
      </c>
      <c r="V5" s="146"/>
      <c r="W5" s="146">
        <f>IF(U5&lt;=0,0,(IF(Q5="Rated",(U5+V5)*#REF!,(U5+V5))))</f>
        <v>0</v>
      </c>
      <c r="X5" s="146">
        <f>IF(Q5="Rated",S5*#REF!,S5)</f>
        <v>578</v>
      </c>
      <c r="Y5" s="231">
        <f>AF5/28/24</f>
        <v>583.6603720238096</v>
      </c>
      <c r="Z5" s="146">
        <f>IF((U5*-1)&gt;0, (U5*-1), 0)</f>
        <v>5.6603720238096003</v>
      </c>
      <c r="AA5" s="146"/>
      <c r="AB5" s="153" t="str">
        <f>G5</f>
        <v>Metered</v>
      </c>
      <c r="AC5" s="145"/>
      <c r="AD5" s="146"/>
      <c r="AE5" s="154"/>
      <c r="AF5" s="233">
        <v>392219.77</v>
      </c>
      <c r="AG5" s="155"/>
      <c r="AH5" s="156" t="str">
        <f>IF(AG5="No of Seats","No of Seats",(IF(AG5="Space","Sq Ft","")))</f>
        <v/>
      </c>
      <c r="AI5" s="146"/>
      <c r="AJ5" s="146"/>
      <c r="AK5" s="146"/>
      <c r="AL5" s="145"/>
      <c r="AM5" s="145"/>
      <c r="AN5" s="149"/>
      <c r="AO5" s="157"/>
      <c r="AP5" s="157"/>
      <c r="AQ5" s="158"/>
      <c r="AR5" s="157"/>
      <c r="AS5" s="159"/>
      <c r="AT5" s="160"/>
      <c r="AU5" s="160"/>
      <c r="AV5" s="234"/>
      <c r="AW5" s="235"/>
      <c r="AX5" s="236"/>
      <c r="AY5" s="235"/>
      <c r="AZ5" s="316"/>
      <c r="BB5" s="165"/>
      <c r="BC5" s="165"/>
      <c r="BD5" s="165"/>
      <c r="BE5" s="165"/>
      <c r="BF5" s="165"/>
      <c r="BG5" s="165"/>
      <c r="BH5" s="166"/>
      <c r="BI5" s="166"/>
      <c r="BJ5" s="166"/>
      <c r="BK5" s="167"/>
      <c r="BL5" s="167"/>
      <c r="BM5" s="167"/>
      <c r="BN5" s="167"/>
      <c r="BO5" s="167"/>
      <c r="BP5" s="167"/>
      <c r="BQ5" s="167"/>
      <c r="BR5" s="167"/>
      <c r="BS5" s="167"/>
      <c r="BT5" s="167"/>
      <c r="BU5" s="167"/>
      <c r="BV5" s="167"/>
      <c r="BW5" s="167"/>
      <c r="BX5" s="167"/>
      <c r="BY5" s="167"/>
      <c r="BZ5" s="167"/>
    </row>
    <row r="6" spans="1:78" s="16" customFormat="1">
      <c r="A6" s="313"/>
      <c r="B6" s="168" t="s">
        <v>572</v>
      </c>
      <c r="C6" s="230" t="s">
        <v>573</v>
      </c>
      <c r="D6" s="144" t="s">
        <v>239</v>
      </c>
      <c r="E6" s="144"/>
      <c r="F6" s="145" t="s">
        <v>169</v>
      </c>
      <c r="G6" s="205" t="s">
        <v>170</v>
      </c>
      <c r="H6" s="204" t="s">
        <v>132</v>
      </c>
      <c r="I6" s="204" t="s">
        <v>133</v>
      </c>
      <c r="J6" s="206" t="s">
        <v>227</v>
      </c>
      <c r="K6" s="204">
        <v>2</v>
      </c>
      <c r="L6" s="145">
        <v>2</v>
      </c>
      <c r="M6" s="148">
        <v>0</v>
      </c>
      <c r="N6" s="145">
        <v>2</v>
      </c>
      <c r="O6" s="145"/>
      <c r="P6" s="141">
        <v>205833</v>
      </c>
      <c r="Q6" s="150" t="str">
        <f t="shared" ref="Q6" si="0">F6</f>
        <v>Subscribed</v>
      </c>
      <c r="R6" s="145" t="s">
        <v>123</v>
      </c>
      <c r="S6" s="146">
        <v>24</v>
      </c>
      <c r="T6" s="231">
        <f>Y6</f>
        <v>10.052083333333334</v>
      </c>
      <c r="U6" s="232">
        <f>S6-T6</f>
        <v>13.947916666666666</v>
      </c>
      <c r="V6" s="146"/>
      <c r="W6" s="146">
        <f>IF(U6&lt;=0,0,(IF(Q6="Rated",(U6+V6)*#REF!,(U6+V6))))</f>
        <v>13.947916666666666</v>
      </c>
      <c r="X6" s="146">
        <f>IF(Q6="Rated",S6*#REF!,S6)</f>
        <v>24</v>
      </c>
      <c r="Y6" s="231">
        <f>AF6/28/24</f>
        <v>10.052083333333334</v>
      </c>
      <c r="Z6" s="146">
        <f>IF((U6*-1)&gt;0, (U6*-1), 0)</f>
        <v>0</v>
      </c>
      <c r="AA6" s="146"/>
      <c r="AB6" s="153" t="s">
        <v>170</v>
      </c>
      <c r="AC6" s="145"/>
      <c r="AD6" s="146"/>
      <c r="AE6" s="154"/>
      <c r="AF6" s="233">
        <v>6755</v>
      </c>
      <c r="AG6" s="155"/>
      <c r="AH6" s="156"/>
      <c r="AI6" s="146"/>
      <c r="AJ6" s="146"/>
      <c r="AK6" s="146"/>
      <c r="AL6" s="145"/>
      <c r="AM6" s="145"/>
      <c r="AN6" s="149"/>
      <c r="AO6" s="157"/>
      <c r="AP6" s="157"/>
      <c r="AQ6" s="158"/>
      <c r="AR6" s="157"/>
      <c r="AS6" s="159"/>
      <c r="AT6" s="160"/>
      <c r="AU6" s="160"/>
      <c r="AV6" s="234"/>
      <c r="AW6" s="235"/>
      <c r="AX6" s="236"/>
      <c r="AY6" s="235"/>
      <c r="AZ6" s="316"/>
      <c r="BB6" s="25"/>
      <c r="BC6" s="25"/>
      <c r="BD6" s="25"/>
      <c r="BE6" s="25"/>
      <c r="BF6" s="25"/>
      <c r="BG6" s="25"/>
      <c r="BH6" s="26"/>
      <c r="BI6" s="26"/>
      <c r="BJ6" s="26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</row>
    <row r="7" spans="1:78" s="64" customFormat="1" ht="13.5" thickBot="1">
      <c r="A7" s="375"/>
      <c r="B7" s="376" t="s">
        <v>574</v>
      </c>
      <c r="C7" s="377"/>
      <c r="D7" s="377"/>
      <c r="E7" s="377"/>
      <c r="F7" s="378"/>
      <c r="G7" s="379"/>
      <c r="H7" s="379"/>
      <c r="I7" s="379"/>
      <c r="J7" s="379"/>
      <c r="K7" s="380"/>
      <c r="L7" s="377"/>
      <c r="M7" s="381"/>
      <c r="N7" s="377"/>
      <c r="O7" s="377"/>
      <c r="P7" s="377"/>
      <c r="Q7" s="382"/>
      <c r="R7" s="377"/>
      <c r="S7" s="385">
        <f>SUM(S2:S6)</f>
        <v>990</v>
      </c>
      <c r="T7" s="385">
        <f>SUM(T2:T6)</f>
        <v>695.52049107142864</v>
      </c>
      <c r="U7" s="431"/>
      <c r="V7" s="385"/>
      <c r="W7" s="385">
        <f>SUM(W2:W6)</f>
        <v>300.13988095238096</v>
      </c>
      <c r="X7" s="385">
        <f>SUM(X2:X6)</f>
        <v>990</v>
      </c>
      <c r="Y7" s="385">
        <f>SUM(Y2:Y6)</f>
        <v>695.52049107142864</v>
      </c>
      <c r="Z7" s="385"/>
      <c r="AA7" s="386"/>
      <c r="AB7" s="386"/>
      <c r="AC7" s="385"/>
      <c r="AD7" s="385"/>
      <c r="AE7" s="385"/>
      <c r="AF7" s="385"/>
      <c r="AG7" s="387"/>
      <c r="AH7" s="388"/>
      <c r="AI7" s="385"/>
      <c r="AJ7" s="385"/>
      <c r="AK7" s="385"/>
      <c r="AL7" s="385"/>
      <c r="AM7" s="385"/>
      <c r="AN7" s="385"/>
      <c r="AO7" s="389"/>
      <c r="AP7" s="389"/>
      <c r="AQ7" s="389"/>
      <c r="AR7" s="389"/>
      <c r="AS7" s="389"/>
      <c r="AT7" s="385"/>
      <c r="AU7" s="378"/>
      <c r="AV7" s="390"/>
      <c r="AW7" s="390"/>
      <c r="AX7" s="391"/>
      <c r="AY7" s="390"/>
      <c r="AZ7" s="392"/>
      <c r="BZ7" s="65"/>
    </row>
    <row r="8" spans="1:78" s="67" customFormat="1">
      <c r="A8" s="393"/>
      <c r="B8" s="394"/>
      <c r="C8" s="394"/>
      <c r="D8" s="395"/>
      <c r="E8" s="395"/>
      <c r="F8" s="396"/>
      <c r="G8" s="71" t="s">
        <v>132</v>
      </c>
      <c r="H8" s="72">
        <f>COUNTIF(H2:H6,"=Rack")</f>
        <v>1</v>
      </c>
      <c r="I8" s="72"/>
      <c r="J8" s="72" t="s">
        <v>355</v>
      </c>
      <c r="K8" s="73">
        <f>SUMIF(H2:H6,"Rack",K2:K6)</f>
        <v>2</v>
      </c>
      <c r="L8" s="397"/>
      <c r="M8" s="398"/>
      <c r="N8" s="394"/>
      <c r="O8" s="394"/>
      <c r="P8" s="394"/>
      <c r="Q8" s="399"/>
      <c r="R8" s="394"/>
      <c r="S8" s="400"/>
      <c r="T8" s="400"/>
      <c r="U8" s="401"/>
      <c r="V8" s="400"/>
      <c r="W8" s="400"/>
      <c r="X8" s="400"/>
      <c r="Y8" s="400"/>
      <c r="Z8" s="400"/>
      <c r="AA8" s="374"/>
      <c r="AB8" s="374"/>
      <c r="AC8" s="400"/>
      <c r="AD8" s="400"/>
      <c r="AE8" s="400"/>
      <c r="AF8" s="400"/>
      <c r="AG8" s="402"/>
      <c r="AH8" s="403"/>
      <c r="AI8" s="400"/>
      <c r="AJ8" s="400"/>
      <c r="AK8" s="400"/>
      <c r="AL8" s="400"/>
      <c r="AM8" s="400"/>
      <c r="AN8" s="400"/>
      <c r="AO8" s="404"/>
      <c r="AP8" s="404"/>
      <c r="AQ8" s="404"/>
      <c r="AR8" s="404"/>
      <c r="AS8" s="404"/>
      <c r="AT8" s="400"/>
      <c r="AU8" s="405"/>
      <c r="AV8" s="406"/>
      <c r="AW8" s="406"/>
      <c r="AX8" s="407"/>
      <c r="AY8" s="406"/>
      <c r="AZ8" s="408"/>
      <c r="BZ8" s="68"/>
    </row>
    <row r="9" spans="1:78" s="67" customFormat="1">
      <c r="A9" s="393"/>
      <c r="B9" s="394"/>
      <c r="C9" s="394"/>
      <c r="D9" s="395"/>
      <c r="E9" s="395"/>
      <c r="F9" s="396"/>
      <c r="G9" s="409" t="s">
        <v>59</v>
      </c>
      <c r="H9" s="410">
        <f>COUNTIF(H2:H6,"=Space")</f>
        <v>4</v>
      </c>
      <c r="I9" s="410"/>
      <c r="J9" s="410" t="s">
        <v>356</v>
      </c>
      <c r="K9" s="411">
        <f>SUMIF(H2:H6,"Space",K2:K6)/21</f>
        <v>326.66666666666669</v>
      </c>
      <c r="L9" s="397"/>
      <c r="M9" s="398"/>
      <c r="N9" s="394"/>
      <c r="O9" s="394"/>
      <c r="P9" s="394"/>
      <c r="Q9" s="399"/>
      <c r="R9" s="394"/>
      <c r="S9" s="400"/>
      <c r="T9" s="400"/>
      <c r="U9" s="401"/>
      <c r="V9" s="400"/>
      <c r="W9" s="400"/>
      <c r="X9" s="400"/>
      <c r="Y9" s="400"/>
      <c r="Z9" s="400"/>
      <c r="AA9" s="374"/>
      <c r="AB9" s="374"/>
      <c r="AC9" s="400"/>
      <c r="AD9" s="400"/>
      <c r="AE9" s="400"/>
      <c r="AF9" s="400"/>
      <c r="AG9" s="402"/>
      <c r="AH9" s="403"/>
      <c r="AI9" s="400"/>
      <c r="AJ9" s="400"/>
      <c r="AK9" s="400"/>
      <c r="AL9" s="400"/>
      <c r="AM9" s="400"/>
      <c r="AN9" s="400"/>
      <c r="AO9" s="404"/>
      <c r="AP9" s="404"/>
      <c r="AQ9" s="404"/>
      <c r="AR9" s="404"/>
      <c r="AS9" s="404"/>
      <c r="AT9" s="400"/>
      <c r="AU9" s="405"/>
      <c r="AV9" s="406"/>
      <c r="AW9" s="406"/>
      <c r="AX9" s="407"/>
      <c r="AY9" s="406"/>
      <c r="AZ9" s="408"/>
      <c r="BZ9" s="68"/>
    </row>
    <row r="10" spans="1:78" s="67" customFormat="1">
      <c r="A10" s="393"/>
      <c r="B10" s="394"/>
      <c r="C10" s="394"/>
      <c r="D10" s="395"/>
      <c r="E10" s="395"/>
      <c r="F10" s="396"/>
      <c r="G10" s="409" t="s">
        <v>144</v>
      </c>
      <c r="H10" s="410">
        <f>COUNTIF(H2:H6,"=U space")</f>
        <v>0</v>
      </c>
      <c r="I10" s="410"/>
      <c r="J10" s="410" t="s">
        <v>144</v>
      </c>
      <c r="K10" s="411">
        <v>0</v>
      </c>
      <c r="L10" s="397"/>
      <c r="M10" s="398"/>
      <c r="N10" s="394"/>
      <c r="O10" s="394"/>
      <c r="P10" s="394"/>
      <c r="Q10" s="399"/>
      <c r="R10" s="394"/>
      <c r="S10" s="400"/>
      <c r="T10" s="400"/>
      <c r="U10" s="401"/>
      <c r="V10" s="400"/>
      <c r="W10" s="400"/>
      <c r="X10" s="400"/>
      <c r="Y10" s="400"/>
      <c r="Z10" s="400"/>
      <c r="AA10" s="374"/>
      <c r="AB10" s="374"/>
      <c r="AC10" s="400"/>
      <c r="AD10" s="400"/>
      <c r="AE10" s="400"/>
      <c r="AF10" s="400"/>
      <c r="AG10" s="402"/>
      <c r="AH10" s="403"/>
      <c r="AI10" s="400"/>
      <c r="AJ10" s="400"/>
      <c r="AK10" s="400"/>
      <c r="AL10" s="400"/>
      <c r="AM10" s="400"/>
      <c r="AN10" s="400"/>
      <c r="AO10" s="404"/>
      <c r="AP10" s="404"/>
      <c r="AQ10" s="404"/>
      <c r="AR10" s="404"/>
      <c r="AS10" s="404"/>
      <c r="AT10" s="400"/>
      <c r="AU10" s="405"/>
      <c r="AV10" s="406"/>
      <c r="AW10" s="406"/>
      <c r="AX10" s="407"/>
      <c r="AY10" s="406"/>
      <c r="AZ10" s="408"/>
      <c r="BZ10" s="68"/>
    </row>
    <row r="11" spans="1:78" ht="13.5" thickBot="1">
      <c r="A11" s="393"/>
      <c r="B11" s="405"/>
      <c r="C11" s="229"/>
      <c r="D11" s="413"/>
      <c r="E11" s="413"/>
      <c r="F11" s="413"/>
      <c r="G11" s="414"/>
      <c r="H11" s="415"/>
      <c r="I11" s="415"/>
      <c r="J11" s="416" t="s">
        <v>52</v>
      </c>
      <c r="K11" s="417">
        <f>SUM(K8:K10)</f>
        <v>328.66666666666669</v>
      </c>
      <c r="L11" s="418"/>
      <c r="M11" s="419"/>
      <c r="N11" s="420"/>
      <c r="O11" s="420"/>
      <c r="P11" s="421"/>
      <c r="Q11" s="420"/>
      <c r="R11" s="420"/>
      <c r="S11" s="422"/>
      <c r="T11" s="229"/>
      <c r="U11" s="41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423"/>
      <c r="AG11" s="423"/>
      <c r="AH11" s="423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424"/>
      <c r="AW11" s="424"/>
      <c r="AX11" s="424"/>
      <c r="AY11" s="424"/>
      <c r="AZ11" s="164"/>
    </row>
    <row r="12" spans="1:78" s="16" customFormat="1">
      <c r="A12" s="313"/>
      <c r="B12" s="168" t="s">
        <v>575</v>
      </c>
      <c r="C12" s="230" t="s">
        <v>576</v>
      </c>
      <c r="D12" s="144" t="s">
        <v>239</v>
      </c>
      <c r="E12" s="144"/>
      <c r="F12" s="145" t="s">
        <v>169</v>
      </c>
      <c r="G12" s="205" t="s">
        <v>170</v>
      </c>
      <c r="H12" s="204" t="s">
        <v>132</v>
      </c>
      <c r="I12" s="204" t="s">
        <v>133</v>
      </c>
      <c r="J12" s="206" t="s">
        <v>227</v>
      </c>
      <c r="K12" s="204">
        <v>319</v>
      </c>
      <c r="L12" s="145">
        <v>53</v>
      </c>
      <c r="M12" s="148">
        <v>266</v>
      </c>
      <c r="N12" s="145">
        <v>53</v>
      </c>
      <c r="O12" s="145"/>
      <c r="P12" s="491"/>
      <c r="Q12" s="150" t="str">
        <f t="shared" ref="Q12" si="1">F12</f>
        <v>Subscribed</v>
      </c>
      <c r="R12" s="145" t="s">
        <v>123</v>
      </c>
      <c r="S12" s="146">
        <v>2160</v>
      </c>
      <c r="T12" s="231">
        <f>Y12</f>
        <v>360.56845238095235</v>
      </c>
      <c r="U12" s="232">
        <f>S12-T12</f>
        <v>1799.4315476190477</v>
      </c>
      <c r="V12" s="146"/>
      <c r="W12" s="146">
        <f>IF(U12&lt;=0,0,(IF(Q12="Rated",(U12+V12)*#REF!,(U12+V12))))</f>
        <v>1799.4315476190477</v>
      </c>
      <c r="X12" s="146">
        <f>IF(Q12="Rated",S12*#REF!,S12)</f>
        <v>2160</v>
      </c>
      <c r="Y12" s="231">
        <f>AF12/28/24</f>
        <v>360.56845238095235</v>
      </c>
      <c r="Z12" s="146">
        <f t="shared" ref="Z12" si="2">IF((U12*-1)&gt;0, (U12*-1), 0)</f>
        <v>0</v>
      </c>
      <c r="AA12" s="146"/>
      <c r="AB12" s="153" t="s">
        <v>170</v>
      </c>
      <c r="AC12" s="145"/>
      <c r="AD12" s="146"/>
      <c r="AE12" s="154"/>
      <c r="AF12" s="233">
        <v>242302</v>
      </c>
      <c r="AG12" s="155"/>
      <c r="AH12" s="156"/>
      <c r="AI12" s="146"/>
      <c r="AJ12" s="146"/>
      <c r="AK12" s="146"/>
      <c r="AL12" s="145"/>
      <c r="AM12" s="145"/>
      <c r="AN12" s="149"/>
      <c r="AO12" s="157"/>
      <c r="AP12" s="157"/>
      <c r="AQ12" s="158"/>
      <c r="AR12" s="157"/>
      <c r="AS12" s="159"/>
      <c r="AT12" s="160"/>
      <c r="AU12" s="160"/>
      <c r="AV12" s="234"/>
      <c r="AW12" s="235"/>
      <c r="AX12" s="236"/>
      <c r="AY12" s="235"/>
      <c r="AZ12" s="316"/>
      <c r="BB12" s="25"/>
      <c r="BC12" s="25"/>
      <c r="BD12" s="25"/>
      <c r="BE12" s="25"/>
      <c r="BF12" s="25"/>
      <c r="BG12" s="25"/>
      <c r="BH12" s="26"/>
      <c r="BI12" s="26"/>
      <c r="BJ12" s="26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</row>
    <row r="13" spans="1:78" s="64" customFormat="1" ht="13.5" thickBot="1">
      <c r="A13" s="375"/>
      <c r="B13" s="376" t="s">
        <v>577</v>
      </c>
      <c r="C13" s="377"/>
      <c r="D13" s="377"/>
      <c r="E13" s="377"/>
      <c r="F13" s="378"/>
      <c r="G13" s="379"/>
      <c r="H13" s="379"/>
      <c r="I13" s="379"/>
      <c r="J13" s="379"/>
      <c r="K13" s="380"/>
      <c r="L13" s="377"/>
      <c r="M13" s="381"/>
      <c r="N13" s="377"/>
      <c r="O13" s="377"/>
      <c r="P13" s="377"/>
      <c r="Q13" s="382"/>
      <c r="R13" s="377"/>
      <c r="S13" s="385">
        <f>SUM(S12:S12)</f>
        <v>2160</v>
      </c>
      <c r="T13" s="385">
        <f>SUM(T12:T12)</f>
        <v>360.56845238095235</v>
      </c>
      <c r="U13" s="431"/>
      <c r="V13" s="385"/>
      <c r="W13" s="385">
        <f>SUM(W12:W12)</f>
        <v>1799.4315476190477</v>
      </c>
      <c r="X13" s="385">
        <f>SUM(X12:X12)</f>
        <v>2160</v>
      </c>
      <c r="Y13" s="385">
        <f>SUM(Y12:Y12)</f>
        <v>360.56845238095235</v>
      </c>
      <c r="Z13" s="385"/>
      <c r="AA13" s="386"/>
      <c r="AB13" s="386"/>
      <c r="AC13" s="385"/>
      <c r="AD13" s="385"/>
      <c r="AE13" s="385"/>
      <c r="AF13" s="385"/>
      <c r="AG13" s="387"/>
      <c r="AH13" s="388"/>
      <c r="AI13" s="385"/>
      <c r="AJ13" s="385"/>
      <c r="AK13" s="385"/>
      <c r="AL13" s="385"/>
      <c r="AM13" s="385"/>
      <c r="AN13" s="385"/>
      <c r="AO13" s="389"/>
      <c r="AP13" s="389"/>
      <c r="AQ13" s="389"/>
      <c r="AR13" s="389"/>
      <c r="AS13" s="389"/>
      <c r="AT13" s="385"/>
      <c r="AU13" s="378"/>
      <c r="AV13" s="390"/>
      <c r="AW13" s="390"/>
      <c r="AX13" s="391"/>
      <c r="AY13" s="390"/>
      <c r="AZ13" s="392"/>
      <c r="BZ13" s="65"/>
    </row>
    <row r="14" spans="1:78" s="67" customFormat="1">
      <c r="A14" s="393"/>
      <c r="B14" s="394"/>
      <c r="C14" s="394"/>
      <c r="D14" s="395"/>
      <c r="E14" s="395"/>
      <c r="F14" s="396"/>
      <c r="G14" s="71" t="s">
        <v>132</v>
      </c>
      <c r="H14" s="72">
        <f>COUNTIF(H12:H12,"=Rack")</f>
        <v>1</v>
      </c>
      <c r="I14" s="72"/>
      <c r="J14" s="72" t="s">
        <v>355</v>
      </c>
      <c r="K14" s="73">
        <f>SUMIF(H12:H12,"Rack",K12:K12)</f>
        <v>319</v>
      </c>
      <c r="L14" s="397"/>
      <c r="M14" s="398"/>
      <c r="N14" s="394"/>
      <c r="O14" s="394"/>
      <c r="P14" s="394"/>
      <c r="Q14" s="399"/>
      <c r="R14" s="394"/>
      <c r="S14" s="400"/>
      <c r="T14" s="400"/>
      <c r="U14" s="401"/>
      <c r="V14" s="400"/>
      <c r="W14" s="400"/>
      <c r="X14" s="400"/>
      <c r="Y14" s="400"/>
      <c r="Z14" s="400"/>
      <c r="AA14" s="374"/>
      <c r="AB14" s="374"/>
      <c r="AC14" s="400"/>
      <c r="AD14" s="400"/>
      <c r="AE14" s="400"/>
      <c r="AF14" s="400"/>
      <c r="AG14" s="402"/>
      <c r="AH14" s="403"/>
      <c r="AI14" s="400"/>
      <c r="AJ14" s="400"/>
      <c r="AK14" s="400"/>
      <c r="AL14" s="400"/>
      <c r="AM14" s="400"/>
      <c r="AN14" s="400"/>
      <c r="AO14" s="404"/>
      <c r="AP14" s="404"/>
      <c r="AQ14" s="404"/>
      <c r="AR14" s="404"/>
      <c r="AS14" s="404"/>
      <c r="AT14" s="400"/>
      <c r="AU14" s="405"/>
      <c r="AV14" s="406"/>
      <c r="AW14" s="406"/>
      <c r="AX14" s="407"/>
      <c r="AY14" s="406"/>
      <c r="AZ14" s="408"/>
      <c r="BZ14" s="68"/>
    </row>
    <row r="15" spans="1:78" s="67" customFormat="1">
      <c r="A15" s="393"/>
      <c r="B15" s="394"/>
      <c r="C15" s="394"/>
      <c r="D15" s="395"/>
      <c r="E15" s="395"/>
      <c r="F15" s="396"/>
      <c r="G15" s="409" t="s">
        <v>59</v>
      </c>
      <c r="H15" s="410">
        <f>COUNTIF(H12:H12,"=Space")</f>
        <v>0</v>
      </c>
      <c r="I15" s="410"/>
      <c r="J15" s="410" t="s">
        <v>356</v>
      </c>
      <c r="K15" s="411">
        <f>SUMIF(H12:H12,"Space",K12:K12)/21</f>
        <v>0</v>
      </c>
      <c r="L15" s="397"/>
      <c r="M15" s="398"/>
      <c r="N15" s="394"/>
      <c r="O15" s="394"/>
      <c r="P15" s="394"/>
      <c r="Q15" s="399"/>
      <c r="R15" s="394"/>
      <c r="S15" s="400"/>
      <c r="T15" s="400"/>
      <c r="U15" s="401"/>
      <c r="V15" s="400"/>
      <c r="W15" s="400"/>
      <c r="X15" s="400"/>
      <c r="Y15" s="400"/>
      <c r="Z15" s="400"/>
      <c r="AA15" s="374"/>
      <c r="AB15" s="374"/>
      <c r="AC15" s="400"/>
      <c r="AD15" s="400"/>
      <c r="AE15" s="400"/>
      <c r="AF15" s="400"/>
      <c r="AG15" s="402"/>
      <c r="AH15" s="403"/>
      <c r="AI15" s="400"/>
      <c r="AJ15" s="400"/>
      <c r="AK15" s="400"/>
      <c r="AL15" s="400"/>
      <c r="AM15" s="400"/>
      <c r="AN15" s="400"/>
      <c r="AO15" s="404"/>
      <c r="AP15" s="404"/>
      <c r="AQ15" s="404"/>
      <c r="AR15" s="404"/>
      <c r="AS15" s="404"/>
      <c r="AT15" s="400"/>
      <c r="AU15" s="405"/>
      <c r="AV15" s="406"/>
      <c r="AW15" s="406"/>
      <c r="AX15" s="407"/>
      <c r="AY15" s="406"/>
      <c r="AZ15" s="408"/>
      <c r="BZ15" s="68"/>
    </row>
    <row r="16" spans="1:78" s="67" customFormat="1">
      <c r="A16" s="393"/>
      <c r="B16" s="394"/>
      <c r="C16" s="394"/>
      <c r="D16" s="395"/>
      <c r="E16" s="395"/>
      <c r="F16" s="396"/>
      <c r="G16" s="409" t="s">
        <v>144</v>
      </c>
      <c r="H16" s="410">
        <f>COUNTIF(H12:H12,"=U space")</f>
        <v>0</v>
      </c>
      <c r="I16" s="410"/>
      <c r="J16" s="410" t="s">
        <v>144</v>
      </c>
      <c r="K16" s="411">
        <v>0</v>
      </c>
      <c r="L16" s="397"/>
      <c r="M16" s="398"/>
      <c r="N16" s="394"/>
      <c r="O16" s="394"/>
      <c r="P16" s="394"/>
      <c r="Q16" s="399"/>
      <c r="R16" s="394"/>
      <c r="S16" s="400"/>
      <c r="T16" s="400"/>
      <c r="U16" s="401"/>
      <c r="V16" s="400"/>
      <c r="W16" s="400"/>
      <c r="X16" s="400"/>
      <c r="Y16" s="400"/>
      <c r="Z16" s="400"/>
      <c r="AA16" s="374"/>
      <c r="AB16" s="374"/>
      <c r="AC16" s="400"/>
      <c r="AD16" s="400"/>
      <c r="AE16" s="400"/>
      <c r="AF16" s="400"/>
      <c r="AG16" s="402"/>
      <c r="AH16" s="403"/>
      <c r="AI16" s="400"/>
      <c r="AJ16" s="400"/>
      <c r="AK16" s="400"/>
      <c r="AL16" s="400"/>
      <c r="AM16" s="400"/>
      <c r="AN16" s="400"/>
      <c r="AO16" s="404"/>
      <c r="AP16" s="404"/>
      <c r="AQ16" s="404"/>
      <c r="AR16" s="404"/>
      <c r="AS16" s="404"/>
      <c r="AT16" s="400"/>
      <c r="AU16" s="405"/>
      <c r="AV16" s="406"/>
      <c r="AW16" s="406"/>
      <c r="AX16" s="407"/>
      <c r="AY16" s="406"/>
      <c r="AZ16" s="408"/>
      <c r="BZ16" s="68"/>
    </row>
    <row r="17" spans="1:78" ht="13.5" thickBot="1">
      <c r="A17" s="393"/>
      <c r="B17" s="405"/>
      <c r="C17" s="229"/>
      <c r="D17" s="413"/>
      <c r="E17" s="413"/>
      <c r="F17" s="413"/>
      <c r="G17" s="414"/>
      <c r="H17" s="415"/>
      <c r="I17" s="415"/>
      <c r="J17" s="416" t="s">
        <v>52</v>
      </c>
      <c r="K17" s="417">
        <f>SUM(K14:K16)</f>
        <v>319</v>
      </c>
      <c r="L17" s="418"/>
      <c r="M17" s="419"/>
      <c r="N17" s="420"/>
      <c r="O17" s="420"/>
      <c r="P17" s="421"/>
      <c r="Q17" s="420"/>
      <c r="R17" s="420"/>
      <c r="S17" s="422"/>
      <c r="T17" s="229"/>
      <c r="U17" s="419"/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423"/>
      <c r="AG17" s="423"/>
      <c r="AH17" s="423"/>
      <c r="AI17" s="229"/>
      <c r="AJ17" s="229"/>
      <c r="AK17" s="229"/>
      <c r="AL17" s="229"/>
      <c r="AM17" s="229"/>
      <c r="AN17" s="229"/>
      <c r="AO17" s="229"/>
      <c r="AP17" s="229"/>
      <c r="AQ17" s="229"/>
      <c r="AR17" s="229"/>
      <c r="AS17" s="229"/>
      <c r="AT17" s="229"/>
      <c r="AU17" s="229"/>
      <c r="AV17" s="424"/>
      <c r="AW17" s="424"/>
      <c r="AX17" s="424"/>
      <c r="AY17" s="424"/>
      <c r="AZ17" s="164"/>
    </row>
    <row r="18" spans="1:78" s="64" customFormat="1">
      <c r="A18" s="375"/>
      <c r="B18" s="376" t="s">
        <v>578</v>
      </c>
      <c r="C18" s="377"/>
      <c r="D18" s="377"/>
      <c r="E18" s="377"/>
      <c r="F18" s="378"/>
      <c r="G18" s="379"/>
      <c r="H18" s="379"/>
      <c r="I18" s="379"/>
      <c r="J18" s="379"/>
      <c r="K18" s="380"/>
      <c r="L18" s="377"/>
      <c r="M18" s="381"/>
      <c r="N18" s="377"/>
      <c r="O18" s="377"/>
      <c r="P18" s="377"/>
      <c r="Q18" s="382"/>
      <c r="R18" s="377"/>
      <c r="S18" s="385">
        <f>SUM(S19:S24)</f>
        <v>87</v>
      </c>
      <c r="T18" s="385">
        <f>SUM(T19:T24)</f>
        <v>43.21875</v>
      </c>
      <c r="U18" s="431"/>
      <c r="V18" s="385"/>
      <c r="W18" s="385">
        <f>SUM(W19:W24)</f>
        <v>43.78125</v>
      </c>
      <c r="X18" s="385">
        <f>SUM(X19:X24)</f>
        <v>87</v>
      </c>
      <c r="Y18" s="385">
        <f>SUM(Y19:Y24)</f>
        <v>43.21875</v>
      </c>
      <c r="Z18" s="385"/>
      <c r="AA18" s="386"/>
      <c r="AB18" s="386"/>
      <c r="AC18" s="385"/>
      <c r="AD18" s="385"/>
      <c r="AE18" s="385"/>
      <c r="AF18" s="385"/>
      <c r="AG18" s="387"/>
      <c r="AH18" s="388"/>
      <c r="AI18" s="385"/>
      <c r="AJ18" s="385"/>
      <c r="AK18" s="385"/>
      <c r="AL18" s="385"/>
      <c r="AM18" s="385"/>
      <c r="AN18" s="385"/>
      <c r="AO18" s="389"/>
      <c r="AP18" s="389"/>
      <c r="AQ18" s="389"/>
      <c r="AR18" s="389"/>
      <c r="AS18" s="389"/>
      <c r="AT18" s="385"/>
      <c r="AU18" s="378"/>
      <c r="AV18" s="390"/>
      <c r="AW18" s="390"/>
      <c r="AX18" s="391"/>
      <c r="AY18" s="390"/>
      <c r="AZ18" s="392"/>
      <c r="BZ18" s="65"/>
    </row>
    <row r="19" spans="1:78">
      <c r="A19" s="313" t="s">
        <v>47</v>
      </c>
      <c r="B19" s="168" t="s">
        <v>579</v>
      </c>
      <c r="C19" s="230" t="s">
        <v>580</v>
      </c>
      <c r="D19" s="200" t="s">
        <v>239</v>
      </c>
      <c r="E19" s="200"/>
      <c r="F19" s="145" t="s">
        <v>169</v>
      </c>
      <c r="G19" s="146" t="s">
        <v>170</v>
      </c>
      <c r="H19" s="145" t="s">
        <v>59</v>
      </c>
      <c r="I19" s="145" t="s">
        <v>185</v>
      </c>
      <c r="J19" s="147" t="str">
        <f t="shared" ref="J19" si="3">IF(H19="Rack","No of Racks",(IF(H19="Space","Sq Ft","U Space")))</f>
        <v>Sq Ft</v>
      </c>
      <c r="K19" s="145">
        <v>280</v>
      </c>
      <c r="L19" s="145">
        <v>280</v>
      </c>
      <c r="M19" s="148">
        <v>0</v>
      </c>
      <c r="N19" s="145">
        <v>280</v>
      </c>
      <c r="O19" s="145"/>
      <c r="P19" s="141">
        <v>725000</v>
      </c>
      <c r="Q19" s="150" t="str">
        <f t="shared" ref="Q19:Q20" si="4">F19</f>
        <v>Subscribed</v>
      </c>
      <c r="R19" s="145" t="s">
        <v>123</v>
      </c>
      <c r="S19" s="146">
        <v>30</v>
      </c>
      <c r="T19" s="231">
        <f>Y19</f>
        <v>22.592261904761902</v>
      </c>
      <c r="U19" s="232">
        <f>S19-T19</f>
        <v>7.4077380952380985</v>
      </c>
      <c r="V19" s="146"/>
      <c r="W19" s="146">
        <f>IF(U19&lt;=0,0,(IF(Q19="Rated",(U19+V19)*#REF!,(U19+V19))))</f>
        <v>7.4077380952380985</v>
      </c>
      <c r="X19" s="146">
        <f>IF(Q19="Rated",S19*#REF!,S19)</f>
        <v>30</v>
      </c>
      <c r="Y19" s="231">
        <f>AF19/28/24</f>
        <v>22.592261904761902</v>
      </c>
      <c r="Z19" s="146">
        <f t="shared" ref="Z19:Z21" si="5">IF((U19*-1)&gt;0, (U19*-1), 0)</f>
        <v>0</v>
      </c>
      <c r="AA19" s="146"/>
      <c r="AB19" s="153" t="str">
        <f>G19</f>
        <v>Metered</v>
      </c>
      <c r="AC19" s="146"/>
      <c r="AD19" s="146"/>
      <c r="AE19" s="154"/>
      <c r="AF19" s="233">
        <v>15182</v>
      </c>
      <c r="AG19" s="155"/>
      <c r="AH19" s="156" t="str">
        <f t="shared" ref="AH19:AH20" si="6">IF(AG19="No of Seats","No of Seats",(IF(AG19="Space","Sq Ft","")))</f>
        <v/>
      </c>
      <c r="AI19" s="146"/>
      <c r="AJ19" s="146"/>
      <c r="AK19" s="146"/>
      <c r="AL19" s="146"/>
      <c r="AM19" s="146"/>
      <c r="AN19" s="149"/>
      <c r="AO19" s="157"/>
      <c r="AP19" s="157"/>
      <c r="AQ19" s="158"/>
      <c r="AR19" s="157"/>
      <c r="AS19" s="159"/>
      <c r="AT19" s="160"/>
      <c r="AU19" s="160"/>
      <c r="AV19" s="234"/>
      <c r="AW19" s="235"/>
      <c r="AX19" s="236"/>
      <c r="AY19" s="235"/>
      <c r="AZ19" s="337"/>
      <c r="BB19" s="165"/>
      <c r="BC19" s="165"/>
      <c r="BD19" s="165"/>
      <c r="BE19" s="165"/>
      <c r="BF19" s="165"/>
      <c r="BG19" s="165"/>
      <c r="BH19" s="166"/>
      <c r="BI19" s="166"/>
      <c r="BJ19" s="166"/>
      <c r="BK19" s="167"/>
      <c r="BL19" s="167"/>
      <c r="BM19" s="167"/>
      <c r="BN19" s="167"/>
      <c r="BO19" s="167"/>
      <c r="BP19" s="167"/>
      <c r="BQ19" s="167"/>
      <c r="BR19" s="167"/>
      <c r="BS19" s="167"/>
      <c r="BT19" s="167"/>
      <c r="BU19" s="167"/>
      <c r="BV19" s="167"/>
      <c r="BW19" s="167"/>
      <c r="BX19" s="167"/>
      <c r="BY19" s="167"/>
      <c r="BZ19" s="167"/>
    </row>
    <row r="20" spans="1:78" s="16" customFormat="1">
      <c r="A20" s="313" t="s">
        <v>47</v>
      </c>
      <c r="B20" s="28" t="s">
        <v>581</v>
      </c>
      <c r="C20" s="230" t="s">
        <v>582</v>
      </c>
      <c r="D20" s="144" t="s">
        <v>239</v>
      </c>
      <c r="E20" s="144"/>
      <c r="F20" s="145" t="s">
        <v>169</v>
      </c>
      <c r="G20" s="146" t="s">
        <v>170</v>
      </c>
      <c r="H20" s="145" t="s">
        <v>132</v>
      </c>
      <c r="I20" s="145" t="s">
        <v>133</v>
      </c>
      <c r="J20" s="147" t="s">
        <v>132</v>
      </c>
      <c r="K20" s="145">
        <v>2</v>
      </c>
      <c r="L20" s="145">
        <v>2</v>
      </c>
      <c r="M20" s="148">
        <v>0</v>
      </c>
      <c r="N20" s="145">
        <v>2</v>
      </c>
      <c r="O20" s="145"/>
      <c r="P20" s="141">
        <v>26666</v>
      </c>
      <c r="Q20" s="150" t="str">
        <f t="shared" si="4"/>
        <v>Subscribed</v>
      </c>
      <c r="R20" s="145" t="s">
        <v>123</v>
      </c>
      <c r="S20" s="146">
        <v>12</v>
      </c>
      <c r="T20" s="231">
        <f>Y20</f>
        <v>3.1130952380952377</v>
      </c>
      <c r="U20" s="232">
        <f t="shared" ref="U20" si="7">S20-T20</f>
        <v>8.8869047619047628</v>
      </c>
      <c r="V20" s="146"/>
      <c r="W20" s="146">
        <f>IF(U20&lt;=0,0,(IF(Q20="Rated",(U20+V20)*#REF!,(U20+V20))))</f>
        <v>8.8869047619047628</v>
      </c>
      <c r="X20" s="146">
        <f>IF(Q20="Rated",S20*#REF!,S20)</f>
        <v>12</v>
      </c>
      <c r="Y20" s="231">
        <f>AF20/28/24</f>
        <v>3.1130952380952377</v>
      </c>
      <c r="Z20" s="146">
        <f t="shared" si="5"/>
        <v>0</v>
      </c>
      <c r="AA20" s="146"/>
      <c r="AB20" s="153" t="str">
        <f t="shared" ref="AB20:AB21" si="8">G20</f>
        <v>Metered</v>
      </c>
      <c r="AC20" s="145"/>
      <c r="AD20" s="146"/>
      <c r="AE20" s="154"/>
      <c r="AF20" s="233">
        <v>2092</v>
      </c>
      <c r="AG20" s="155"/>
      <c r="AH20" s="156" t="str">
        <f t="shared" si="6"/>
        <v/>
      </c>
      <c r="AI20" s="146"/>
      <c r="AJ20" s="146"/>
      <c r="AK20" s="146"/>
      <c r="AL20" s="145"/>
      <c r="AM20" s="145"/>
      <c r="AN20" s="149"/>
      <c r="AO20" s="157"/>
      <c r="AP20" s="157"/>
      <c r="AQ20" s="158"/>
      <c r="AR20" s="157"/>
      <c r="AS20" s="159"/>
      <c r="AT20" s="160"/>
      <c r="AU20" s="160"/>
      <c r="AV20" s="234"/>
      <c r="AW20" s="235"/>
      <c r="AX20" s="236"/>
      <c r="AY20" s="235"/>
      <c r="AZ20" s="337"/>
      <c r="BB20" s="165"/>
      <c r="BC20" s="165"/>
      <c r="BD20" s="165"/>
      <c r="BE20" s="165"/>
      <c r="BF20" s="165"/>
      <c r="BG20" s="165"/>
      <c r="BH20" s="166"/>
      <c r="BI20" s="166"/>
      <c r="BJ20" s="166"/>
      <c r="BK20" s="167"/>
      <c r="BL20" s="167"/>
      <c r="BM20" s="167"/>
      <c r="BN20" s="167"/>
      <c r="BO20" s="167"/>
      <c r="BP20" s="167"/>
      <c r="BQ20" s="167"/>
      <c r="BR20" s="167"/>
      <c r="BS20" s="167"/>
      <c r="BT20" s="167"/>
      <c r="BU20" s="167"/>
      <c r="BV20" s="167"/>
      <c r="BW20" s="167"/>
      <c r="BX20" s="167"/>
      <c r="BY20" s="167"/>
      <c r="BZ20" s="167"/>
    </row>
    <row r="21" spans="1:78" s="16" customFormat="1">
      <c r="A21" s="313"/>
      <c r="B21" s="490" t="s">
        <v>583</v>
      </c>
      <c r="C21" s="230" t="s">
        <v>226</v>
      </c>
      <c r="D21" s="144" t="s">
        <v>239</v>
      </c>
      <c r="E21" s="144"/>
      <c r="F21" s="145" t="s">
        <v>169</v>
      </c>
      <c r="G21" s="146" t="s">
        <v>131</v>
      </c>
      <c r="H21" s="145" t="s">
        <v>132</v>
      </c>
      <c r="I21" s="145" t="s">
        <v>133</v>
      </c>
      <c r="J21" s="147" t="s">
        <v>132</v>
      </c>
      <c r="K21" s="145">
        <v>5</v>
      </c>
      <c r="L21" s="145">
        <v>5</v>
      </c>
      <c r="M21" s="148">
        <v>0</v>
      </c>
      <c r="N21" s="145">
        <v>5</v>
      </c>
      <c r="O21" s="145"/>
      <c r="P21" s="141">
        <v>157500</v>
      </c>
      <c r="Q21" s="150" t="s">
        <v>169</v>
      </c>
      <c r="R21" s="145" t="s">
        <v>123</v>
      </c>
      <c r="S21" s="146">
        <v>45</v>
      </c>
      <c r="T21" s="231">
        <f>Y21</f>
        <v>17.513392857142858</v>
      </c>
      <c r="U21" s="232">
        <f t="shared" ref="U21" si="9">S21-T21</f>
        <v>27.486607142857142</v>
      </c>
      <c r="V21" s="146"/>
      <c r="W21" s="146">
        <f>IF(U21&lt;=0,0,(IF(Q21="Rated",(U21+V21)*#REF!,(U21+V21))))</f>
        <v>27.486607142857142</v>
      </c>
      <c r="X21" s="146">
        <f>IF(Q21="Rated",S21*#REF!,S21)</f>
        <v>45</v>
      </c>
      <c r="Y21" s="231">
        <f>AF21/28/24</f>
        <v>17.513392857142858</v>
      </c>
      <c r="Z21" s="146">
        <f t="shared" si="5"/>
        <v>0</v>
      </c>
      <c r="AA21" s="146"/>
      <c r="AB21" s="153" t="str">
        <f t="shared" si="8"/>
        <v>Bundled</v>
      </c>
      <c r="AC21" s="145"/>
      <c r="AD21" s="146"/>
      <c r="AE21" s="154"/>
      <c r="AF21" s="233">
        <v>11769</v>
      </c>
      <c r="AG21" s="155"/>
      <c r="AH21" s="156"/>
      <c r="AI21" s="146"/>
      <c r="AJ21" s="146"/>
      <c r="AK21" s="146"/>
      <c r="AL21" s="145"/>
      <c r="AM21" s="145"/>
      <c r="AN21" s="149"/>
      <c r="AO21" s="157"/>
      <c r="AP21" s="157"/>
      <c r="AQ21" s="158"/>
      <c r="AR21" s="157"/>
      <c r="AS21" s="159"/>
      <c r="AT21" s="160"/>
      <c r="AU21" s="160"/>
      <c r="AV21" s="234"/>
      <c r="AW21" s="235"/>
      <c r="AX21" s="236"/>
      <c r="AY21" s="235"/>
      <c r="AZ21" s="337"/>
      <c r="BB21" s="165"/>
      <c r="BC21" s="165"/>
      <c r="BD21" s="165"/>
      <c r="BE21" s="165"/>
      <c r="BF21" s="165"/>
      <c r="BG21" s="165"/>
      <c r="BH21" s="166"/>
      <c r="BI21" s="166"/>
      <c r="BJ21" s="166"/>
      <c r="BK21" s="167"/>
      <c r="BL21" s="167"/>
      <c r="BM21" s="167"/>
      <c r="BN21" s="167"/>
      <c r="BO21" s="167"/>
      <c r="BP21" s="167"/>
      <c r="BQ21" s="167"/>
      <c r="BR21" s="167"/>
      <c r="BS21" s="167"/>
      <c r="BT21" s="167"/>
      <c r="BU21" s="167"/>
      <c r="BV21" s="167"/>
      <c r="BW21" s="167"/>
      <c r="BX21" s="167"/>
      <c r="BY21" s="167"/>
      <c r="BZ21" s="167"/>
    </row>
    <row r="22" spans="1:78" s="16" customFormat="1">
      <c r="A22" s="313"/>
      <c r="B22" s="168"/>
      <c r="C22" s="230"/>
      <c r="D22" s="144"/>
      <c r="E22" s="144"/>
      <c r="F22" s="145"/>
      <c r="G22" s="146"/>
      <c r="H22" s="145"/>
      <c r="I22" s="145"/>
      <c r="J22" s="147"/>
      <c r="K22" s="145"/>
      <c r="L22" s="145"/>
      <c r="M22" s="148"/>
      <c r="N22" s="145"/>
      <c r="O22" s="145"/>
      <c r="P22" s="491"/>
      <c r="Q22" s="150"/>
      <c r="R22" s="145"/>
      <c r="S22" s="146"/>
      <c r="T22" s="231"/>
      <c r="U22" s="232"/>
      <c r="V22" s="146"/>
      <c r="W22" s="146"/>
      <c r="X22" s="146"/>
      <c r="Y22" s="231"/>
      <c r="Z22" s="146"/>
      <c r="AA22" s="146"/>
      <c r="AB22" s="153"/>
      <c r="AC22" s="145"/>
      <c r="AD22" s="146"/>
      <c r="AE22" s="154"/>
      <c r="AF22" s="233"/>
      <c r="AG22" s="155"/>
      <c r="AH22" s="156"/>
      <c r="AI22" s="146"/>
      <c r="AJ22" s="146"/>
      <c r="AK22" s="146"/>
      <c r="AL22" s="145"/>
      <c r="AM22" s="145"/>
      <c r="AN22" s="149"/>
      <c r="AO22" s="157"/>
      <c r="AP22" s="157"/>
      <c r="AQ22" s="158"/>
      <c r="AR22" s="157"/>
      <c r="AS22" s="159"/>
      <c r="AT22" s="160"/>
      <c r="AU22" s="160"/>
      <c r="AV22" s="234"/>
      <c r="AW22" s="235"/>
      <c r="AX22" s="236"/>
      <c r="AY22" s="235"/>
      <c r="AZ22" s="316"/>
      <c r="BB22" s="165"/>
      <c r="BC22" s="165"/>
      <c r="BD22" s="165"/>
      <c r="BE22" s="165"/>
      <c r="BF22" s="165"/>
      <c r="BG22" s="165"/>
      <c r="BH22" s="166"/>
      <c r="BI22" s="166"/>
      <c r="BJ22" s="166"/>
      <c r="BK22" s="167"/>
      <c r="BL22" s="167"/>
      <c r="BM22" s="167"/>
      <c r="BN22" s="167"/>
      <c r="BO22" s="167"/>
      <c r="BP22" s="167"/>
      <c r="BQ22" s="167"/>
      <c r="BR22" s="167"/>
      <c r="BS22" s="167"/>
      <c r="BT22" s="167"/>
      <c r="BU22" s="167"/>
      <c r="BV22" s="167"/>
      <c r="BW22" s="167"/>
      <c r="BX22" s="167"/>
      <c r="BY22" s="167"/>
      <c r="BZ22" s="167"/>
    </row>
    <row r="23" spans="1:78" s="16" customFormat="1">
      <c r="A23" s="313"/>
      <c r="B23" s="168"/>
      <c r="C23" s="230"/>
      <c r="D23" s="144"/>
      <c r="E23" s="144"/>
      <c r="F23" s="145"/>
      <c r="G23" s="205"/>
      <c r="H23" s="204"/>
      <c r="I23" s="204"/>
      <c r="J23" s="206"/>
      <c r="K23" s="204"/>
      <c r="L23" s="145"/>
      <c r="M23" s="148"/>
      <c r="N23" s="145"/>
      <c r="O23" s="145"/>
      <c r="P23" s="491"/>
      <c r="Q23" s="150"/>
      <c r="R23" s="145"/>
      <c r="S23" s="146"/>
      <c r="T23" s="231"/>
      <c r="U23" s="232"/>
      <c r="V23" s="146"/>
      <c r="W23" s="146"/>
      <c r="X23" s="146"/>
      <c r="Y23" s="231"/>
      <c r="Z23" s="146"/>
      <c r="AA23" s="146"/>
      <c r="AB23" s="153"/>
      <c r="AC23" s="145"/>
      <c r="AD23" s="146"/>
      <c r="AE23" s="154"/>
      <c r="AF23" s="233"/>
      <c r="AG23" s="155"/>
      <c r="AH23" s="156"/>
      <c r="AI23" s="146"/>
      <c r="AJ23" s="146"/>
      <c r="AK23" s="146"/>
      <c r="AL23" s="145"/>
      <c r="AM23" s="145"/>
      <c r="AN23" s="149"/>
      <c r="AO23" s="157"/>
      <c r="AP23" s="157"/>
      <c r="AQ23" s="158"/>
      <c r="AR23" s="157"/>
      <c r="AS23" s="159"/>
      <c r="AT23" s="160"/>
      <c r="AU23" s="160"/>
      <c r="AV23" s="234"/>
      <c r="AW23" s="235"/>
      <c r="AX23" s="236"/>
      <c r="AY23" s="235"/>
      <c r="AZ23" s="316"/>
      <c r="BB23" s="25"/>
      <c r="BC23" s="25"/>
      <c r="BD23" s="25"/>
      <c r="BE23" s="25"/>
      <c r="BF23" s="25"/>
      <c r="BG23" s="25"/>
      <c r="BH23" s="26"/>
      <c r="BI23" s="26"/>
      <c r="BJ23" s="26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</row>
    <row r="24" spans="1:78" s="16" customFormat="1" ht="13.5" thickBot="1">
      <c r="A24" s="313"/>
      <c r="B24" s="168"/>
      <c r="C24" s="230"/>
      <c r="D24" s="144"/>
      <c r="E24" s="144"/>
      <c r="F24" s="145"/>
      <c r="G24" s="205"/>
      <c r="H24" s="204"/>
      <c r="I24" s="204"/>
      <c r="J24" s="206"/>
      <c r="K24" s="204"/>
      <c r="L24" s="145"/>
      <c r="M24" s="148"/>
      <c r="N24" s="145"/>
      <c r="O24" s="145"/>
      <c r="P24" s="491"/>
      <c r="Q24" s="150"/>
      <c r="R24" s="145"/>
      <c r="S24" s="146"/>
      <c r="T24" s="231"/>
      <c r="U24" s="232"/>
      <c r="V24" s="146"/>
      <c r="W24" s="146"/>
      <c r="X24" s="146"/>
      <c r="Y24" s="231"/>
      <c r="Z24" s="146"/>
      <c r="AA24" s="146"/>
      <c r="AB24" s="153"/>
      <c r="AC24" s="145"/>
      <c r="AD24" s="146"/>
      <c r="AE24" s="154"/>
      <c r="AF24" s="233"/>
      <c r="AG24" s="155"/>
      <c r="AH24" s="156"/>
      <c r="AI24" s="146"/>
      <c r="AJ24" s="146"/>
      <c r="AK24" s="146"/>
      <c r="AL24" s="145"/>
      <c r="AM24" s="145"/>
      <c r="AN24" s="149"/>
      <c r="AO24" s="157"/>
      <c r="AP24" s="157"/>
      <c r="AQ24" s="158"/>
      <c r="AR24" s="157"/>
      <c r="AS24" s="159"/>
      <c r="AT24" s="160"/>
      <c r="AU24" s="160"/>
      <c r="AV24" s="234"/>
      <c r="AW24" s="235"/>
      <c r="AX24" s="236"/>
      <c r="AY24" s="235"/>
      <c r="AZ24" s="316"/>
      <c r="BB24" s="25"/>
      <c r="BC24" s="25"/>
      <c r="BD24" s="25"/>
      <c r="BE24" s="25"/>
      <c r="BF24" s="25"/>
      <c r="BG24" s="25"/>
      <c r="BH24" s="26"/>
      <c r="BI24" s="26"/>
      <c r="BJ24" s="26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</row>
    <row r="25" spans="1:78" s="67" customFormat="1">
      <c r="A25" s="393"/>
      <c r="B25" s="394"/>
      <c r="C25" s="394"/>
      <c r="D25" s="395"/>
      <c r="E25" s="395"/>
      <c r="F25" s="396"/>
      <c r="G25" s="71" t="s">
        <v>132</v>
      </c>
      <c r="H25" s="72">
        <f>COUNTIF(H19:H24,"=Rack")</f>
        <v>2</v>
      </c>
      <c r="I25" s="72"/>
      <c r="J25" s="72" t="s">
        <v>355</v>
      </c>
      <c r="K25" s="73">
        <f>SUMIF(H19:H24,"Rack",K19:K24)</f>
        <v>7</v>
      </c>
      <c r="L25" s="397"/>
      <c r="M25" s="398"/>
      <c r="N25" s="394"/>
      <c r="O25" s="394"/>
      <c r="P25" s="394"/>
      <c r="Q25" s="399"/>
      <c r="R25" s="394"/>
      <c r="S25" s="400"/>
      <c r="T25" s="400"/>
      <c r="U25" s="401"/>
      <c r="V25" s="400"/>
      <c r="W25" s="400"/>
      <c r="X25" s="400"/>
      <c r="Y25" s="400"/>
      <c r="Z25" s="400"/>
      <c r="AA25" s="374"/>
      <c r="AB25" s="374"/>
      <c r="AC25" s="400"/>
      <c r="AD25" s="400"/>
      <c r="AE25" s="400"/>
      <c r="AF25" s="400"/>
      <c r="AG25" s="402"/>
      <c r="AH25" s="403"/>
      <c r="AI25" s="400"/>
      <c r="AJ25" s="400"/>
      <c r="AK25" s="400"/>
      <c r="AL25" s="400"/>
      <c r="AM25" s="400"/>
      <c r="AN25" s="400"/>
      <c r="AO25" s="404"/>
      <c r="AP25" s="404"/>
      <c r="AQ25" s="404"/>
      <c r="AR25" s="404"/>
      <c r="AS25" s="404"/>
      <c r="AT25" s="400"/>
      <c r="AU25" s="405"/>
      <c r="AV25" s="406"/>
      <c r="AW25" s="406"/>
      <c r="AX25" s="407"/>
      <c r="AY25" s="406"/>
      <c r="AZ25" s="408"/>
      <c r="BZ25" s="68"/>
    </row>
    <row r="26" spans="1:78" s="67" customFormat="1">
      <c r="A26" s="393"/>
      <c r="B26" s="394"/>
      <c r="C26" s="394"/>
      <c r="D26" s="395"/>
      <c r="E26" s="395"/>
      <c r="F26" s="396"/>
      <c r="G26" s="409" t="s">
        <v>59</v>
      </c>
      <c r="H26" s="410">
        <f>COUNTIF(H19:H24,"=Space")</f>
        <v>1</v>
      </c>
      <c r="I26" s="410"/>
      <c r="J26" s="410" t="s">
        <v>356</v>
      </c>
      <c r="K26" s="411">
        <f>SUMIF(H19:H24,"Space",K19:K24)/21</f>
        <v>13.333333333333334</v>
      </c>
      <c r="L26" s="397"/>
      <c r="M26" s="398"/>
      <c r="N26" s="394"/>
      <c r="O26" s="394"/>
      <c r="P26" s="394"/>
      <c r="Q26" s="399"/>
      <c r="R26" s="394"/>
      <c r="S26" s="400"/>
      <c r="T26" s="400"/>
      <c r="U26" s="401"/>
      <c r="V26" s="400"/>
      <c r="W26" s="400"/>
      <c r="X26" s="400"/>
      <c r="Y26" s="400"/>
      <c r="Z26" s="400"/>
      <c r="AA26" s="374"/>
      <c r="AB26" s="374"/>
      <c r="AC26" s="400"/>
      <c r="AD26" s="400"/>
      <c r="AE26" s="400"/>
      <c r="AF26" s="400"/>
      <c r="AG26" s="402"/>
      <c r="AH26" s="403"/>
      <c r="AI26" s="400"/>
      <c r="AJ26" s="400"/>
      <c r="AK26" s="400"/>
      <c r="AL26" s="400"/>
      <c r="AM26" s="400"/>
      <c r="AN26" s="400"/>
      <c r="AO26" s="404"/>
      <c r="AP26" s="404"/>
      <c r="AQ26" s="404"/>
      <c r="AR26" s="404"/>
      <c r="AS26" s="404"/>
      <c r="AT26" s="400"/>
      <c r="AU26" s="405"/>
      <c r="AV26" s="406"/>
      <c r="AW26" s="406"/>
      <c r="AX26" s="407"/>
      <c r="AY26" s="406"/>
      <c r="AZ26" s="408"/>
      <c r="BZ26" s="68"/>
    </row>
    <row r="27" spans="1:78" s="67" customFormat="1">
      <c r="A27" s="393"/>
      <c r="B27" s="394"/>
      <c r="C27" s="394"/>
      <c r="D27" s="395"/>
      <c r="E27" s="395"/>
      <c r="F27" s="396"/>
      <c r="G27" s="409" t="s">
        <v>144</v>
      </c>
      <c r="H27" s="410">
        <f>COUNTIF(H19:H24,"=U space")</f>
        <v>0</v>
      </c>
      <c r="I27" s="410"/>
      <c r="J27" s="410" t="s">
        <v>144</v>
      </c>
      <c r="K27" s="411">
        <v>0</v>
      </c>
      <c r="L27" s="397"/>
      <c r="M27" s="398"/>
      <c r="N27" s="394"/>
      <c r="O27" s="394"/>
      <c r="P27" s="492"/>
      <c r="Q27" s="399"/>
      <c r="R27" s="394"/>
      <c r="S27" s="400"/>
      <c r="T27" s="400"/>
      <c r="U27" s="401"/>
      <c r="V27" s="400"/>
      <c r="W27" s="400"/>
      <c r="X27" s="400"/>
      <c r="Y27" s="400"/>
      <c r="Z27" s="400"/>
      <c r="AA27" s="374"/>
      <c r="AB27" s="374"/>
      <c r="AC27" s="400"/>
      <c r="AD27" s="400"/>
      <c r="AE27" s="400"/>
      <c r="AF27" s="400"/>
      <c r="AG27" s="402"/>
      <c r="AH27" s="403"/>
      <c r="AI27" s="400"/>
      <c r="AJ27" s="400"/>
      <c r="AK27" s="400"/>
      <c r="AL27" s="400"/>
      <c r="AM27" s="400"/>
      <c r="AN27" s="400"/>
      <c r="AO27" s="404"/>
      <c r="AP27" s="404"/>
      <c r="AQ27" s="404"/>
      <c r="AR27" s="404"/>
      <c r="AS27" s="404"/>
      <c r="AT27" s="400"/>
      <c r="AU27" s="405"/>
      <c r="AV27" s="406"/>
      <c r="AW27" s="406"/>
      <c r="AX27" s="407"/>
      <c r="AY27" s="406"/>
      <c r="AZ27" s="408"/>
      <c r="BZ27" s="68"/>
    </row>
    <row r="28" spans="1:78" ht="13.5" thickBot="1">
      <c r="A28" s="393"/>
      <c r="B28" s="405"/>
      <c r="C28" s="229"/>
      <c r="D28" s="413"/>
      <c r="E28" s="413"/>
      <c r="F28" s="413"/>
      <c r="G28" s="414"/>
      <c r="H28" s="415"/>
      <c r="I28" s="415"/>
      <c r="J28" s="416" t="s">
        <v>52</v>
      </c>
      <c r="K28" s="417">
        <f>SUM(K25:K27)</f>
        <v>20.333333333333336</v>
      </c>
      <c r="L28" s="418"/>
      <c r="M28" s="419"/>
      <c r="N28" s="420"/>
      <c r="O28" s="420"/>
      <c r="P28" s="421"/>
      <c r="Q28" s="420"/>
      <c r="R28" s="420"/>
      <c r="S28" s="422"/>
      <c r="T28" s="229"/>
      <c r="U28" s="41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423"/>
      <c r="AG28" s="423"/>
      <c r="AH28" s="423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424"/>
      <c r="AW28" s="424"/>
      <c r="AX28" s="424"/>
      <c r="AY28" s="424"/>
      <c r="AZ28" s="164"/>
    </row>
    <row r="29" spans="1:78" ht="12.75"/>
  </sheetData>
  <conditionalFormatting sqref="BD22:BG28 BD5:BG18">
    <cfRule type="cellIs" dxfId="14" priority="42" operator="lessThan">
      <formula>#REF!</formula>
    </cfRule>
    <cfRule type="cellIs" dxfId="13" priority="43" operator="between">
      <formula>#REF!</formula>
      <formula>#REF!</formula>
    </cfRule>
    <cfRule type="cellIs" dxfId="12" priority="44" operator="between">
      <formula>#REF!</formula>
      <formula>#REF!</formula>
    </cfRule>
  </conditionalFormatting>
  <conditionalFormatting sqref="BD13:BG18 BD25:BG28">
    <cfRule type="cellIs" dxfId="11" priority="19" operator="greaterThan">
      <formula>#REF!</formula>
    </cfRule>
    <cfRule type="cellIs" dxfId="10" priority="20" operator="between">
      <formula>#REF!</formula>
      <formula>#REF!</formula>
    </cfRule>
  </conditionalFormatting>
  <conditionalFormatting sqref="BE2:BG4 BD3:BD4">
    <cfRule type="cellIs" dxfId="9" priority="127" operator="lessThan">
      <formula>#REF!</formula>
    </cfRule>
    <cfRule type="cellIs" dxfId="8" priority="128" operator="between">
      <formula>#REF!</formula>
      <formula>#REF!</formula>
    </cfRule>
    <cfRule type="cellIs" dxfId="7" priority="129" operator="between">
      <formula>#REF!</formula>
      <formula>#REF!</formula>
    </cfRule>
  </conditionalFormatting>
  <conditionalFormatting sqref="BE2:BG5 BD3:BD5 BD6:BG12">
    <cfRule type="cellIs" dxfId="6" priority="130" operator="greaterThan">
      <formula>#REF!</formula>
    </cfRule>
    <cfRule type="cellIs" dxfId="5" priority="131" operator="between">
      <formula>#REF!</formula>
      <formula>#REF!</formula>
    </cfRule>
  </conditionalFormatting>
  <conditionalFormatting sqref="BE19:BG21 BD20:BD21">
    <cfRule type="cellIs" dxfId="4" priority="5" operator="lessThan">
      <formula>#REF!</formula>
    </cfRule>
    <cfRule type="cellIs" dxfId="3" priority="6" operator="between">
      <formula>#REF!</formula>
      <formula>#REF!</formula>
    </cfRule>
    <cfRule type="cellIs" dxfId="2" priority="7" operator="between">
      <formula>#REF!</formula>
      <formula>#REF!</formula>
    </cfRule>
  </conditionalFormatting>
  <conditionalFormatting sqref="BE19:BG24 BD20:BD24">
    <cfRule type="cellIs" dxfId="1" priority="8" operator="greaterThan">
      <formula>#REF!</formula>
    </cfRule>
    <cfRule type="cellIs" dxfId="0" priority="9" operator="between">
      <formula>#REF!</formula>
      <formula>#REF!</formula>
    </cfRule>
  </conditionalFormatting>
  <conditionalFormatting sqref="BX2:BZ4">
    <cfRule type="colorScale" priority="20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5:BZ6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12:BZ1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19:BZ21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X22:BZ2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8">
    <dataValidation type="list" allowBlank="1" showInputMessage="1" showErrorMessage="1" sqref="AG12:AG16 AG18:AG27 AG2:AG5 AG6:AG10" xr:uid="{2E0ECCD7-FC5F-4415-A146-D161148D3FE0}">
      <formula1>"No of Seats, Space"</formula1>
    </dataValidation>
    <dataValidation type="list" allowBlank="1" showInputMessage="1" showErrorMessage="1" sqref="F12 F19:F24 F2:F5 F6" xr:uid="{BADE2676-0DCD-4394-B2A7-9D532CF2E016}">
      <formula1>"Rated, Subscribed"</formula1>
    </dataValidation>
    <dataValidation type="list" allowBlank="1" showInputMessage="1" showErrorMessage="1" sqref="AU12 AU19:AU24 AU2:AU5 AU6" xr:uid="{B361C8C8-E448-4433-80DA-F845EBC6FF63}">
      <formula1>"Qtrly Adv, Qtry Ars, Monthly Adv, Monthly Ars"</formula1>
    </dataValidation>
    <dataValidation type="list" allowBlank="1" showInputMessage="1" showErrorMessage="1" sqref="R12 R19:R24 R2:R5 R6" xr:uid="{876F9D1F-4790-43D6-8A25-8F8877C473EA}">
      <formula1>"KW, KVA"</formula1>
    </dataValidation>
    <dataValidation type="list" allowBlank="1" showInputMessage="1" showErrorMessage="1" sqref="G12 G19:G24 G2:G5 G6" xr:uid="{D5007E4C-7042-4E2D-80FF-632CFC0855C1}">
      <formula1>"Bundled, Metered"</formula1>
    </dataValidation>
    <dataValidation type="list" allowBlank="1" showInputMessage="1" showErrorMessage="1" promptTitle="Rack, U Space, Cage" sqref="I12 I19:I24 I2:I5 I6" xr:uid="{E59F4775-1FCE-4B4B-B832-BE06D07AEB4D}">
      <formula1>"Caged, Uncaged"</formula1>
    </dataValidation>
    <dataValidation type="list" allowBlank="1" showInputMessage="1" showErrorMessage="1" sqref="AD12 AD19:AD24 AD2:AD5 AD6" xr:uid="{6A3AEF82-FA96-472C-8A5B-6A0F7411D0AA}">
      <formula1>"Fixed, Variable"</formula1>
    </dataValidation>
    <dataValidation type="list" allowBlank="1" showInputMessage="1" showErrorMessage="1" promptTitle="Rack, U Space, Cage" sqref="H12 H19:H24 H2:H5 H6" xr:uid="{44367A32-BF2C-4212-8CB2-2E252445E179}">
      <formula1>"Space, Rack, U space"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Prabakar</dc:creator>
  <cp:keywords/>
  <dc:description/>
  <cp:lastModifiedBy/>
  <cp:revision/>
  <dcterms:created xsi:type="dcterms:W3CDTF">2008-09-01T12:11:01Z</dcterms:created>
  <dcterms:modified xsi:type="dcterms:W3CDTF">2026-03-27T07:34:09Z</dcterms:modified>
  <cp:category/>
  <cp:contentStatus/>
</cp:coreProperties>
</file>